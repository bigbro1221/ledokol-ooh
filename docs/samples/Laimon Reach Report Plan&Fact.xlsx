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kamila/Desktop/"/>
    </mc:Choice>
  </mc:AlternateContent>
  <xr:revisionPtr revIDLastSave="0" documentId="13_ncr:1_{78B1DFD6-8D0D-334C-AF38-372D4E844BDC}" xr6:coauthVersionLast="47" xr6:coauthVersionMax="47" xr10:uidLastSave="{00000000-0000-0000-0000-000000000000}"/>
  <bookViews>
    <workbookView xWindow="0" yWindow="680" windowWidth="23260" windowHeight="16500" activeTab="2" xr2:uid="{00000000-000D-0000-FFFF-FFFF00000000}"/>
  </bookViews>
  <sheets>
    <sheet name="Первый месяц" sheetId="18" r:id="rId1"/>
    <sheet name="Второй месяц" sheetId="23" r:id="rId2"/>
    <sheet name="Охваты" sheetId="24" r:id="rId3"/>
    <sheet name="регионы-города" sheetId="3" state="hidden" r:id="rId4"/>
    <sheet name="справочник" sheetId="2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_________MCV2">[1]Vehicles!$B$58:$O$58</definedName>
    <definedName name="_________dd1" localSheetId="1" hidden="1">{#N/A,#N/A,TRUE,"Пресса";#N/A,#N/A,TRUE,"Метро";#N/A,#N/A,TRUE,"Щиты";#N/A,#N/A,TRUE,"График";#N/A,#N/A,TRUE,"График"}</definedName>
    <definedName name="_________dd1" localSheetId="2" hidden="1">{#N/A,#N/A,TRUE,"Пресса";#N/A,#N/A,TRUE,"Метро";#N/A,#N/A,TRUE,"Щиты";#N/A,#N/A,TRUE,"График";#N/A,#N/A,TRUE,"График"}</definedName>
    <definedName name="_________dd1" localSheetId="0" hidden="1">{#N/A,#N/A,TRUE,"Пресса";#N/A,#N/A,TRUE,"Метро";#N/A,#N/A,TRUE,"Щиты";#N/A,#N/A,TRUE,"График";#N/A,#N/A,TRUE,"График"}</definedName>
    <definedName name="_________dd1" hidden="1">{#N/A,#N/A,TRUE,"Пресса";#N/A,#N/A,TRUE,"Метро";#N/A,#N/A,TRUE,"Щиты";#N/A,#N/A,TRUE,"График";#N/A,#N/A,TRUE,"График"}</definedName>
    <definedName name="_________eh1" localSheetId="1" hidden="1">{#N/A,#N/A,TRUE,"Пресса";#N/A,#N/A,TRUE,"Метро";#N/A,#N/A,TRUE,"Щиты";#N/A,#N/A,TRUE,"График";#N/A,#N/A,TRUE,"График"}</definedName>
    <definedName name="_________eh1" localSheetId="2" hidden="1">{#N/A,#N/A,TRUE,"Пресса";#N/A,#N/A,TRUE,"Метро";#N/A,#N/A,TRUE,"Щиты";#N/A,#N/A,TRUE,"График";#N/A,#N/A,TRUE,"График"}</definedName>
    <definedName name="_________eh1" localSheetId="0" hidden="1">{#N/A,#N/A,TRUE,"Пресса";#N/A,#N/A,TRUE,"Метро";#N/A,#N/A,TRUE,"Щиты";#N/A,#N/A,TRUE,"График";#N/A,#N/A,TRUE,"График"}</definedName>
    <definedName name="_________eh1" hidden="1">{#N/A,#N/A,TRUE,"Пресса";#N/A,#N/A,TRUE,"Метро";#N/A,#N/A,TRUE,"Щиты";#N/A,#N/A,TRUE,"График";#N/A,#N/A,TRUE,"График"}</definedName>
    <definedName name="_________fjk1" localSheetId="1" hidden="1">{#N/A,#N/A,TRUE,"Пресса";#N/A,#N/A,TRUE,"Метро";#N/A,#N/A,TRUE,"Щиты";#N/A,#N/A,TRUE,"График";#N/A,#N/A,TRUE,"График"}</definedName>
    <definedName name="_________fjk1" localSheetId="2" hidden="1">{#N/A,#N/A,TRUE,"Пресса";#N/A,#N/A,TRUE,"Метро";#N/A,#N/A,TRUE,"Щиты";#N/A,#N/A,TRUE,"График";#N/A,#N/A,TRUE,"График"}</definedName>
    <definedName name="_________fjk1" localSheetId="0" hidden="1">{#N/A,#N/A,TRUE,"Пресса";#N/A,#N/A,TRUE,"Метро";#N/A,#N/A,TRUE,"Щиты";#N/A,#N/A,TRUE,"График";#N/A,#N/A,TRUE,"График"}</definedName>
    <definedName name="_________fjk1" hidden="1">{#N/A,#N/A,TRUE,"Пресса";#N/A,#N/A,TRUE,"Метро";#N/A,#N/A,TRUE,"Щиты";#N/A,#N/A,TRUE,"График";#N/A,#N/A,TRUE,"График"}</definedName>
    <definedName name="_________fjk2" localSheetId="1" hidden="1">{#N/A,#N/A,TRUE,"Пресса";#N/A,#N/A,TRUE,"Метро";#N/A,#N/A,TRUE,"Щиты";#N/A,#N/A,TRUE,"График";#N/A,#N/A,TRUE,"График"}</definedName>
    <definedName name="_________fjk2" localSheetId="2" hidden="1">{#N/A,#N/A,TRUE,"Пресса";#N/A,#N/A,TRUE,"Метро";#N/A,#N/A,TRUE,"Щиты";#N/A,#N/A,TRUE,"График";#N/A,#N/A,TRUE,"График"}</definedName>
    <definedName name="_________fjk2" localSheetId="0" hidden="1">{#N/A,#N/A,TRUE,"Пресса";#N/A,#N/A,TRUE,"Метро";#N/A,#N/A,TRUE,"Щиты";#N/A,#N/A,TRUE,"График";#N/A,#N/A,TRUE,"График"}</definedName>
    <definedName name="_________fjk2" hidden="1">{#N/A,#N/A,TRUE,"Пресса";#N/A,#N/A,TRUE,"Метро";#N/A,#N/A,TRUE,"Щиты";#N/A,#N/A,TRUE,"График";#N/A,#N/A,TRUE,"График"}</definedName>
    <definedName name="_________GK2" localSheetId="1" hidden="1">{#N/A,#N/A,TRUE,"Пресса";#N/A,#N/A,TRUE,"Метро";#N/A,#N/A,TRUE,"Щиты";#N/A,#N/A,TRUE,"График";#N/A,#N/A,TRUE,"График"}</definedName>
    <definedName name="_________GK2" localSheetId="2" hidden="1">{#N/A,#N/A,TRUE,"Пресса";#N/A,#N/A,TRUE,"Метро";#N/A,#N/A,TRUE,"Щиты";#N/A,#N/A,TRUE,"График";#N/A,#N/A,TRUE,"График"}</definedName>
    <definedName name="_________GK2" localSheetId="0" hidden="1">{#N/A,#N/A,TRUE,"Пресса";#N/A,#N/A,TRUE,"Метро";#N/A,#N/A,TRUE,"Щиты";#N/A,#N/A,TRUE,"График";#N/A,#N/A,TRUE,"График"}</definedName>
    <definedName name="_________GK2" hidden="1">{#N/A,#N/A,TRUE,"Пресса";#N/A,#N/A,TRUE,"Метро";#N/A,#N/A,TRUE,"Щиты";#N/A,#N/A,TRUE,"График";#N/A,#N/A,TRUE,"График"}</definedName>
    <definedName name="_________hen2" localSheetId="1" hidden="1">{#N/A,#N/A,TRUE,"Пресса";#N/A,#N/A,TRUE,"Метро";#N/A,#N/A,TRUE,"Щиты";#N/A,#N/A,TRUE,"График";#N/A,#N/A,TRUE,"График"}</definedName>
    <definedName name="_________hen2" localSheetId="2" hidden="1">{#N/A,#N/A,TRUE,"Пресса";#N/A,#N/A,TRUE,"Метро";#N/A,#N/A,TRUE,"Щиты";#N/A,#N/A,TRUE,"График";#N/A,#N/A,TRUE,"График"}</definedName>
    <definedName name="_________hen2" localSheetId="0" hidden="1">{#N/A,#N/A,TRUE,"Пресса";#N/A,#N/A,TRUE,"Метро";#N/A,#N/A,TRUE,"Щиты";#N/A,#N/A,TRUE,"График";#N/A,#N/A,TRUE,"График"}</definedName>
    <definedName name="_________hen2" hidden="1">{#N/A,#N/A,TRUE,"Пресса";#N/A,#N/A,TRUE,"Метро";#N/A,#N/A,TRUE,"Щиты";#N/A,#N/A,TRUE,"График";#N/A,#N/A,TRUE,"График"}</definedName>
    <definedName name="_________MCV2">[1]Vehicles!$B$58:$O$58</definedName>
    <definedName name="_________old1" localSheetId="1" hidden="1">{#N/A,#N/A,TRUE,"Пресса";#N/A,#N/A,TRUE,"Метро";#N/A,#N/A,TRUE,"Щиты";#N/A,#N/A,TRUE,"График";#N/A,#N/A,TRUE,"График"}</definedName>
    <definedName name="_________old1" localSheetId="2" hidden="1">{#N/A,#N/A,TRUE,"Пресса";#N/A,#N/A,TRUE,"Метро";#N/A,#N/A,TRUE,"Щиты";#N/A,#N/A,TRUE,"График";#N/A,#N/A,TRUE,"График"}</definedName>
    <definedName name="_________old1" localSheetId="0" hidden="1">{#N/A,#N/A,TRUE,"Пресса";#N/A,#N/A,TRUE,"Метро";#N/A,#N/A,TRUE,"Щиты";#N/A,#N/A,TRUE,"График";#N/A,#N/A,TRUE,"График"}</definedName>
    <definedName name="_________old1" hidden="1">{#N/A,#N/A,TRUE,"Пресса";#N/A,#N/A,TRUE,"Метро";#N/A,#N/A,TRUE,"Щиты";#N/A,#N/A,TRUE,"График";#N/A,#N/A,TRUE,"График"}</definedName>
    <definedName name="_________old2" localSheetId="1" hidden="1">{#N/A,#N/A,TRUE,"Пресса";#N/A,#N/A,TRUE,"Метро";#N/A,#N/A,TRUE,"Щиты";#N/A,#N/A,TRUE,"График";#N/A,#N/A,TRUE,"График"}</definedName>
    <definedName name="_________old2" localSheetId="2" hidden="1">{#N/A,#N/A,TRUE,"Пресса";#N/A,#N/A,TRUE,"Метро";#N/A,#N/A,TRUE,"Щиты";#N/A,#N/A,TRUE,"График";#N/A,#N/A,TRUE,"График"}</definedName>
    <definedName name="_________old2" localSheetId="0" hidden="1">{#N/A,#N/A,TRUE,"Пресса";#N/A,#N/A,TRUE,"Метро";#N/A,#N/A,TRUE,"Щиты";#N/A,#N/A,TRUE,"График";#N/A,#N/A,TRUE,"График"}</definedName>
    <definedName name="_________old2" hidden="1">{#N/A,#N/A,TRUE,"Пресса";#N/A,#N/A,TRUE,"Метро";#N/A,#N/A,TRUE,"Щиты";#N/A,#N/A,TRUE,"График";#N/A,#N/A,TRUE,"График"}</definedName>
    <definedName name="_________wwe2" localSheetId="1" hidden="1">{#VALUE!,#N/A,TRUE,0;#N/A,#N/A,TRUE,0;#N/A,#N/A,TRUE,0;#N/A,#N/A,TRUE,0;#N/A,#N/A,TRUE,0}</definedName>
    <definedName name="_________wwe2" localSheetId="2" hidden="1">{#VALUE!,#N/A,TRUE,0;#N/A,#N/A,TRUE,0;#N/A,#N/A,TRUE,0;#N/A,#N/A,TRUE,0;#N/A,#N/A,TRUE,0}</definedName>
    <definedName name="_________wwe2" localSheetId="0" hidden="1">{#VALUE!,#N/A,TRUE,0;#N/A,#N/A,TRUE,0;#N/A,#N/A,TRUE,0;#N/A,#N/A,TRUE,0;#N/A,#N/A,TRUE,0}</definedName>
    <definedName name="_________wwe2" hidden="1">{#VALUE!,#N/A,TRUE,0;#N/A,#N/A,TRUE,0;#N/A,#N/A,TRUE,0;#N/A,#N/A,TRUE,0;#N/A,#N/A,TRUE,0}</definedName>
    <definedName name="________erw2" hidden="1">27</definedName>
    <definedName name="________MCV2">[1]Vehicles!$B$58:$O$58</definedName>
    <definedName name="_______dd1" localSheetId="1" hidden="1">{#N/A,#N/A,TRUE,"Пресса";#N/A,#N/A,TRUE,"Метро";#N/A,#N/A,TRUE,"Щиты";#N/A,#N/A,TRUE,"График";#N/A,#N/A,TRUE,"График"}</definedName>
    <definedName name="_______dd1" localSheetId="2" hidden="1">{#N/A,#N/A,TRUE,"Пресса";#N/A,#N/A,TRUE,"Метро";#N/A,#N/A,TRUE,"Щиты";#N/A,#N/A,TRUE,"График";#N/A,#N/A,TRUE,"График"}</definedName>
    <definedName name="_______dd1" localSheetId="0" hidden="1">{#N/A,#N/A,TRUE,"Пресса";#N/A,#N/A,TRUE,"Метро";#N/A,#N/A,TRUE,"Щиты";#N/A,#N/A,TRUE,"График";#N/A,#N/A,TRUE,"График"}</definedName>
    <definedName name="_______dd1" hidden="1">{#N/A,#N/A,TRUE,"Пресса";#N/A,#N/A,TRUE,"Метро";#N/A,#N/A,TRUE,"Щиты";#N/A,#N/A,TRUE,"График";#N/A,#N/A,TRUE,"График"}</definedName>
    <definedName name="_______eh1" localSheetId="1" hidden="1">{#N/A,#N/A,TRUE,"Пресса";#N/A,#N/A,TRUE,"Метро";#N/A,#N/A,TRUE,"Щиты";#N/A,#N/A,TRUE,"График";#N/A,#N/A,TRUE,"График"}</definedName>
    <definedName name="_______eh1" localSheetId="2" hidden="1">{#N/A,#N/A,TRUE,"Пресса";#N/A,#N/A,TRUE,"Метро";#N/A,#N/A,TRUE,"Щиты";#N/A,#N/A,TRUE,"График";#N/A,#N/A,TRUE,"График"}</definedName>
    <definedName name="_______eh1" localSheetId="0" hidden="1">{#N/A,#N/A,TRUE,"Пресса";#N/A,#N/A,TRUE,"Метро";#N/A,#N/A,TRUE,"Щиты";#N/A,#N/A,TRUE,"График";#N/A,#N/A,TRUE,"График"}</definedName>
    <definedName name="_______eh1" hidden="1">{#N/A,#N/A,TRUE,"Пресса";#N/A,#N/A,TRUE,"Метро";#N/A,#N/A,TRUE,"Щиты";#N/A,#N/A,TRUE,"График";#N/A,#N/A,TRUE,"График"}</definedName>
    <definedName name="_______erw2" hidden="1">27</definedName>
    <definedName name="_______fjk1" localSheetId="1" hidden="1">{#N/A,#N/A,TRUE,"Пресса";#N/A,#N/A,TRUE,"Метро";#N/A,#N/A,TRUE,"Щиты";#N/A,#N/A,TRUE,"График";#N/A,#N/A,TRUE,"График"}</definedName>
    <definedName name="_______fjk1" localSheetId="2" hidden="1">{#N/A,#N/A,TRUE,"Пресса";#N/A,#N/A,TRUE,"Метро";#N/A,#N/A,TRUE,"Щиты";#N/A,#N/A,TRUE,"График";#N/A,#N/A,TRUE,"График"}</definedName>
    <definedName name="_______fjk1" localSheetId="0" hidden="1">{#N/A,#N/A,TRUE,"Пресса";#N/A,#N/A,TRUE,"Метро";#N/A,#N/A,TRUE,"Щиты";#N/A,#N/A,TRUE,"График";#N/A,#N/A,TRUE,"График"}</definedName>
    <definedName name="_______fjk1" hidden="1">{#N/A,#N/A,TRUE,"Пресса";#N/A,#N/A,TRUE,"Метро";#N/A,#N/A,TRUE,"Щиты";#N/A,#N/A,TRUE,"График";#N/A,#N/A,TRUE,"График"}</definedName>
    <definedName name="_______fjk2" localSheetId="1" hidden="1">{#N/A,#N/A,TRUE,"Пресса";#N/A,#N/A,TRUE,"Метро";#N/A,#N/A,TRUE,"Щиты";#N/A,#N/A,TRUE,"График";#N/A,#N/A,TRUE,"График"}</definedName>
    <definedName name="_______fjk2" localSheetId="2" hidden="1">{#N/A,#N/A,TRUE,"Пресса";#N/A,#N/A,TRUE,"Метро";#N/A,#N/A,TRUE,"Щиты";#N/A,#N/A,TRUE,"График";#N/A,#N/A,TRUE,"График"}</definedName>
    <definedName name="_______fjk2" localSheetId="0" hidden="1">{#N/A,#N/A,TRUE,"Пресса";#N/A,#N/A,TRUE,"Метро";#N/A,#N/A,TRUE,"Щиты";#N/A,#N/A,TRUE,"График";#N/A,#N/A,TRUE,"График"}</definedName>
    <definedName name="_______fjk2" hidden="1">{#N/A,#N/A,TRUE,"Пресса";#N/A,#N/A,TRUE,"Метро";#N/A,#N/A,TRUE,"Щиты";#N/A,#N/A,TRUE,"График";#N/A,#N/A,TRUE,"График"}</definedName>
    <definedName name="_______GK2" localSheetId="1" hidden="1">{#N/A,#N/A,TRUE,"Пресса";#N/A,#N/A,TRUE,"Метро";#N/A,#N/A,TRUE,"Щиты";#N/A,#N/A,TRUE,"График";#N/A,#N/A,TRUE,"График"}</definedName>
    <definedName name="_______GK2" localSheetId="2" hidden="1">{#N/A,#N/A,TRUE,"Пресса";#N/A,#N/A,TRUE,"Метро";#N/A,#N/A,TRUE,"Щиты";#N/A,#N/A,TRUE,"График";#N/A,#N/A,TRUE,"График"}</definedName>
    <definedName name="_______GK2" localSheetId="0" hidden="1">{#N/A,#N/A,TRUE,"Пресса";#N/A,#N/A,TRUE,"Метро";#N/A,#N/A,TRUE,"Щиты";#N/A,#N/A,TRUE,"График";#N/A,#N/A,TRUE,"График"}</definedName>
    <definedName name="_______GK2" hidden="1">{#N/A,#N/A,TRUE,"Пресса";#N/A,#N/A,TRUE,"Метро";#N/A,#N/A,TRUE,"Щиты";#N/A,#N/A,TRUE,"График";#N/A,#N/A,TRUE,"График"}</definedName>
    <definedName name="_______hen2" localSheetId="1" hidden="1">{#N/A,#N/A,TRUE,"Пресса";#N/A,#N/A,TRUE,"Метро";#N/A,#N/A,TRUE,"Щиты";#N/A,#N/A,TRUE,"График";#N/A,#N/A,TRUE,"График"}</definedName>
    <definedName name="_______hen2" localSheetId="2" hidden="1">{#N/A,#N/A,TRUE,"Пресса";#N/A,#N/A,TRUE,"Метро";#N/A,#N/A,TRUE,"Щиты";#N/A,#N/A,TRUE,"График";#N/A,#N/A,TRUE,"График"}</definedName>
    <definedName name="_______hen2" localSheetId="0" hidden="1">{#N/A,#N/A,TRUE,"Пресса";#N/A,#N/A,TRUE,"Метро";#N/A,#N/A,TRUE,"Щиты";#N/A,#N/A,TRUE,"График";#N/A,#N/A,TRUE,"График"}</definedName>
    <definedName name="_______hen2" hidden="1">{#N/A,#N/A,TRUE,"Пресса";#N/A,#N/A,TRUE,"Метро";#N/A,#N/A,TRUE,"Щиты";#N/A,#N/A,TRUE,"График";#N/A,#N/A,TRUE,"График"}</definedName>
    <definedName name="_______MCV2">[1]Vehicles!$B$58:$O$58</definedName>
    <definedName name="_______old1" localSheetId="1" hidden="1">{#N/A,#N/A,TRUE,"Пресса";#N/A,#N/A,TRUE,"Метро";#N/A,#N/A,TRUE,"Щиты";#N/A,#N/A,TRUE,"График";#N/A,#N/A,TRUE,"График"}</definedName>
    <definedName name="_______old1" localSheetId="2" hidden="1">{#N/A,#N/A,TRUE,"Пресса";#N/A,#N/A,TRUE,"Метро";#N/A,#N/A,TRUE,"Щиты";#N/A,#N/A,TRUE,"График";#N/A,#N/A,TRUE,"График"}</definedName>
    <definedName name="_______old1" localSheetId="0" hidden="1">{#N/A,#N/A,TRUE,"Пресса";#N/A,#N/A,TRUE,"Метро";#N/A,#N/A,TRUE,"Щиты";#N/A,#N/A,TRUE,"График";#N/A,#N/A,TRUE,"График"}</definedName>
    <definedName name="_______old1" hidden="1">{#N/A,#N/A,TRUE,"Пресса";#N/A,#N/A,TRUE,"Метро";#N/A,#N/A,TRUE,"Щиты";#N/A,#N/A,TRUE,"График";#N/A,#N/A,TRUE,"График"}</definedName>
    <definedName name="_______old2" localSheetId="1" hidden="1">{#N/A,#N/A,TRUE,"Пресса";#N/A,#N/A,TRUE,"Метро";#N/A,#N/A,TRUE,"Щиты";#N/A,#N/A,TRUE,"График";#N/A,#N/A,TRUE,"График"}</definedName>
    <definedName name="_______old2" localSheetId="2" hidden="1">{#N/A,#N/A,TRUE,"Пресса";#N/A,#N/A,TRUE,"Метро";#N/A,#N/A,TRUE,"Щиты";#N/A,#N/A,TRUE,"График";#N/A,#N/A,TRUE,"График"}</definedName>
    <definedName name="_______old2" localSheetId="0" hidden="1">{#N/A,#N/A,TRUE,"Пресса";#N/A,#N/A,TRUE,"Метро";#N/A,#N/A,TRUE,"Щиты";#N/A,#N/A,TRUE,"График";#N/A,#N/A,TRUE,"График"}</definedName>
    <definedName name="_______old2" hidden="1">{#N/A,#N/A,TRUE,"Пресса";#N/A,#N/A,TRUE,"Метро";#N/A,#N/A,TRUE,"Щиты";#N/A,#N/A,TRUE,"График";#N/A,#N/A,TRUE,"График"}</definedName>
    <definedName name="_______wwe2" localSheetId="1" hidden="1">{#VALUE!,#N/A,TRUE,0;#N/A,#N/A,TRUE,0;#N/A,#N/A,TRUE,0;#N/A,#N/A,TRUE,0;#N/A,#N/A,TRUE,0}</definedName>
    <definedName name="_______wwe2" localSheetId="2" hidden="1">{#VALUE!,#N/A,TRUE,0;#N/A,#N/A,TRUE,0;#N/A,#N/A,TRUE,0;#N/A,#N/A,TRUE,0;#N/A,#N/A,TRUE,0}</definedName>
    <definedName name="_______wwe2" localSheetId="0" hidden="1">{#VALUE!,#N/A,TRUE,0;#N/A,#N/A,TRUE,0;#N/A,#N/A,TRUE,0;#N/A,#N/A,TRUE,0;#N/A,#N/A,TRUE,0}</definedName>
    <definedName name="_______wwe2" hidden="1">{#VALUE!,#N/A,TRUE,0;#N/A,#N/A,TRUE,0;#N/A,#N/A,TRUE,0;#N/A,#N/A,TRUE,0;#N/A,#N/A,TRUE,0}</definedName>
    <definedName name="______1solver_rh¤" hidden="1">4</definedName>
    <definedName name="______2solver_va" hidden="1">27</definedName>
    <definedName name="______dd1" localSheetId="1" hidden="1">{#N/A,#N/A,TRUE,"Пресса";#N/A,#N/A,TRUE,"Метро";#N/A,#N/A,TRUE,"Щиты";#N/A,#N/A,TRUE,"График";#N/A,#N/A,TRUE,"График"}</definedName>
    <definedName name="______dd1" localSheetId="2" hidden="1">{#N/A,#N/A,TRUE,"Пресса";#N/A,#N/A,TRUE,"Метро";#N/A,#N/A,TRUE,"Щиты";#N/A,#N/A,TRUE,"График";#N/A,#N/A,TRUE,"График"}</definedName>
    <definedName name="______dd1" localSheetId="0" hidden="1">{#N/A,#N/A,TRUE,"Пресса";#N/A,#N/A,TRUE,"Метро";#N/A,#N/A,TRUE,"Щиты";#N/A,#N/A,TRUE,"График";#N/A,#N/A,TRUE,"График"}</definedName>
    <definedName name="______dd1" hidden="1">{#N/A,#N/A,TRUE,"Пресса";#N/A,#N/A,TRUE,"Метро";#N/A,#N/A,TRUE,"Щиты";#N/A,#N/A,TRUE,"График";#N/A,#N/A,TRUE,"График"}</definedName>
    <definedName name="______eh1" localSheetId="1" hidden="1">{#N/A,#N/A,TRUE,"Пресса";#N/A,#N/A,TRUE,"Метро";#N/A,#N/A,TRUE,"Щиты";#N/A,#N/A,TRUE,"График";#N/A,#N/A,TRUE,"График"}</definedName>
    <definedName name="______eh1" localSheetId="2" hidden="1">{#N/A,#N/A,TRUE,"Пресса";#N/A,#N/A,TRUE,"Метро";#N/A,#N/A,TRUE,"Щиты";#N/A,#N/A,TRUE,"График";#N/A,#N/A,TRUE,"График"}</definedName>
    <definedName name="______eh1" localSheetId="0" hidden="1">{#N/A,#N/A,TRUE,"Пресса";#N/A,#N/A,TRUE,"Метро";#N/A,#N/A,TRUE,"Щиты";#N/A,#N/A,TRUE,"График";#N/A,#N/A,TRUE,"График"}</definedName>
    <definedName name="______eh1" hidden="1">{#N/A,#N/A,TRUE,"Пресса";#N/A,#N/A,TRUE,"Метро";#N/A,#N/A,TRUE,"Щиты";#N/A,#N/A,TRUE,"График";#N/A,#N/A,TRUE,"График"}</definedName>
    <definedName name="______erw2" hidden="1">27</definedName>
    <definedName name="______fjk1" localSheetId="1" hidden="1">{#N/A,#N/A,TRUE,"Пресса";#N/A,#N/A,TRUE,"Метро";#N/A,#N/A,TRUE,"Щиты";#N/A,#N/A,TRUE,"График";#N/A,#N/A,TRUE,"График"}</definedName>
    <definedName name="______fjk1" localSheetId="2" hidden="1">{#N/A,#N/A,TRUE,"Пресса";#N/A,#N/A,TRUE,"Метро";#N/A,#N/A,TRUE,"Щиты";#N/A,#N/A,TRUE,"График";#N/A,#N/A,TRUE,"График"}</definedName>
    <definedName name="______fjk1" localSheetId="0" hidden="1">{#N/A,#N/A,TRUE,"Пресса";#N/A,#N/A,TRUE,"Метро";#N/A,#N/A,TRUE,"Щиты";#N/A,#N/A,TRUE,"График";#N/A,#N/A,TRUE,"График"}</definedName>
    <definedName name="______fjk1" hidden="1">{#N/A,#N/A,TRUE,"Пресса";#N/A,#N/A,TRUE,"Метро";#N/A,#N/A,TRUE,"Щиты";#N/A,#N/A,TRUE,"График";#N/A,#N/A,TRUE,"График"}</definedName>
    <definedName name="______fjk2" localSheetId="1" hidden="1">{#N/A,#N/A,TRUE,"Пресса";#N/A,#N/A,TRUE,"Метро";#N/A,#N/A,TRUE,"Щиты";#N/A,#N/A,TRUE,"График";#N/A,#N/A,TRUE,"График"}</definedName>
    <definedName name="______fjk2" localSheetId="2" hidden="1">{#N/A,#N/A,TRUE,"Пресса";#N/A,#N/A,TRUE,"Метро";#N/A,#N/A,TRUE,"Щиты";#N/A,#N/A,TRUE,"График";#N/A,#N/A,TRUE,"График"}</definedName>
    <definedName name="______fjk2" localSheetId="0" hidden="1">{#N/A,#N/A,TRUE,"Пресса";#N/A,#N/A,TRUE,"Метро";#N/A,#N/A,TRUE,"Щиты";#N/A,#N/A,TRUE,"График";#N/A,#N/A,TRUE,"График"}</definedName>
    <definedName name="______fjk2" hidden="1">{#N/A,#N/A,TRUE,"Пресса";#N/A,#N/A,TRUE,"Метро";#N/A,#N/A,TRUE,"Щиты";#N/A,#N/A,TRUE,"График";#N/A,#N/A,TRUE,"График"}</definedName>
    <definedName name="______GK2" localSheetId="1" hidden="1">{#N/A,#N/A,TRUE,"Пресса";#N/A,#N/A,TRUE,"Метро";#N/A,#N/A,TRUE,"Щиты";#N/A,#N/A,TRUE,"График";#N/A,#N/A,TRUE,"График"}</definedName>
    <definedName name="______GK2" localSheetId="2" hidden="1">{#N/A,#N/A,TRUE,"Пресса";#N/A,#N/A,TRUE,"Метро";#N/A,#N/A,TRUE,"Щиты";#N/A,#N/A,TRUE,"График";#N/A,#N/A,TRUE,"График"}</definedName>
    <definedName name="______GK2" localSheetId="0" hidden="1">{#N/A,#N/A,TRUE,"Пресса";#N/A,#N/A,TRUE,"Метро";#N/A,#N/A,TRUE,"Щиты";#N/A,#N/A,TRUE,"График";#N/A,#N/A,TRUE,"График"}</definedName>
    <definedName name="______GK2" hidden="1">{#N/A,#N/A,TRUE,"Пресса";#N/A,#N/A,TRUE,"Метро";#N/A,#N/A,TRUE,"Щиты";#N/A,#N/A,TRUE,"График";#N/A,#N/A,TRUE,"График"}</definedName>
    <definedName name="______hen2" localSheetId="1" hidden="1">{#N/A,#N/A,TRUE,"Пресса";#N/A,#N/A,TRUE,"Метро";#N/A,#N/A,TRUE,"Щиты";#N/A,#N/A,TRUE,"График";#N/A,#N/A,TRUE,"График"}</definedName>
    <definedName name="______hen2" localSheetId="2" hidden="1">{#N/A,#N/A,TRUE,"Пресса";#N/A,#N/A,TRUE,"Метро";#N/A,#N/A,TRUE,"Щиты";#N/A,#N/A,TRUE,"График";#N/A,#N/A,TRUE,"График"}</definedName>
    <definedName name="______hen2" localSheetId="0" hidden="1">{#N/A,#N/A,TRUE,"Пресса";#N/A,#N/A,TRUE,"Метро";#N/A,#N/A,TRUE,"Щиты";#N/A,#N/A,TRUE,"График";#N/A,#N/A,TRUE,"График"}</definedName>
    <definedName name="______hen2" hidden="1">{#N/A,#N/A,TRUE,"Пресса";#N/A,#N/A,TRUE,"Метро";#N/A,#N/A,TRUE,"Щиты";#N/A,#N/A,TRUE,"График";#N/A,#N/A,TRUE,"График"}</definedName>
    <definedName name="______MCV2">[1]Vehicles!$B$58:$O$58</definedName>
    <definedName name="______old1" localSheetId="1" hidden="1">{#N/A,#N/A,TRUE,"Пресса";#N/A,#N/A,TRUE,"Метро";#N/A,#N/A,TRUE,"Щиты";#N/A,#N/A,TRUE,"График";#N/A,#N/A,TRUE,"График"}</definedName>
    <definedName name="______old1" localSheetId="2" hidden="1">{#N/A,#N/A,TRUE,"Пресса";#N/A,#N/A,TRUE,"Метро";#N/A,#N/A,TRUE,"Щиты";#N/A,#N/A,TRUE,"График";#N/A,#N/A,TRUE,"График"}</definedName>
    <definedName name="______old1" localSheetId="0" hidden="1">{#N/A,#N/A,TRUE,"Пресса";#N/A,#N/A,TRUE,"Метро";#N/A,#N/A,TRUE,"Щиты";#N/A,#N/A,TRUE,"График";#N/A,#N/A,TRUE,"График"}</definedName>
    <definedName name="______old1" hidden="1">{#N/A,#N/A,TRUE,"Пресса";#N/A,#N/A,TRUE,"Метро";#N/A,#N/A,TRUE,"Щиты";#N/A,#N/A,TRUE,"График";#N/A,#N/A,TRUE,"График"}</definedName>
    <definedName name="______old2" localSheetId="1" hidden="1">{#N/A,#N/A,TRUE,"Пресса";#N/A,#N/A,TRUE,"Метро";#N/A,#N/A,TRUE,"Щиты";#N/A,#N/A,TRUE,"График";#N/A,#N/A,TRUE,"График"}</definedName>
    <definedName name="______old2" localSheetId="2" hidden="1">{#N/A,#N/A,TRUE,"Пресса";#N/A,#N/A,TRUE,"Метро";#N/A,#N/A,TRUE,"Щиты";#N/A,#N/A,TRUE,"График";#N/A,#N/A,TRUE,"График"}</definedName>
    <definedName name="______old2" localSheetId="0" hidden="1">{#N/A,#N/A,TRUE,"Пресса";#N/A,#N/A,TRUE,"Метро";#N/A,#N/A,TRUE,"Щиты";#N/A,#N/A,TRUE,"График";#N/A,#N/A,TRUE,"График"}</definedName>
    <definedName name="______old2" hidden="1">{#N/A,#N/A,TRUE,"Пресса";#N/A,#N/A,TRUE,"Метро";#N/A,#N/A,TRUE,"Щиты";#N/A,#N/A,TRUE,"График";#N/A,#N/A,TRUE,"График"}</definedName>
    <definedName name="______wwe2" localSheetId="1" hidden="1">{#VALUE!,#N/A,TRUE,0;#N/A,#N/A,TRUE,0;#N/A,#N/A,TRUE,0;#N/A,#N/A,TRUE,0;#N/A,#N/A,TRUE,0}</definedName>
    <definedName name="______wwe2" localSheetId="2" hidden="1">{#VALUE!,#N/A,TRUE,0;#N/A,#N/A,TRUE,0;#N/A,#N/A,TRUE,0;#N/A,#N/A,TRUE,0;#N/A,#N/A,TRUE,0}</definedName>
    <definedName name="______wwe2" localSheetId="0" hidden="1">{#VALUE!,#N/A,TRUE,0;#N/A,#N/A,TRUE,0;#N/A,#N/A,TRUE,0;#N/A,#N/A,TRUE,0;#N/A,#N/A,TRUE,0}</definedName>
    <definedName name="______wwe2" hidden="1">{#VALUE!,#N/A,TRUE,0;#N/A,#N/A,TRUE,0;#N/A,#N/A,TRUE,0;#N/A,#N/A,TRUE,0;#N/A,#N/A,TRUE,0}</definedName>
    <definedName name="_____1solver_rh¤" hidden="1">4</definedName>
    <definedName name="_____2solver_va" hidden="1">27</definedName>
    <definedName name="_____dd1" localSheetId="1" hidden="1">{#N/A,#N/A,TRUE,"Пресса";#N/A,#N/A,TRUE,"Метро";#N/A,#N/A,TRUE,"Щиты";#N/A,#N/A,TRUE,"График";#N/A,#N/A,TRUE,"График"}</definedName>
    <definedName name="_____dd1" localSheetId="2" hidden="1">{#N/A,#N/A,TRUE,"Пресса";#N/A,#N/A,TRUE,"Метро";#N/A,#N/A,TRUE,"Щиты";#N/A,#N/A,TRUE,"График";#N/A,#N/A,TRUE,"График"}</definedName>
    <definedName name="_____dd1" localSheetId="0" hidden="1">{#N/A,#N/A,TRUE,"Пресса";#N/A,#N/A,TRUE,"Метро";#N/A,#N/A,TRUE,"Щиты";#N/A,#N/A,TRUE,"График";#N/A,#N/A,TRUE,"График"}</definedName>
    <definedName name="_____dd1" hidden="1">{#N/A,#N/A,TRUE,"Пресса";#N/A,#N/A,TRUE,"Метро";#N/A,#N/A,TRUE,"Щиты";#N/A,#N/A,TRUE,"График";#N/A,#N/A,TRUE,"График"}</definedName>
    <definedName name="_____eh1" localSheetId="1" hidden="1">{#N/A,#N/A,TRUE,"Пресса";#N/A,#N/A,TRUE,"Метро";#N/A,#N/A,TRUE,"Щиты";#N/A,#N/A,TRUE,"График";#N/A,#N/A,TRUE,"График"}</definedName>
    <definedName name="_____eh1" localSheetId="2" hidden="1">{#N/A,#N/A,TRUE,"Пресса";#N/A,#N/A,TRUE,"Метро";#N/A,#N/A,TRUE,"Щиты";#N/A,#N/A,TRUE,"График";#N/A,#N/A,TRUE,"График"}</definedName>
    <definedName name="_____eh1" localSheetId="0" hidden="1">{#N/A,#N/A,TRUE,"Пресса";#N/A,#N/A,TRUE,"Метро";#N/A,#N/A,TRUE,"Щиты";#N/A,#N/A,TRUE,"График";#N/A,#N/A,TRUE,"График"}</definedName>
    <definedName name="_____eh1" hidden="1">{#N/A,#N/A,TRUE,"Пресса";#N/A,#N/A,TRUE,"Метро";#N/A,#N/A,TRUE,"Щиты";#N/A,#N/A,TRUE,"График";#N/A,#N/A,TRUE,"График"}</definedName>
    <definedName name="_____erw2" hidden="1">27</definedName>
    <definedName name="_____fjk1" localSheetId="1" hidden="1">{#N/A,#N/A,TRUE,"Пресса";#N/A,#N/A,TRUE,"Метро";#N/A,#N/A,TRUE,"Щиты";#N/A,#N/A,TRUE,"График";#N/A,#N/A,TRUE,"График"}</definedName>
    <definedName name="_____fjk1" localSheetId="2" hidden="1">{#N/A,#N/A,TRUE,"Пресса";#N/A,#N/A,TRUE,"Метро";#N/A,#N/A,TRUE,"Щиты";#N/A,#N/A,TRUE,"График";#N/A,#N/A,TRUE,"График"}</definedName>
    <definedName name="_____fjk1" localSheetId="0" hidden="1">{#N/A,#N/A,TRUE,"Пресса";#N/A,#N/A,TRUE,"Метро";#N/A,#N/A,TRUE,"Щиты";#N/A,#N/A,TRUE,"График";#N/A,#N/A,TRUE,"График"}</definedName>
    <definedName name="_____fjk1" hidden="1">{#N/A,#N/A,TRUE,"Пресса";#N/A,#N/A,TRUE,"Метро";#N/A,#N/A,TRUE,"Щиты";#N/A,#N/A,TRUE,"График";#N/A,#N/A,TRUE,"График"}</definedName>
    <definedName name="_____fjk2" localSheetId="1" hidden="1">{#N/A,#N/A,TRUE,"Пресса";#N/A,#N/A,TRUE,"Метро";#N/A,#N/A,TRUE,"Щиты";#N/A,#N/A,TRUE,"График";#N/A,#N/A,TRUE,"График"}</definedName>
    <definedName name="_____fjk2" localSheetId="2" hidden="1">{#N/A,#N/A,TRUE,"Пресса";#N/A,#N/A,TRUE,"Метро";#N/A,#N/A,TRUE,"Щиты";#N/A,#N/A,TRUE,"График";#N/A,#N/A,TRUE,"График"}</definedName>
    <definedName name="_____fjk2" localSheetId="0" hidden="1">{#N/A,#N/A,TRUE,"Пресса";#N/A,#N/A,TRUE,"Метро";#N/A,#N/A,TRUE,"Щиты";#N/A,#N/A,TRUE,"График";#N/A,#N/A,TRUE,"График"}</definedName>
    <definedName name="_____fjk2" hidden="1">{#N/A,#N/A,TRUE,"Пресса";#N/A,#N/A,TRUE,"Метро";#N/A,#N/A,TRUE,"Щиты";#N/A,#N/A,TRUE,"График";#N/A,#N/A,TRUE,"График"}</definedName>
    <definedName name="_____GK2" localSheetId="1" hidden="1">{#N/A,#N/A,TRUE,"Пресса";#N/A,#N/A,TRUE,"Метро";#N/A,#N/A,TRUE,"Щиты";#N/A,#N/A,TRUE,"График";#N/A,#N/A,TRUE,"График"}</definedName>
    <definedName name="_____GK2" localSheetId="2" hidden="1">{#N/A,#N/A,TRUE,"Пресса";#N/A,#N/A,TRUE,"Метро";#N/A,#N/A,TRUE,"Щиты";#N/A,#N/A,TRUE,"График";#N/A,#N/A,TRUE,"График"}</definedName>
    <definedName name="_____GK2" localSheetId="0" hidden="1">{#N/A,#N/A,TRUE,"Пресса";#N/A,#N/A,TRUE,"Метро";#N/A,#N/A,TRUE,"Щиты";#N/A,#N/A,TRUE,"График";#N/A,#N/A,TRUE,"График"}</definedName>
    <definedName name="_____GK2" hidden="1">{#N/A,#N/A,TRUE,"Пресса";#N/A,#N/A,TRUE,"Метро";#N/A,#N/A,TRUE,"Щиты";#N/A,#N/A,TRUE,"График";#N/A,#N/A,TRUE,"График"}</definedName>
    <definedName name="_____hen2" localSheetId="1" hidden="1">{#N/A,#N/A,TRUE,"Пресса";#N/A,#N/A,TRUE,"Метро";#N/A,#N/A,TRUE,"Щиты";#N/A,#N/A,TRUE,"График";#N/A,#N/A,TRUE,"График"}</definedName>
    <definedName name="_____hen2" localSheetId="2" hidden="1">{#N/A,#N/A,TRUE,"Пресса";#N/A,#N/A,TRUE,"Метро";#N/A,#N/A,TRUE,"Щиты";#N/A,#N/A,TRUE,"График";#N/A,#N/A,TRUE,"График"}</definedName>
    <definedName name="_____hen2" localSheetId="0" hidden="1">{#N/A,#N/A,TRUE,"Пресса";#N/A,#N/A,TRUE,"Метро";#N/A,#N/A,TRUE,"Щиты";#N/A,#N/A,TRUE,"График";#N/A,#N/A,TRUE,"График"}</definedName>
    <definedName name="_____hen2" hidden="1">{#N/A,#N/A,TRUE,"Пресса";#N/A,#N/A,TRUE,"Метро";#N/A,#N/A,TRUE,"Щиты";#N/A,#N/A,TRUE,"График";#N/A,#N/A,TRUE,"График"}</definedName>
    <definedName name="_____MCV2">[1]Vehicles!$B$58:$O$58</definedName>
    <definedName name="_____old1" localSheetId="1" hidden="1">{#N/A,#N/A,TRUE,"Пресса";#N/A,#N/A,TRUE,"Метро";#N/A,#N/A,TRUE,"Щиты";#N/A,#N/A,TRUE,"График";#N/A,#N/A,TRUE,"График"}</definedName>
    <definedName name="_____old1" localSheetId="2" hidden="1">{#N/A,#N/A,TRUE,"Пресса";#N/A,#N/A,TRUE,"Метро";#N/A,#N/A,TRUE,"Щиты";#N/A,#N/A,TRUE,"График";#N/A,#N/A,TRUE,"График"}</definedName>
    <definedName name="_____old1" localSheetId="0" hidden="1">{#N/A,#N/A,TRUE,"Пресса";#N/A,#N/A,TRUE,"Метро";#N/A,#N/A,TRUE,"Щиты";#N/A,#N/A,TRUE,"График";#N/A,#N/A,TRUE,"График"}</definedName>
    <definedName name="_____old1" hidden="1">{#N/A,#N/A,TRUE,"Пресса";#N/A,#N/A,TRUE,"Метро";#N/A,#N/A,TRUE,"Щиты";#N/A,#N/A,TRUE,"График";#N/A,#N/A,TRUE,"График"}</definedName>
    <definedName name="_____old2" localSheetId="1" hidden="1">{#N/A,#N/A,TRUE,"Пресса";#N/A,#N/A,TRUE,"Метро";#N/A,#N/A,TRUE,"Щиты";#N/A,#N/A,TRUE,"График";#N/A,#N/A,TRUE,"График"}</definedName>
    <definedName name="_____old2" localSheetId="2" hidden="1">{#N/A,#N/A,TRUE,"Пресса";#N/A,#N/A,TRUE,"Метро";#N/A,#N/A,TRUE,"Щиты";#N/A,#N/A,TRUE,"График";#N/A,#N/A,TRUE,"График"}</definedName>
    <definedName name="_____old2" localSheetId="0" hidden="1">{#N/A,#N/A,TRUE,"Пресса";#N/A,#N/A,TRUE,"Метро";#N/A,#N/A,TRUE,"Щиты";#N/A,#N/A,TRUE,"График";#N/A,#N/A,TRUE,"График"}</definedName>
    <definedName name="_____old2" hidden="1">{#N/A,#N/A,TRUE,"Пресса";#N/A,#N/A,TRUE,"Метро";#N/A,#N/A,TRUE,"Щиты";#N/A,#N/A,TRUE,"График";#N/A,#N/A,TRUE,"График"}</definedName>
    <definedName name="_____wwe2" localSheetId="1" hidden="1">{#VALUE!,#N/A,TRUE,0;#N/A,#N/A,TRUE,0;#N/A,#N/A,TRUE,0;#N/A,#N/A,TRUE,0;#N/A,#N/A,TRUE,0}</definedName>
    <definedName name="_____wwe2" localSheetId="2" hidden="1">{#VALUE!,#N/A,TRUE,0;#N/A,#N/A,TRUE,0;#N/A,#N/A,TRUE,0;#N/A,#N/A,TRUE,0;#N/A,#N/A,TRUE,0}</definedName>
    <definedName name="_____wwe2" localSheetId="0" hidden="1">{#VALUE!,#N/A,TRUE,0;#N/A,#N/A,TRUE,0;#N/A,#N/A,TRUE,0;#N/A,#N/A,TRUE,0;#N/A,#N/A,TRUE,0}</definedName>
    <definedName name="_____wwe2" hidden="1">{#VALUE!,#N/A,TRUE,0;#N/A,#N/A,TRUE,0;#N/A,#N/A,TRUE,0;#N/A,#N/A,TRUE,0;#N/A,#N/A,TRUE,0}</definedName>
    <definedName name="____1solver_rh¤" hidden="1">4</definedName>
    <definedName name="____2solver_va" hidden="1">27</definedName>
    <definedName name="____dd1" localSheetId="1" hidden="1">{#N/A,#N/A,TRUE,"Пресса";#N/A,#N/A,TRUE,"Метро";#N/A,#N/A,TRUE,"Щиты";#N/A,#N/A,TRUE,"График";#N/A,#N/A,TRUE,"График"}</definedName>
    <definedName name="____dd1" localSheetId="2" hidden="1">{#N/A,#N/A,TRUE,"Пресса";#N/A,#N/A,TRUE,"Метро";#N/A,#N/A,TRUE,"Щиты";#N/A,#N/A,TRUE,"График";#N/A,#N/A,TRUE,"График"}</definedName>
    <definedName name="____dd1" localSheetId="0" hidden="1">{#N/A,#N/A,TRUE,"Пресса";#N/A,#N/A,TRUE,"Метро";#N/A,#N/A,TRUE,"Щиты";#N/A,#N/A,TRUE,"График";#N/A,#N/A,TRUE,"График"}</definedName>
    <definedName name="____dd1" hidden="1">{#N/A,#N/A,TRUE,"Пресса";#N/A,#N/A,TRUE,"Метро";#N/A,#N/A,TRUE,"Щиты";#N/A,#N/A,TRUE,"График";#N/A,#N/A,TRUE,"График"}</definedName>
    <definedName name="____eh1" localSheetId="1" hidden="1">{#N/A,#N/A,TRUE,"Пресса";#N/A,#N/A,TRUE,"Метро";#N/A,#N/A,TRUE,"Щиты";#N/A,#N/A,TRUE,"График";#N/A,#N/A,TRUE,"График"}</definedName>
    <definedName name="____eh1" localSheetId="2" hidden="1">{#N/A,#N/A,TRUE,"Пресса";#N/A,#N/A,TRUE,"Метро";#N/A,#N/A,TRUE,"Щиты";#N/A,#N/A,TRUE,"График";#N/A,#N/A,TRUE,"График"}</definedName>
    <definedName name="____eh1" localSheetId="0" hidden="1">{#N/A,#N/A,TRUE,"Пресса";#N/A,#N/A,TRUE,"Метро";#N/A,#N/A,TRUE,"Щиты";#N/A,#N/A,TRUE,"График";#N/A,#N/A,TRUE,"График"}</definedName>
    <definedName name="____eh1" hidden="1">{#N/A,#N/A,TRUE,"Пресса";#N/A,#N/A,TRUE,"Метро";#N/A,#N/A,TRUE,"Щиты";#N/A,#N/A,TRUE,"График";#N/A,#N/A,TRUE,"График"}</definedName>
    <definedName name="____erw2" hidden="1">27</definedName>
    <definedName name="____fjk1" localSheetId="1" hidden="1">{#N/A,#N/A,TRUE,"Пресса";#N/A,#N/A,TRUE,"Метро";#N/A,#N/A,TRUE,"Щиты";#N/A,#N/A,TRUE,"График";#N/A,#N/A,TRUE,"График"}</definedName>
    <definedName name="____fjk1" localSheetId="2" hidden="1">{#N/A,#N/A,TRUE,"Пресса";#N/A,#N/A,TRUE,"Метро";#N/A,#N/A,TRUE,"Щиты";#N/A,#N/A,TRUE,"График";#N/A,#N/A,TRUE,"График"}</definedName>
    <definedName name="____fjk1" localSheetId="0" hidden="1">{#N/A,#N/A,TRUE,"Пресса";#N/A,#N/A,TRUE,"Метро";#N/A,#N/A,TRUE,"Щиты";#N/A,#N/A,TRUE,"График";#N/A,#N/A,TRUE,"График"}</definedName>
    <definedName name="____fjk1" hidden="1">{#N/A,#N/A,TRUE,"Пресса";#N/A,#N/A,TRUE,"Метро";#N/A,#N/A,TRUE,"Щиты";#N/A,#N/A,TRUE,"График";#N/A,#N/A,TRUE,"График"}</definedName>
    <definedName name="____fjk2" localSheetId="1" hidden="1">{#N/A,#N/A,TRUE,"Пресса";#N/A,#N/A,TRUE,"Метро";#N/A,#N/A,TRUE,"Щиты";#N/A,#N/A,TRUE,"График";#N/A,#N/A,TRUE,"График"}</definedName>
    <definedName name="____fjk2" localSheetId="2" hidden="1">{#N/A,#N/A,TRUE,"Пресса";#N/A,#N/A,TRUE,"Метро";#N/A,#N/A,TRUE,"Щиты";#N/A,#N/A,TRUE,"График";#N/A,#N/A,TRUE,"График"}</definedName>
    <definedName name="____fjk2" localSheetId="0" hidden="1">{#N/A,#N/A,TRUE,"Пресса";#N/A,#N/A,TRUE,"Метро";#N/A,#N/A,TRUE,"Щиты";#N/A,#N/A,TRUE,"График";#N/A,#N/A,TRUE,"График"}</definedName>
    <definedName name="____fjk2" hidden="1">{#N/A,#N/A,TRUE,"Пресса";#N/A,#N/A,TRUE,"Метро";#N/A,#N/A,TRUE,"Щиты";#N/A,#N/A,TRUE,"График";#N/A,#N/A,TRUE,"График"}</definedName>
    <definedName name="____GK2" localSheetId="1" hidden="1">{#N/A,#N/A,TRUE,"Пресса";#N/A,#N/A,TRUE,"Метро";#N/A,#N/A,TRUE,"Щиты";#N/A,#N/A,TRUE,"График";#N/A,#N/A,TRUE,"График"}</definedName>
    <definedName name="____GK2" localSheetId="2" hidden="1">{#N/A,#N/A,TRUE,"Пресса";#N/A,#N/A,TRUE,"Метро";#N/A,#N/A,TRUE,"Щиты";#N/A,#N/A,TRUE,"График";#N/A,#N/A,TRUE,"График"}</definedName>
    <definedName name="____GK2" localSheetId="0" hidden="1">{#N/A,#N/A,TRUE,"Пресса";#N/A,#N/A,TRUE,"Метро";#N/A,#N/A,TRUE,"Щиты";#N/A,#N/A,TRUE,"График";#N/A,#N/A,TRUE,"График"}</definedName>
    <definedName name="____GK2" hidden="1">{#N/A,#N/A,TRUE,"Пресса";#N/A,#N/A,TRUE,"Метро";#N/A,#N/A,TRUE,"Щиты";#N/A,#N/A,TRUE,"График";#N/A,#N/A,TRUE,"График"}</definedName>
    <definedName name="____hen2" localSheetId="1" hidden="1">{#N/A,#N/A,TRUE,"Пресса";#N/A,#N/A,TRUE,"Метро";#N/A,#N/A,TRUE,"Щиты";#N/A,#N/A,TRUE,"График";#N/A,#N/A,TRUE,"График"}</definedName>
    <definedName name="____hen2" localSheetId="2" hidden="1">{#N/A,#N/A,TRUE,"Пресса";#N/A,#N/A,TRUE,"Метро";#N/A,#N/A,TRUE,"Щиты";#N/A,#N/A,TRUE,"График";#N/A,#N/A,TRUE,"График"}</definedName>
    <definedName name="____hen2" localSheetId="0" hidden="1">{#N/A,#N/A,TRUE,"Пресса";#N/A,#N/A,TRUE,"Метро";#N/A,#N/A,TRUE,"Щиты";#N/A,#N/A,TRUE,"График";#N/A,#N/A,TRUE,"График"}</definedName>
    <definedName name="____hen2" hidden="1">{#N/A,#N/A,TRUE,"Пресса";#N/A,#N/A,TRUE,"Метро";#N/A,#N/A,TRUE,"Щиты";#N/A,#N/A,TRUE,"График";#N/A,#N/A,TRUE,"График"}</definedName>
    <definedName name="____MCV2">[1]Vehicles!$B$58:$O$58</definedName>
    <definedName name="____old1" localSheetId="1" hidden="1">{#N/A,#N/A,TRUE,"Пресса";#N/A,#N/A,TRUE,"Метро";#N/A,#N/A,TRUE,"Щиты";#N/A,#N/A,TRUE,"График";#N/A,#N/A,TRUE,"График"}</definedName>
    <definedName name="____old1" localSheetId="2" hidden="1">{#N/A,#N/A,TRUE,"Пресса";#N/A,#N/A,TRUE,"Метро";#N/A,#N/A,TRUE,"Щиты";#N/A,#N/A,TRUE,"График";#N/A,#N/A,TRUE,"График"}</definedName>
    <definedName name="____old1" localSheetId="0" hidden="1">{#N/A,#N/A,TRUE,"Пресса";#N/A,#N/A,TRUE,"Метро";#N/A,#N/A,TRUE,"Щиты";#N/A,#N/A,TRUE,"График";#N/A,#N/A,TRUE,"График"}</definedName>
    <definedName name="____old1" hidden="1">{#N/A,#N/A,TRUE,"Пресса";#N/A,#N/A,TRUE,"Метро";#N/A,#N/A,TRUE,"Щиты";#N/A,#N/A,TRUE,"График";#N/A,#N/A,TRUE,"График"}</definedName>
    <definedName name="____old2" localSheetId="1" hidden="1">{#N/A,#N/A,TRUE,"Пресса";#N/A,#N/A,TRUE,"Метро";#N/A,#N/A,TRUE,"Щиты";#N/A,#N/A,TRUE,"График";#N/A,#N/A,TRUE,"График"}</definedName>
    <definedName name="____old2" localSheetId="2" hidden="1">{#N/A,#N/A,TRUE,"Пресса";#N/A,#N/A,TRUE,"Метро";#N/A,#N/A,TRUE,"Щиты";#N/A,#N/A,TRUE,"График";#N/A,#N/A,TRUE,"График"}</definedName>
    <definedName name="____old2" localSheetId="0" hidden="1">{#N/A,#N/A,TRUE,"Пресса";#N/A,#N/A,TRUE,"Метро";#N/A,#N/A,TRUE,"Щиты";#N/A,#N/A,TRUE,"График";#N/A,#N/A,TRUE,"График"}</definedName>
    <definedName name="____old2" hidden="1">{#N/A,#N/A,TRUE,"Пресса";#N/A,#N/A,TRUE,"Метро";#N/A,#N/A,TRUE,"Щиты";#N/A,#N/A,TRUE,"График";#N/A,#N/A,TRUE,"График"}</definedName>
    <definedName name="____wwe2" localSheetId="1" hidden="1">{#VALUE!,#N/A,TRUE,0;#N/A,#N/A,TRUE,0;#N/A,#N/A,TRUE,0;#N/A,#N/A,TRUE,0;#N/A,#N/A,TRUE,0}</definedName>
    <definedName name="____wwe2" localSheetId="2" hidden="1">{#VALUE!,#N/A,TRUE,0;#N/A,#N/A,TRUE,0;#N/A,#N/A,TRUE,0;#N/A,#N/A,TRUE,0;#N/A,#N/A,TRUE,0}</definedName>
    <definedName name="____wwe2" localSheetId="0" hidden="1">{#VALUE!,#N/A,TRUE,0;#N/A,#N/A,TRUE,0;#N/A,#N/A,TRUE,0;#N/A,#N/A,TRUE,0;#N/A,#N/A,TRUE,0}</definedName>
    <definedName name="____wwe2" hidden="1">{#VALUE!,#N/A,TRUE,0;#N/A,#N/A,TRUE,0;#N/A,#N/A,TRUE,0;#N/A,#N/A,TRUE,0;#N/A,#N/A,TRUE,0}</definedName>
    <definedName name="___1solver_rh¤" hidden="1">4</definedName>
    <definedName name="___2solver_va" hidden="1">27</definedName>
    <definedName name="___dd1" localSheetId="1" hidden="1">{#N/A,#N/A,TRUE,"Пресса";#N/A,#N/A,TRUE,"Метро";#N/A,#N/A,TRUE,"Щиты";#N/A,#N/A,TRUE,"График";#N/A,#N/A,TRUE,"График"}</definedName>
    <definedName name="___dd1" localSheetId="2" hidden="1">{#N/A,#N/A,TRUE,"Пресса";#N/A,#N/A,TRUE,"Метро";#N/A,#N/A,TRUE,"Щиты";#N/A,#N/A,TRUE,"График";#N/A,#N/A,TRUE,"График"}</definedName>
    <definedName name="___dd1" localSheetId="0" hidden="1">{#N/A,#N/A,TRUE,"Пресса";#N/A,#N/A,TRUE,"Метро";#N/A,#N/A,TRUE,"Щиты";#N/A,#N/A,TRUE,"График";#N/A,#N/A,TRUE,"График"}</definedName>
    <definedName name="___dd1" hidden="1">{#N/A,#N/A,TRUE,"Пресса";#N/A,#N/A,TRUE,"Метро";#N/A,#N/A,TRUE,"Щиты";#N/A,#N/A,TRUE,"График";#N/A,#N/A,TRUE,"График"}</definedName>
    <definedName name="___eh1" localSheetId="1" hidden="1">{#N/A,#N/A,TRUE,"Пресса";#N/A,#N/A,TRUE,"Метро";#N/A,#N/A,TRUE,"Щиты";#N/A,#N/A,TRUE,"График";#N/A,#N/A,TRUE,"График"}</definedName>
    <definedName name="___eh1" localSheetId="2" hidden="1">{#N/A,#N/A,TRUE,"Пресса";#N/A,#N/A,TRUE,"Метро";#N/A,#N/A,TRUE,"Щиты";#N/A,#N/A,TRUE,"График";#N/A,#N/A,TRUE,"График"}</definedName>
    <definedName name="___eh1" localSheetId="0" hidden="1">{#N/A,#N/A,TRUE,"Пресса";#N/A,#N/A,TRUE,"Метро";#N/A,#N/A,TRUE,"Щиты";#N/A,#N/A,TRUE,"График";#N/A,#N/A,TRUE,"График"}</definedName>
    <definedName name="___eh1" hidden="1">{#N/A,#N/A,TRUE,"Пресса";#N/A,#N/A,TRUE,"Метро";#N/A,#N/A,TRUE,"Щиты";#N/A,#N/A,TRUE,"График";#N/A,#N/A,TRUE,"График"}</definedName>
    <definedName name="___erw2" hidden="1">27</definedName>
    <definedName name="___fjk1" localSheetId="1" hidden="1">{#N/A,#N/A,TRUE,"Пресса";#N/A,#N/A,TRUE,"Метро";#N/A,#N/A,TRUE,"Щиты";#N/A,#N/A,TRUE,"График";#N/A,#N/A,TRUE,"График"}</definedName>
    <definedName name="___fjk1" localSheetId="2" hidden="1">{#N/A,#N/A,TRUE,"Пресса";#N/A,#N/A,TRUE,"Метро";#N/A,#N/A,TRUE,"Щиты";#N/A,#N/A,TRUE,"График";#N/A,#N/A,TRUE,"График"}</definedName>
    <definedName name="___fjk1" localSheetId="0" hidden="1">{#N/A,#N/A,TRUE,"Пресса";#N/A,#N/A,TRUE,"Метро";#N/A,#N/A,TRUE,"Щиты";#N/A,#N/A,TRUE,"График";#N/A,#N/A,TRUE,"График"}</definedName>
    <definedName name="___fjk1" hidden="1">{#N/A,#N/A,TRUE,"Пресса";#N/A,#N/A,TRUE,"Метро";#N/A,#N/A,TRUE,"Щиты";#N/A,#N/A,TRUE,"График";#N/A,#N/A,TRUE,"График"}</definedName>
    <definedName name="___fjk2" localSheetId="1" hidden="1">{#N/A,#N/A,TRUE,"Пресса";#N/A,#N/A,TRUE,"Метро";#N/A,#N/A,TRUE,"Щиты";#N/A,#N/A,TRUE,"График";#N/A,#N/A,TRUE,"График"}</definedName>
    <definedName name="___fjk2" localSheetId="2" hidden="1">{#N/A,#N/A,TRUE,"Пресса";#N/A,#N/A,TRUE,"Метро";#N/A,#N/A,TRUE,"Щиты";#N/A,#N/A,TRUE,"График";#N/A,#N/A,TRUE,"График"}</definedName>
    <definedName name="___fjk2" localSheetId="0" hidden="1">{#N/A,#N/A,TRUE,"Пресса";#N/A,#N/A,TRUE,"Метро";#N/A,#N/A,TRUE,"Щиты";#N/A,#N/A,TRUE,"График";#N/A,#N/A,TRUE,"График"}</definedName>
    <definedName name="___fjk2" hidden="1">{#N/A,#N/A,TRUE,"Пресса";#N/A,#N/A,TRUE,"Метро";#N/A,#N/A,TRUE,"Щиты";#N/A,#N/A,TRUE,"График";#N/A,#N/A,TRUE,"График"}</definedName>
    <definedName name="___GK2" localSheetId="1" hidden="1">{#N/A,#N/A,TRUE,"Пресса";#N/A,#N/A,TRUE,"Метро";#N/A,#N/A,TRUE,"Щиты";#N/A,#N/A,TRUE,"График";#N/A,#N/A,TRUE,"График"}</definedName>
    <definedName name="___GK2" localSheetId="2" hidden="1">{#N/A,#N/A,TRUE,"Пресса";#N/A,#N/A,TRUE,"Метро";#N/A,#N/A,TRUE,"Щиты";#N/A,#N/A,TRUE,"График";#N/A,#N/A,TRUE,"График"}</definedName>
    <definedName name="___GK2" localSheetId="0" hidden="1">{#N/A,#N/A,TRUE,"Пресса";#N/A,#N/A,TRUE,"Метро";#N/A,#N/A,TRUE,"Щиты";#N/A,#N/A,TRUE,"График";#N/A,#N/A,TRUE,"График"}</definedName>
    <definedName name="___GK2" hidden="1">{#N/A,#N/A,TRUE,"Пресса";#N/A,#N/A,TRUE,"Метро";#N/A,#N/A,TRUE,"Щиты";#N/A,#N/A,TRUE,"График";#N/A,#N/A,TRUE,"График"}</definedName>
    <definedName name="___hen2" localSheetId="1" hidden="1">{#N/A,#N/A,TRUE,"Пресса";#N/A,#N/A,TRUE,"Метро";#N/A,#N/A,TRUE,"Щиты";#N/A,#N/A,TRUE,"График";#N/A,#N/A,TRUE,"График"}</definedName>
    <definedName name="___hen2" localSheetId="2" hidden="1">{#N/A,#N/A,TRUE,"Пресса";#N/A,#N/A,TRUE,"Метро";#N/A,#N/A,TRUE,"Щиты";#N/A,#N/A,TRUE,"График";#N/A,#N/A,TRUE,"График"}</definedName>
    <definedName name="___hen2" localSheetId="0" hidden="1">{#N/A,#N/A,TRUE,"Пресса";#N/A,#N/A,TRUE,"Метро";#N/A,#N/A,TRUE,"Щиты";#N/A,#N/A,TRUE,"График";#N/A,#N/A,TRUE,"График"}</definedName>
    <definedName name="___hen2" hidden="1">{#N/A,#N/A,TRUE,"Пресса";#N/A,#N/A,TRUE,"Метро";#N/A,#N/A,TRUE,"Щиты";#N/A,#N/A,TRUE,"График";#N/A,#N/A,TRUE,"График"}</definedName>
    <definedName name="___LL100">#REF!</definedName>
    <definedName name="___MCV2">[1]Vehicles!$B$58:$O$58</definedName>
    <definedName name="___old1" localSheetId="1" hidden="1">{#N/A,#N/A,TRUE,"Пресса";#N/A,#N/A,TRUE,"Метро";#N/A,#N/A,TRUE,"Щиты";#N/A,#N/A,TRUE,"График";#N/A,#N/A,TRUE,"График"}</definedName>
    <definedName name="___old1" localSheetId="2" hidden="1">{#N/A,#N/A,TRUE,"Пресса";#N/A,#N/A,TRUE,"Метро";#N/A,#N/A,TRUE,"Щиты";#N/A,#N/A,TRUE,"График";#N/A,#N/A,TRUE,"График"}</definedName>
    <definedName name="___old1" localSheetId="0" hidden="1">{#N/A,#N/A,TRUE,"Пресса";#N/A,#N/A,TRUE,"Метро";#N/A,#N/A,TRUE,"Щиты";#N/A,#N/A,TRUE,"График";#N/A,#N/A,TRUE,"График"}</definedName>
    <definedName name="___old1" hidden="1">{#N/A,#N/A,TRUE,"Пресса";#N/A,#N/A,TRUE,"Метро";#N/A,#N/A,TRUE,"Щиты";#N/A,#N/A,TRUE,"График";#N/A,#N/A,TRUE,"График"}</definedName>
    <definedName name="___old2" localSheetId="1" hidden="1">{#N/A,#N/A,TRUE,"Пресса";#N/A,#N/A,TRUE,"Метро";#N/A,#N/A,TRUE,"Щиты";#N/A,#N/A,TRUE,"График";#N/A,#N/A,TRUE,"График"}</definedName>
    <definedName name="___old2" localSheetId="2" hidden="1">{#N/A,#N/A,TRUE,"Пресса";#N/A,#N/A,TRUE,"Метро";#N/A,#N/A,TRUE,"Щиты";#N/A,#N/A,TRUE,"График";#N/A,#N/A,TRUE,"График"}</definedName>
    <definedName name="___old2" localSheetId="0" hidden="1">{#N/A,#N/A,TRUE,"Пресса";#N/A,#N/A,TRUE,"Метро";#N/A,#N/A,TRUE,"Щиты";#N/A,#N/A,TRUE,"График";#N/A,#N/A,TRUE,"График"}</definedName>
    <definedName name="___old2" hidden="1">{#N/A,#N/A,TRUE,"Пресса";#N/A,#N/A,TRUE,"Метро";#N/A,#N/A,TRUE,"Щиты";#N/A,#N/A,TRUE,"График";#N/A,#N/A,TRUE,"График"}</definedName>
    <definedName name="___wwe2" localSheetId="1" hidden="1">{#VALUE!,#N/A,TRUE,0;#N/A,#N/A,TRUE,0;#N/A,#N/A,TRUE,0;#N/A,#N/A,TRUE,0;#N/A,#N/A,TRUE,0}</definedName>
    <definedName name="___wwe2" localSheetId="2" hidden="1">{#VALUE!,#N/A,TRUE,0;#N/A,#N/A,TRUE,0;#N/A,#N/A,TRUE,0;#N/A,#N/A,TRUE,0;#N/A,#N/A,TRUE,0}</definedName>
    <definedName name="___wwe2" localSheetId="0" hidden="1">{#VALUE!,#N/A,TRUE,0;#N/A,#N/A,TRUE,0;#N/A,#N/A,TRUE,0;#N/A,#N/A,TRUE,0;#N/A,#N/A,TRUE,0}</definedName>
    <definedName name="___wwe2" hidden="1">{#VALUE!,#N/A,TRUE,0;#N/A,#N/A,TRUE,0;#N/A,#N/A,TRUE,0;#N/A,#N/A,TRUE,0;#N/A,#N/A,TRUE,0}</definedName>
    <definedName name="__1solver_rh¤" hidden="1">4</definedName>
    <definedName name="__2solver_rh¤" hidden="1">4</definedName>
    <definedName name="__2solver_va" hidden="1">27</definedName>
    <definedName name="__3solver_va" hidden="1">27</definedName>
    <definedName name="__dd1" localSheetId="1" hidden="1">{#N/A,#N/A,TRUE,"Пресса";#N/A,#N/A,TRUE,"Метро";#N/A,#N/A,TRUE,"Щиты";#N/A,#N/A,TRUE,"График";#N/A,#N/A,TRUE,"График"}</definedName>
    <definedName name="__dd1" localSheetId="2" hidden="1">{#N/A,#N/A,TRUE,"Пресса";#N/A,#N/A,TRUE,"Метро";#N/A,#N/A,TRUE,"Щиты";#N/A,#N/A,TRUE,"График";#N/A,#N/A,TRUE,"График"}</definedName>
    <definedName name="__dd1" localSheetId="0" hidden="1">{#N/A,#N/A,TRUE,"Пресса";#N/A,#N/A,TRUE,"Метро";#N/A,#N/A,TRUE,"Щиты";#N/A,#N/A,TRUE,"График";#N/A,#N/A,TRUE,"График"}</definedName>
    <definedName name="__dd1" hidden="1">{#N/A,#N/A,TRUE,"Пресса";#N/A,#N/A,TRUE,"Метро";#N/A,#N/A,TRUE,"Щиты";#N/A,#N/A,TRUE,"График";#N/A,#N/A,TRUE,"График"}</definedName>
    <definedName name="__eh1" localSheetId="1" hidden="1">{#N/A,#N/A,TRUE,"Пресса";#N/A,#N/A,TRUE,"Метро";#N/A,#N/A,TRUE,"Щиты";#N/A,#N/A,TRUE,"График";#N/A,#N/A,TRUE,"График"}</definedName>
    <definedName name="__eh1" localSheetId="2" hidden="1">{#N/A,#N/A,TRUE,"Пресса";#N/A,#N/A,TRUE,"Метро";#N/A,#N/A,TRUE,"Щиты";#N/A,#N/A,TRUE,"График";#N/A,#N/A,TRUE,"График"}</definedName>
    <definedName name="__eh1" localSheetId="0" hidden="1">{#N/A,#N/A,TRUE,"Пресса";#N/A,#N/A,TRUE,"Метро";#N/A,#N/A,TRUE,"Щиты";#N/A,#N/A,TRUE,"График";#N/A,#N/A,TRUE,"График"}</definedName>
    <definedName name="__eh1" hidden="1">{#N/A,#N/A,TRUE,"Пресса";#N/A,#N/A,TRUE,"Метро";#N/A,#N/A,TRUE,"Щиты";#N/A,#N/A,TRUE,"График";#N/A,#N/A,TRUE,"График"}</definedName>
    <definedName name="__erw2" hidden="1">27</definedName>
    <definedName name="__fjk1" localSheetId="1" hidden="1">{#N/A,#N/A,TRUE,"Пресса";#N/A,#N/A,TRUE,"Метро";#N/A,#N/A,TRUE,"Щиты";#N/A,#N/A,TRUE,"График";#N/A,#N/A,TRUE,"График"}</definedName>
    <definedName name="__fjk1" localSheetId="2" hidden="1">{#N/A,#N/A,TRUE,"Пресса";#N/A,#N/A,TRUE,"Метро";#N/A,#N/A,TRUE,"Щиты";#N/A,#N/A,TRUE,"График";#N/A,#N/A,TRUE,"График"}</definedName>
    <definedName name="__fjk1" localSheetId="0" hidden="1">{#N/A,#N/A,TRUE,"Пресса";#N/A,#N/A,TRUE,"Метро";#N/A,#N/A,TRUE,"Щиты";#N/A,#N/A,TRUE,"График";#N/A,#N/A,TRUE,"График"}</definedName>
    <definedName name="__fjk1" hidden="1">{#N/A,#N/A,TRUE,"Пресса";#N/A,#N/A,TRUE,"Метро";#N/A,#N/A,TRUE,"Щиты";#N/A,#N/A,TRUE,"График";#N/A,#N/A,TRUE,"График"}</definedName>
    <definedName name="__fjk2" localSheetId="1" hidden="1">{#N/A,#N/A,TRUE,"Пресса";#N/A,#N/A,TRUE,"Метро";#N/A,#N/A,TRUE,"Щиты";#N/A,#N/A,TRUE,"График";#N/A,#N/A,TRUE,"График"}</definedName>
    <definedName name="__fjk2" localSheetId="2" hidden="1">{#N/A,#N/A,TRUE,"Пресса";#N/A,#N/A,TRUE,"Метро";#N/A,#N/A,TRUE,"Щиты";#N/A,#N/A,TRUE,"График";#N/A,#N/A,TRUE,"График"}</definedName>
    <definedName name="__fjk2" localSheetId="0" hidden="1">{#N/A,#N/A,TRUE,"Пресса";#N/A,#N/A,TRUE,"Метро";#N/A,#N/A,TRUE,"Щиты";#N/A,#N/A,TRUE,"График";#N/A,#N/A,TRUE,"График"}</definedName>
    <definedName name="__fjk2" hidden="1">{#N/A,#N/A,TRUE,"Пресса";#N/A,#N/A,TRUE,"Метро";#N/A,#N/A,TRUE,"Щиты";#N/A,#N/A,TRUE,"График";#N/A,#N/A,TRUE,"График"}</definedName>
    <definedName name="__GK2" localSheetId="1" hidden="1">{#N/A,#N/A,TRUE,"Пресса";#N/A,#N/A,TRUE,"Метро";#N/A,#N/A,TRUE,"Щиты";#N/A,#N/A,TRUE,"График";#N/A,#N/A,TRUE,"График"}</definedName>
    <definedName name="__GK2" localSheetId="2" hidden="1">{#N/A,#N/A,TRUE,"Пресса";#N/A,#N/A,TRUE,"Метро";#N/A,#N/A,TRUE,"Щиты";#N/A,#N/A,TRUE,"График";#N/A,#N/A,TRUE,"График"}</definedName>
    <definedName name="__GK2" localSheetId="0" hidden="1">{#N/A,#N/A,TRUE,"Пресса";#N/A,#N/A,TRUE,"Метро";#N/A,#N/A,TRUE,"Щиты";#N/A,#N/A,TRUE,"График";#N/A,#N/A,TRUE,"График"}</definedName>
    <definedName name="__GK2" hidden="1">{#N/A,#N/A,TRUE,"Пресса";#N/A,#N/A,TRUE,"Метро";#N/A,#N/A,TRUE,"Щиты";#N/A,#N/A,TRUE,"График";#N/A,#N/A,TRUE,"График"}</definedName>
    <definedName name="__hen2" localSheetId="1" hidden="1">{#N/A,#N/A,TRUE,"Пресса";#N/A,#N/A,TRUE,"Метро";#N/A,#N/A,TRUE,"Щиты";#N/A,#N/A,TRUE,"График";#N/A,#N/A,TRUE,"График"}</definedName>
    <definedName name="__hen2" localSheetId="2" hidden="1">{#N/A,#N/A,TRUE,"Пресса";#N/A,#N/A,TRUE,"Метро";#N/A,#N/A,TRUE,"Щиты";#N/A,#N/A,TRUE,"График";#N/A,#N/A,TRUE,"График"}</definedName>
    <definedName name="__hen2" localSheetId="0" hidden="1">{#N/A,#N/A,TRUE,"Пресса";#N/A,#N/A,TRUE,"Метро";#N/A,#N/A,TRUE,"Щиты";#N/A,#N/A,TRUE,"График";#N/A,#N/A,TRUE,"График"}</definedName>
    <definedName name="__hen2" hidden="1">{#N/A,#N/A,TRUE,"Пресса";#N/A,#N/A,TRUE,"Метро";#N/A,#N/A,TRUE,"Щиты";#N/A,#N/A,TRUE,"График";#N/A,#N/A,TRUE,"График"}</definedName>
    <definedName name="__MCV2">[1]Vehicles!$B$58:$O$58</definedName>
    <definedName name="__old1" localSheetId="1" hidden="1">{#N/A,#N/A,TRUE,"Пресса";#N/A,#N/A,TRUE,"Метро";#N/A,#N/A,TRUE,"Щиты";#N/A,#N/A,TRUE,"График";#N/A,#N/A,TRUE,"График"}</definedName>
    <definedName name="__old1" localSheetId="2" hidden="1">{#N/A,#N/A,TRUE,"Пресса";#N/A,#N/A,TRUE,"Метро";#N/A,#N/A,TRUE,"Щиты";#N/A,#N/A,TRUE,"График";#N/A,#N/A,TRUE,"График"}</definedName>
    <definedName name="__old1" localSheetId="0" hidden="1">{#N/A,#N/A,TRUE,"Пресса";#N/A,#N/A,TRUE,"Метро";#N/A,#N/A,TRUE,"Щиты";#N/A,#N/A,TRUE,"График";#N/A,#N/A,TRUE,"График"}</definedName>
    <definedName name="__old1" hidden="1">{#N/A,#N/A,TRUE,"Пресса";#N/A,#N/A,TRUE,"Метро";#N/A,#N/A,TRUE,"Щиты";#N/A,#N/A,TRUE,"График";#N/A,#N/A,TRUE,"График"}</definedName>
    <definedName name="__old2" localSheetId="1" hidden="1">{#N/A,#N/A,TRUE,"Пресса";#N/A,#N/A,TRUE,"Метро";#N/A,#N/A,TRUE,"Щиты";#N/A,#N/A,TRUE,"График";#N/A,#N/A,TRUE,"График"}</definedName>
    <definedName name="__old2" localSheetId="2" hidden="1">{#N/A,#N/A,TRUE,"Пресса";#N/A,#N/A,TRUE,"Метро";#N/A,#N/A,TRUE,"Щиты";#N/A,#N/A,TRUE,"График";#N/A,#N/A,TRUE,"График"}</definedName>
    <definedName name="__old2" localSheetId="0" hidden="1">{#N/A,#N/A,TRUE,"Пресса";#N/A,#N/A,TRUE,"Метро";#N/A,#N/A,TRUE,"Щиты";#N/A,#N/A,TRUE,"График";#N/A,#N/A,TRUE,"График"}</definedName>
    <definedName name="__old2" hidden="1">{#N/A,#N/A,TRUE,"Пресса";#N/A,#N/A,TRUE,"Метро";#N/A,#N/A,TRUE,"Щиты";#N/A,#N/A,TRUE,"График";#N/A,#N/A,TRUE,"График"}</definedName>
    <definedName name="__wwe2" localSheetId="1" hidden="1">{#VALUE!,#N/A,TRUE,0;#N/A,#N/A,TRUE,0;#N/A,#N/A,TRUE,0;#N/A,#N/A,TRUE,0;#N/A,#N/A,TRUE,0}</definedName>
    <definedName name="__wwe2" localSheetId="2" hidden="1">{#VALUE!,#N/A,TRUE,0;#N/A,#N/A,TRUE,0;#N/A,#N/A,TRUE,0;#N/A,#N/A,TRUE,0;#N/A,#N/A,TRUE,0}</definedName>
    <definedName name="__wwe2" localSheetId="0" hidden="1">{#VALUE!,#N/A,TRUE,0;#N/A,#N/A,TRUE,0;#N/A,#N/A,TRUE,0;#N/A,#N/A,TRUE,0;#N/A,#N/A,TRUE,0}</definedName>
    <definedName name="__wwe2" hidden="1">{#VALUE!,#N/A,TRUE,0;#N/A,#N/A,TRUE,0;#N/A,#N/A,TRUE,0;#N/A,#N/A,TRUE,0;#N/A,#N/A,TRUE,0}</definedName>
    <definedName name="__xlfn.BAHTTEXT" hidden="1">#NAME?</definedName>
    <definedName name="_1_solver_rh¤" hidden="1">4</definedName>
    <definedName name="_1solver_rh¤" hidden="1">4</definedName>
    <definedName name="_2">#REF!</definedName>
    <definedName name="_2_solver_va" hidden="1">27</definedName>
    <definedName name="_2_US_Fixed_TV_Pricing_W25_49">#REF!</definedName>
    <definedName name="_2solver_rh¤" hidden="1">4</definedName>
    <definedName name="_2solver_va" hidden="1">27</definedName>
    <definedName name="_3">#REF!</definedName>
    <definedName name="_3solver_va" hidden="1">27</definedName>
    <definedName name="_4solver_rh¤" hidden="1">4</definedName>
    <definedName name="_5solver_va" hidden="1">27</definedName>
    <definedName name="_xlnm._FilterDatabase" localSheetId="1" hidden="1">'Второй месяц'!$A$4:$U$80</definedName>
    <definedName name="_xlnm._FilterDatabase" localSheetId="0" hidden="1">'Первый месяц'!$A$4:$U$83</definedName>
    <definedName name="_xlnm._FilterDatabase" localSheetId="3" hidden="1">'регионы-города'!$B$1:$B$154</definedName>
    <definedName name="_ьщт55" localSheetId="1" hidden="1">#REF!</definedName>
    <definedName name="_ьщт55" localSheetId="0" hidden="1">#REF!</definedName>
    <definedName name="_ьщт55" hidden="1">#REF!</definedName>
    <definedName name="_clb07">#REF!</definedName>
    <definedName name="_clp07">#REF!</definedName>
    <definedName name="_dd1" localSheetId="1" hidden="1">{#N/A,#N/A,TRUE,"Пресса";#N/A,#N/A,TRUE,"Метро";#N/A,#N/A,TRUE,"Щиты";#N/A,#N/A,TRUE,"График";#N/A,#N/A,TRUE,"График"}</definedName>
    <definedName name="_dd1" localSheetId="2" hidden="1">{#N/A,#N/A,TRUE,"Пресса";#N/A,#N/A,TRUE,"Метро";#N/A,#N/A,TRUE,"Щиты";#N/A,#N/A,TRUE,"График";#N/A,#N/A,TRUE,"График"}</definedName>
    <definedName name="_dd1" localSheetId="0" hidden="1">{#N/A,#N/A,TRUE,"Пресса";#N/A,#N/A,TRUE,"Метро";#N/A,#N/A,TRUE,"Щиты";#N/A,#N/A,TRUE,"График";#N/A,#N/A,TRUE,"График"}</definedName>
    <definedName name="_dd1" hidden="1">{#N/A,#N/A,TRUE,"Пресса";#N/A,#N/A,TRUE,"Метро";#N/A,#N/A,TRUE,"Щиты";#N/A,#N/A,TRUE,"График";#N/A,#N/A,TRUE,"График"}</definedName>
    <definedName name="_eh1" localSheetId="1" hidden="1">{#N/A,#N/A,TRUE,"Пресса";#N/A,#N/A,TRUE,"Метро";#N/A,#N/A,TRUE,"Щиты";#N/A,#N/A,TRUE,"График";#N/A,#N/A,TRUE,"График"}</definedName>
    <definedName name="_eh1" localSheetId="2" hidden="1">{#N/A,#N/A,TRUE,"Пресса";#N/A,#N/A,TRUE,"Метро";#N/A,#N/A,TRUE,"Щиты";#N/A,#N/A,TRUE,"График";#N/A,#N/A,TRUE,"График"}</definedName>
    <definedName name="_eh1" localSheetId="0" hidden="1">{#N/A,#N/A,TRUE,"Пресса";#N/A,#N/A,TRUE,"Метро";#N/A,#N/A,TRUE,"Щиты";#N/A,#N/A,TRUE,"График";#N/A,#N/A,TRUE,"График"}</definedName>
    <definedName name="_eh1" hidden="1">{#N/A,#N/A,TRUE,"Пресса";#N/A,#N/A,TRUE,"Метро";#N/A,#N/A,TRUE,"Щиты";#N/A,#N/A,TRUE,"График";#N/A,#N/A,TRUE,"График"}</definedName>
    <definedName name="_erw2" hidden="1">27</definedName>
    <definedName name="_fjk1" localSheetId="1" hidden="1">{#N/A,#N/A,TRUE,"Пресса";#N/A,#N/A,TRUE,"Метро";#N/A,#N/A,TRUE,"Щиты";#N/A,#N/A,TRUE,"График";#N/A,#N/A,TRUE,"График"}</definedName>
    <definedName name="_fjk1" localSheetId="2" hidden="1">{#N/A,#N/A,TRUE,"Пресса";#N/A,#N/A,TRUE,"Метро";#N/A,#N/A,TRUE,"Щиты";#N/A,#N/A,TRUE,"График";#N/A,#N/A,TRUE,"График"}</definedName>
    <definedName name="_fjk1" localSheetId="0" hidden="1">{#N/A,#N/A,TRUE,"Пресса";#N/A,#N/A,TRUE,"Метро";#N/A,#N/A,TRUE,"Щиты";#N/A,#N/A,TRUE,"График";#N/A,#N/A,TRUE,"График"}</definedName>
    <definedName name="_fjk1" hidden="1">{#N/A,#N/A,TRUE,"Пресса";#N/A,#N/A,TRUE,"Метро";#N/A,#N/A,TRUE,"Щиты";#N/A,#N/A,TRUE,"График";#N/A,#N/A,TRUE,"График"}</definedName>
    <definedName name="_fjk2" localSheetId="1" hidden="1">{#N/A,#N/A,TRUE,"Пресса";#N/A,#N/A,TRUE,"Метро";#N/A,#N/A,TRUE,"Щиты";#N/A,#N/A,TRUE,"График";#N/A,#N/A,TRUE,"График"}</definedName>
    <definedName name="_fjk2" localSheetId="2" hidden="1">{#N/A,#N/A,TRUE,"Пресса";#N/A,#N/A,TRUE,"Метро";#N/A,#N/A,TRUE,"Щиты";#N/A,#N/A,TRUE,"График";#N/A,#N/A,TRUE,"График"}</definedName>
    <definedName name="_fjk2" localSheetId="0" hidden="1">{#N/A,#N/A,TRUE,"Пресса";#N/A,#N/A,TRUE,"Метро";#N/A,#N/A,TRUE,"Щиты";#N/A,#N/A,TRUE,"График";#N/A,#N/A,TRUE,"График"}</definedName>
    <definedName name="_fjk2" hidden="1">{#N/A,#N/A,TRUE,"Пресса";#N/A,#N/A,TRUE,"Метро";#N/A,#N/A,TRUE,"Щиты";#N/A,#N/A,TRUE,"График";#N/A,#N/A,TRUE,"График"}</definedName>
    <definedName name="_GK2" localSheetId="1" hidden="1">{#N/A,#N/A,TRUE,"Пресса";#N/A,#N/A,TRUE,"Метро";#N/A,#N/A,TRUE,"Щиты";#N/A,#N/A,TRUE,"График";#N/A,#N/A,TRUE,"График"}</definedName>
    <definedName name="_GK2" localSheetId="2" hidden="1">{#N/A,#N/A,TRUE,"Пресса";#N/A,#N/A,TRUE,"Метро";#N/A,#N/A,TRUE,"Щиты";#N/A,#N/A,TRUE,"График";#N/A,#N/A,TRUE,"График"}</definedName>
    <definedName name="_GK2" localSheetId="0" hidden="1">{#N/A,#N/A,TRUE,"Пресса";#N/A,#N/A,TRUE,"Метро";#N/A,#N/A,TRUE,"Щиты";#N/A,#N/A,TRUE,"График";#N/A,#N/A,TRUE,"График"}</definedName>
    <definedName name="_GK2" hidden="1">{#N/A,#N/A,TRUE,"Пресса";#N/A,#N/A,TRUE,"Метро";#N/A,#N/A,TRUE,"Щиты";#N/A,#N/A,TRUE,"График";#N/A,#N/A,TRUE,"График"}</definedName>
    <definedName name="_hen2" localSheetId="1" hidden="1">{#N/A,#N/A,TRUE,"Пресса";#N/A,#N/A,TRUE,"Метро";#N/A,#N/A,TRUE,"Щиты";#N/A,#N/A,TRUE,"График";#N/A,#N/A,TRUE,"График"}</definedName>
    <definedName name="_hen2" localSheetId="2" hidden="1">{#N/A,#N/A,TRUE,"Пресса";#N/A,#N/A,TRUE,"Метро";#N/A,#N/A,TRUE,"Щиты";#N/A,#N/A,TRUE,"График";#N/A,#N/A,TRUE,"График"}</definedName>
    <definedName name="_hen2" localSheetId="0" hidden="1">{#N/A,#N/A,TRUE,"Пресса";#N/A,#N/A,TRUE,"Метро";#N/A,#N/A,TRUE,"Щиты";#N/A,#N/A,TRUE,"График";#N/A,#N/A,TRUE,"График"}</definedName>
    <definedName name="_hen2" hidden="1">{#N/A,#N/A,TRUE,"Пресса";#N/A,#N/A,TRUE,"Метро";#N/A,#N/A,TRUE,"Щиты";#N/A,#N/A,TRUE,"График";#N/A,#N/A,TRUE,"График"}</definedName>
    <definedName name="_LL100">#REF!</definedName>
    <definedName name="_MCV2">[1]Vehicles!$B$58:$O$58</definedName>
    <definedName name="_mon01" hidden="1">#REF!</definedName>
    <definedName name="_mon02" hidden="1">#REF!</definedName>
    <definedName name="_mon03" hidden="1">#REF!</definedName>
    <definedName name="_mon04" hidden="1">#REF!</definedName>
    <definedName name="_mon05" hidden="1">#REF!</definedName>
    <definedName name="_mon06" hidden="1">#REF!</definedName>
    <definedName name="_mon07" hidden="1">#REF!</definedName>
    <definedName name="_mon08" hidden="1">#REF!</definedName>
    <definedName name="_mon09" hidden="1">#REF!</definedName>
    <definedName name="_mon10" hidden="1">#REF!</definedName>
    <definedName name="_mon11" hidden="1">#REF!</definedName>
    <definedName name="_mon12" hidden="1">#REF!</definedName>
    <definedName name="_mon88" hidden="1">#REF!</definedName>
    <definedName name="_old1" localSheetId="1" hidden="1">{#N/A,#N/A,TRUE,"Пресса";#N/A,#N/A,TRUE,"Метро";#N/A,#N/A,TRUE,"Щиты";#N/A,#N/A,TRUE,"График";#N/A,#N/A,TRUE,"График"}</definedName>
    <definedName name="_old1" localSheetId="2" hidden="1">{#N/A,#N/A,TRUE,"Пресса";#N/A,#N/A,TRUE,"Метро";#N/A,#N/A,TRUE,"Щиты";#N/A,#N/A,TRUE,"График";#N/A,#N/A,TRUE,"График"}</definedName>
    <definedName name="_old1" localSheetId="0" hidden="1">{#N/A,#N/A,TRUE,"Пресса";#N/A,#N/A,TRUE,"Метро";#N/A,#N/A,TRUE,"Щиты";#N/A,#N/A,TRUE,"График";#N/A,#N/A,TRUE,"График"}</definedName>
    <definedName name="_old1" hidden="1">{#N/A,#N/A,TRUE,"Пресса";#N/A,#N/A,TRUE,"Метро";#N/A,#N/A,TRUE,"Щиты";#N/A,#N/A,TRUE,"График";#N/A,#N/A,TRUE,"График"}</definedName>
    <definedName name="_old2" localSheetId="1" hidden="1">{#N/A,#N/A,TRUE,"Пресса";#N/A,#N/A,TRUE,"Метро";#N/A,#N/A,TRUE,"Щиты";#N/A,#N/A,TRUE,"График";#N/A,#N/A,TRUE,"График"}</definedName>
    <definedName name="_old2" localSheetId="2" hidden="1">{#N/A,#N/A,TRUE,"Пресса";#N/A,#N/A,TRUE,"Метро";#N/A,#N/A,TRUE,"Щиты";#N/A,#N/A,TRUE,"График";#N/A,#N/A,TRUE,"График"}</definedName>
    <definedName name="_old2" localSheetId="0" hidden="1">{#N/A,#N/A,TRUE,"Пресса";#N/A,#N/A,TRUE,"Метро";#N/A,#N/A,TRUE,"Щиты";#N/A,#N/A,TRUE,"График";#N/A,#N/A,TRUE,"График"}</definedName>
    <definedName name="_old2" hidden="1">{#N/A,#N/A,TRUE,"Пресса";#N/A,#N/A,TRUE,"Метро";#N/A,#N/A,TRUE,"Щиты";#N/A,#N/A,TRUE,"График";#N/A,#N/A,TRUE,"График"}</definedName>
    <definedName name="_Pos1">'[2]Data CpGRP'!$A$41</definedName>
    <definedName name="_Pos2">'[2]Data CpGRP'!$A$42</definedName>
    <definedName name="_Pos3">'[2]Data CpGRP'!$A$43</definedName>
    <definedName name="_Pos4">'[2]Data CpGRP'!$A$44</definedName>
    <definedName name="_Pos5">'[2]Data CpGRP'!$A$45</definedName>
    <definedName name="_Pos6">'[2]Data CpGRP'!$A$46</definedName>
    <definedName name="_Pos7">'[2]Data CpGRP'!$A$47</definedName>
    <definedName name="_Pos8">'[2]Data CpGRP'!$A$48</definedName>
    <definedName name="_wwe2" localSheetId="1" hidden="1">{#VALUE!,#N/A,TRUE,0;#N/A,#N/A,TRUE,0;#N/A,#N/A,TRUE,0;#N/A,#N/A,TRUE,0;#N/A,#N/A,TRUE,0}</definedName>
    <definedName name="_wwe2" localSheetId="2" hidden="1">{#VALUE!,#N/A,TRUE,0;#N/A,#N/A,TRUE,0;#N/A,#N/A,TRUE,0;#N/A,#N/A,TRUE,0;#N/A,#N/A,TRUE,0}</definedName>
    <definedName name="_wwe2" localSheetId="0" hidden="1">{#VALUE!,#N/A,TRUE,0;#N/A,#N/A,TRUE,0;#N/A,#N/A,TRUE,0;#N/A,#N/A,TRUE,0;#N/A,#N/A,TRUE,0}</definedName>
    <definedName name="_wwe2" hidden="1">{#VALUE!,#N/A,TRUE,0;#N/A,#N/A,TRUE,0;#N/A,#N/A,TRUE,0;#N/A,#N/A,TRUE,0;#N/A,#N/A,TRUE,0}</definedName>
    <definedName name="\e" localSheetId="1">#REF!</definedName>
    <definedName name="\e" localSheetId="0">#REF!</definedName>
    <definedName name="\e">#REF!</definedName>
    <definedName name="\l" localSheetId="1">#REF!</definedName>
    <definedName name="\l" localSheetId="0">#REF!</definedName>
    <definedName name="\l">#REF!</definedName>
    <definedName name="АААФ">#REF!</definedName>
    <definedName name="арапр" localSheetId="1" hidden="1">OFFSET(Anch,MATCH("Amedia.ru",resList,0),3,COUNTIF(resList,"Amedia.ru")-1,1)</definedName>
    <definedName name="арапр" localSheetId="2" hidden="1">OFFSET(Anch,MATCH("Amedia.ru",resList,0),3,COUNTIF(resList,"Amedia.ru")-1,1)</definedName>
    <definedName name="арапр" localSheetId="0" hidden="1">OFFSET(Anch,MATCH("Amedia.ru",resList,0),3,COUNTIF(resList,"Amedia.ru")-1,1)</definedName>
    <definedName name="арапр" hidden="1">OFFSET(Anch,MATCH("Amedia.ru",resList,0),3,COUNTIF(resList,"Amedia.ru")-1,1)</definedName>
    <definedName name="б" localSheetId="1" hidden="1">{#N/A,#N/A,TRUE,"Пресса";#N/A,#N/A,TRUE,"Метро";#N/A,#N/A,TRUE,"Щиты";#N/A,#N/A,TRUE,"График";#N/A,#N/A,TRUE,"График"}</definedName>
    <definedName name="б" localSheetId="2" hidden="1">{#N/A,#N/A,TRUE,"Пресса";#N/A,#N/A,TRUE,"Метро";#N/A,#N/A,TRUE,"Щиты";#N/A,#N/A,TRUE,"График";#N/A,#N/A,TRUE,"График"}</definedName>
    <definedName name="б" localSheetId="0" hidden="1">{#N/A,#N/A,TRUE,"Пресса";#N/A,#N/A,TRUE,"Метро";#N/A,#N/A,TRUE,"Щиты";#N/A,#N/A,TRUE,"График";#N/A,#N/A,TRUE,"График"}</definedName>
    <definedName name="б" hidden="1">{#N/A,#N/A,TRUE,"Пресса";#N/A,#N/A,TRUE,"Метро";#N/A,#N/A,TRUE,"Щиты";#N/A,#N/A,TRUE,"График";#N/A,#N/A,TRUE,"График"}</definedName>
    <definedName name="_xlnm.Database">#REF!</definedName>
    <definedName name="ввв" localSheetId="1" hidden="1">{#N/A,#N/A,TRUE,"Пресса";#N/A,#N/A,TRUE,"Метро";#N/A,#N/A,TRUE,"Щиты";#N/A,#N/A,TRUE,"График";#N/A,#N/A,TRUE,"График"}</definedName>
    <definedName name="ввв" localSheetId="2" hidden="1">{#N/A,#N/A,TRUE,"Пресса";#N/A,#N/A,TRUE,"Метро";#N/A,#N/A,TRUE,"Щиты";#N/A,#N/A,TRUE,"График";#N/A,#N/A,TRUE,"График"}</definedName>
    <definedName name="ввв" localSheetId="0" hidden="1">{#N/A,#N/A,TRUE,"Пресса";#N/A,#N/A,TRUE,"Метро";#N/A,#N/A,TRUE,"Щиты";#N/A,#N/A,TRUE,"График";#N/A,#N/A,TRUE,"График"}</definedName>
    <definedName name="ввв" hidden="1">{#N/A,#N/A,TRUE,"Пресса";#N/A,#N/A,TRUE,"Метро";#N/A,#N/A,TRUE,"Щиты";#N/A,#N/A,TRUE,"График";#N/A,#N/A,TRUE,"График"}</definedName>
    <definedName name="днп" hidden="1">#REF!</definedName>
    <definedName name="_xlnm.Print_Titles">#REF!</definedName>
    <definedName name="зщд" hidden="1">4</definedName>
    <definedName name="_xlnm.Extract">#REF!</definedName>
    <definedName name="йф" hidden="1">#REF!</definedName>
    <definedName name="йцйцыычмии">#REF!</definedName>
    <definedName name="йцццй" localSheetId="1" hidden="1">{#N/A,#N/A,TRUE,"Пресса";#N/A,#N/A,TRUE,"Метро";#N/A,#N/A,TRUE,"Щиты";#N/A,#N/A,TRUE,"График";#N/A,#N/A,TRUE,"График"}</definedName>
    <definedName name="йцццй" localSheetId="2" hidden="1">{#N/A,#N/A,TRUE,"Пресса";#N/A,#N/A,TRUE,"Метро";#N/A,#N/A,TRUE,"Щиты";#N/A,#N/A,TRUE,"График";#N/A,#N/A,TRUE,"График"}</definedName>
    <definedName name="йцццй" localSheetId="0" hidden="1">{#N/A,#N/A,TRUE,"Пресса";#N/A,#N/A,TRUE,"Метро";#N/A,#N/A,TRUE,"Щиты";#N/A,#N/A,TRUE,"График";#N/A,#N/A,TRUE,"График"}</definedName>
    <definedName name="йцццй" hidden="1">{#N/A,#N/A,TRUE,"Пресса";#N/A,#N/A,TRUE,"Метро";#N/A,#N/A,TRUE,"Щиты";#N/A,#N/A,TRUE,"График";#N/A,#N/A,TRUE,"График"}</definedName>
    <definedName name="комб">#REF!</definedName>
    <definedName name="_xlnm.Criteria">[26]Kostenplan!#REF!</definedName>
    <definedName name="куукку" localSheetId="1" hidden="1">OFFSET(Anch,MATCH("Expert.ru",resList,0),3,COUNTIF(resList,"Expert.ru")-1,1)</definedName>
    <definedName name="куукку" localSheetId="2" hidden="1">OFFSET(Anch,MATCH("Expert.ru",resList,0),3,COUNTIF(resList,"Expert.ru")-1,1)</definedName>
    <definedName name="куукку" localSheetId="0" hidden="1">OFFSET(Anch,MATCH("Expert.ru",resList,0),3,COUNTIF(resList,"Expert.ru")-1,1)</definedName>
    <definedName name="куукку" hidden="1">OFFSET(Anch,MATCH("Expert.ru",resList,0),3,COUNTIF(resList,"Expert.ru")-1,1)</definedName>
    <definedName name="Кууку" localSheetId="1" hidden="1">OFFSET(Anch,MATCH("Expert.ru",resList,0),3,COUNTIF(resList,"Expert.ru")-1,1)</definedName>
    <definedName name="Кууку" localSheetId="2" hidden="1">OFFSET(Anch,MATCH("Expert.ru",resList,0),3,COUNTIF(resList,"Expert.ru")-1,1)</definedName>
    <definedName name="Кууку" localSheetId="0" hidden="1">OFFSET(Anch,MATCH("Expert.ru",resList,0),3,COUNTIF(resList,"Expert.ru")-1,1)</definedName>
    <definedName name="Кууку" hidden="1">OFFSET(Anch,MATCH("Expert.ru",resList,0),3,COUNTIF(resList,"Expert.ru")-1,1)</definedName>
    <definedName name="л" localSheetId="1" hidden="1">{#N/A,#N/A,TRUE,"Пресса";#N/A,#N/A,TRUE,"Метро";#N/A,#N/A,TRUE,"Щиты";#N/A,#N/A,TRUE,"График";#N/A,#N/A,TRUE,"График"}</definedName>
    <definedName name="л" localSheetId="2" hidden="1">{#N/A,#N/A,TRUE,"Пресса";#N/A,#N/A,TRUE,"Метро";#N/A,#N/A,TRUE,"Щиты";#N/A,#N/A,TRUE,"График";#N/A,#N/A,TRUE,"График"}</definedName>
    <definedName name="л" localSheetId="0" hidden="1">{#N/A,#N/A,TRUE,"Пресса";#N/A,#N/A,TRUE,"Метро";#N/A,#N/A,TRUE,"Щиты";#N/A,#N/A,TRUE,"График";#N/A,#N/A,TRUE,"График"}</definedName>
    <definedName name="л" hidden="1">{#N/A,#N/A,TRUE,"Пресса";#N/A,#N/A,TRUE,"Метро";#N/A,#N/A,TRUE,"Щиты";#N/A,#N/A,TRUE,"График";#N/A,#N/A,TRUE,"График"}</definedName>
    <definedName name="л2" localSheetId="1" hidden="1">{#N/A,#N/A,TRUE,"Пресса";#N/A,#N/A,TRUE,"Метро";#N/A,#N/A,TRUE,"Щиты";#N/A,#N/A,TRUE,"График";#N/A,#N/A,TRUE,"График"}</definedName>
    <definedName name="л2" localSheetId="2" hidden="1">{#N/A,#N/A,TRUE,"Пресса";#N/A,#N/A,TRUE,"Метро";#N/A,#N/A,TRUE,"Щиты";#N/A,#N/A,TRUE,"График";#N/A,#N/A,TRUE,"График"}</definedName>
    <definedName name="л2" localSheetId="0" hidden="1">{#N/A,#N/A,TRUE,"Пресса";#N/A,#N/A,TRUE,"Метро";#N/A,#N/A,TRUE,"Щиты";#N/A,#N/A,TRUE,"График";#N/A,#N/A,TRUE,"График"}</definedName>
    <definedName name="л2" hidden="1">{#N/A,#N/A,TRUE,"Пресса";#N/A,#N/A,TRUE,"Метро";#N/A,#N/A,TRUE,"Щиты";#N/A,#N/A,TRUE,"График";#N/A,#N/A,TRUE,"График"}</definedName>
    <definedName name="лж" localSheetId="1" hidden="1">OFFSET(Anch,MATCH("Echo.Msk.ru",resList,0),3,COUNTIF(resList,"Echo.Msk.ru")-1,1)</definedName>
    <definedName name="лж" localSheetId="2" hidden="1">OFFSET(Anch,MATCH("Echo.Msk.ru",resList,0),3,COUNTIF(resList,"Echo.Msk.ru")-1,1)</definedName>
    <definedName name="лж" hidden="1">OFFSET(Anch,MATCH("Echo.Msk.ru",resList,0),3,COUNTIF(resList,"Echo.Msk.ru")-1,1)</definedName>
    <definedName name="лars" localSheetId="1" hidden="1">{#N/A,#N/A,TRUE,"Пресса";#N/A,#N/A,TRUE,"Метро";#N/A,#N/A,TRUE,"Щиты";#N/A,#N/A,TRUE,"График";#N/A,#N/A,TRUE,"График"}</definedName>
    <definedName name="лars" localSheetId="2" hidden="1">{#N/A,#N/A,TRUE,"Пресса";#N/A,#N/A,TRUE,"Метро";#N/A,#N/A,TRUE,"Щиты";#N/A,#N/A,TRUE,"График";#N/A,#N/A,TRUE,"График"}</definedName>
    <definedName name="лars" localSheetId="0" hidden="1">{#N/A,#N/A,TRUE,"Пресса";#N/A,#N/A,TRUE,"Метро";#N/A,#N/A,TRUE,"Щиты";#N/A,#N/A,TRUE,"График";#N/A,#N/A,TRUE,"График"}</definedName>
    <definedName name="лars" hidden="1">{#N/A,#N/A,TRUE,"Пресса";#N/A,#N/A,TRUE,"Метро";#N/A,#N/A,TRUE,"Щиты";#N/A,#N/A,TRUE,"График";#N/A,#N/A,TRUE,"График"}</definedName>
    <definedName name="лfos" localSheetId="1" hidden="1">{#N/A,#N/A,TRUE,"Пресса";#N/A,#N/A,TRUE,"Метро";#N/A,#N/A,TRUE,"Щиты";#N/A,#N/A,TRUE,"График";#N/A,#N/A,TRUE,"График"}</definedName>
    <definedName name="лfos" localSheetId="2" hidden="1">{#N/A,#N/A,TRUE,"Пресса";#N/A,#N/A,TRUE,"Метро";#N/A,#N/A,TRUE,"Щиты";#N/A,#N/A,TRUE,"График";#N/A,#N/A,TRUE,"График"}</definedName>
    <definedName name="лfos" localSheetId="0" hidden="1">{#N/A,#N/A,TRUE,"Пресса";#N/A,#N/A,TRUE,"Метро";#N/A,#N/A,TRUE,"Щиты";#N/A,#N/A,TRUE,"График";#N/A,#N/A,TRUE,"График"}</definedName>
    <definedName name="лfos" hidden="1">{#N/A,#N/A,TRUE,"Пресса";#N/A,#N/A,TRUE,"Метро";#N/A,#N/A,TRUE,"Щиты";#N/A,#N/A,TRUE,"График";#N/A,#N/A,TRUE,"График"}</definedName>
    <definedName name="о" hidden="1">[10]XLR_NoRangeSheet!$A$5</definedName>
    <definedName name="олд" hidden="1">27</definedName>
    <definedName name="ор" hidden="1">[10]XLR_NoRangeSheet!$A$5</definedName>
    <definedName name="пифдлу" localSheetId="1" hidden="1">#REF!</definedName>
    <definedName name="пифдлу" localSheetId="0" hidden="1">#REF!</definedName>
    <definedName name="пифдлу" hidden="1">#REF!</definedName>
    <definedName name="погода" localSheetId="1" hidden="1">OFFSET(Anch,MATCH("Auto.ru",resList,0),3,COUNTIF(resList,"Auto.ru")-1,1)</definedName>
    <definedName name="погода" localSheetId="2" hidden="1">OFFSET(Anch,MATCH("Auto.ru",resList,0),3,COUNTIF(resList,"Auto.ru")-1,1)</definedName>
    <definedName name="погода" localSheetId="0" hidden="1">OFFSET(Anch,MATCH("Auto.ru",resList,0),3,COUNTIF(resList,"Auto.ru")-1,1)</definedName>
    <definedName name="погода" hidden="1">OFFSET(Anch,MATCH("Auto.ru",resList,0),3,COUNTIF(resList,"Auto.ru")-1,1)</definedName>
    <definedName name="про" hidden="1">4</definedName>
    <definedName name="прп" localSheetId="1" hidden="1">{"'siets LAT'!$J$95","'siets LAT'!$J$95"}</definedName>
    <definedName name="прп" localSheetId="2" hidden="1">{"'siets LAT'!$J$95","'siets LAT'!$J$95"}</definedName>
    <definedName name="прп" localSheetId="0" hidden="1">{"'siets LAT'!$J$95","'siets LAT'!$J$95"}</definedName>
    <definedName name="прп" hidden="1">{"'siets LAT'!$J$95","'siets LAT'!$J$95"}</definedName>
    <definedName name="_xlnm.Recorder">#REF!</definedName>
    <definedName name="свааао" localSheetId="1" hidden="1">{#N/A,#N/A,TRUE,"Пресса";#N/A,#N/A,TRUE,"Метро";#N/A,#N/A,TRUE,"Щиты";#N/A,#N/A,TRUE,"График";#N/A,#N/A,TRUE,"График"}</definedName>
    <definedName name="свааао" localSheetId="2" hidden="1">{#N/A,#N/A,TRUE,"Пресса";#N/A,#N/A,TRUE,"Метро";#N/A,#N/A,TRUE,"Щиты";#N/A,#N/A,TRUE,"График";#N/A,#N/A,TRUE,"График"}</definedName>
    <definedName name="свааао" localSheetId="0" hidden="1">{#N/A,#N/A,TRUE,"Пресса";#N/A,#N/A,TRUE,"Метро";#N/A,#N/A,TRUE,"Щиты";#N/A,#N/A,TRUE,"График";#N/A,#N/A,TRUE,"График"}</definedName>
    <definedName name="свааао" hidden="1">{#N/A,#N/A,TRUE,"Пресса";#N/A,#N/A,TRUE,"Метро";#N/A,#N/A,TRUE,"Щиты";#N/A,#N/A,TRUE,"График";#N/A,#N/A,TRUE,"График"}</definedName>
    <definedName name="Тв_Називин" localSheetId="1" hidden="1">{#N/A,#N/A,TRUE,"Пресса";#N/A,#N/A,TRUE,"Метро";#N/A,#N/A,TRUE,"Щиты";#N/A,#N/A,TRUE,"График";#N/A,#N/A,TRUE,"График"}</definedName>
    <definedName name="Тв_Називин" localSheetId="2" hidden="1">{#N/A,#N/A,TRUE,"Пресса";#N/A,#N/A,TRUE,"Метро";#N/A,#N/A,TRUE,"Щиты";#N/A,#N/A,TRUE,"График";#N/A,#N/A,TRUE,"График"}</definedName>
    <definedName name="Тв_Називин" localSheetId="0" hidden="1">{#N/A,#N/A,TRUE,"Пресса";#N/A,#N/A,TRUE,"Метро";#N/A,#N/A,TRUE,"Щиты";#N/A,#N/A,TRUE,"График";#N/A,#N/A,TRUE,"График"}</definedName>
    <definedName name="Тв_Називин" hidden="1">{#N/A,#N/A,TRUE,"Пресса";#N/A,#N/A,TRUE,"Метро";#N/A,#N/A,TRUE,"Щиты";#N/A,#N/A,TRUE,"График";#N/A,#N/A,TRUE,"График"}</definedName>
    <definedName name="ук" localSheetId="1" hidden="1">OFFSET(Anch,MATCH("Echo.Msk.ru",resList,0),3,COUNTIF(resList,"Echo.Msk.ru")-1,1)</definedName>
    <definedName name="ук" localSheetId="2" hidden="1">OFFSET(Anch,MATCH("Echo.Msk.ru",resList,0),3,COUNTIF(resList,"Echo.Msk.ru")-1,1)</definedName>
    <definedName name="ук" localSheetId="0" hidden="1">OFFSET(Anch,MATCH("Echo.Msk.ru",resList,0),3,COUNTIF(resList,"Echo.Msk.ru")-1,1)</definedName>
    <definedName name="ук" hidden="1">OFFSET(Anch,MATCH("Echo.Msk.ru",resList,0),3,COUNTIF(resList,"Echo.Msk.ru")-1,1)</definedName>
    <definedName name="укаука" localSheetId="1" hidden="1">OFFSET(Anch,MATCH("Amedia.ru",resList,0),3,COUNTIF(resList,"Amedia.ru")-1,1)</definedName>
    <definedName name="укаука" localSheetId="2" hidden="1">OFFSET(Anch,MATCH("Amedia.ru",resList,0),3,COUNTIF(resList,"Amedia.ru")-1,1)</definedName>
    <definedName name="укаука" localSheetId="0" hidden="1">OFFSET(Anch,MATCH("Amedia.ru",resList,0),3,COUNTIF(resList,"Amedia.ru")-1,1)</definedName>
    <definedName name="укаука" hidden="1">OFFSET(Anch,MATCH("Amedia.ru",resList,0),3,COUNTIF(resList,"Amedia.ru")-1,1)</definedName>
    <definedName name="Фары" localSheetId="1">#REF!</definedName>
    <definedName name="Фары" localSheetId="0">#REF!</definedName>
    <definedName name="Фары">#REF!</definedName>
    <definedName name="фвфыв" localSheetId="1" hidden="1">MAX((100%-'Второй месяц'!splitDisc)*(100%-[0]!avtoDisc)*(100%-[0]!sasa)*(100%-[0]!discReach),[0]!maxAvto)</definedName>
    <definedName name="фвфыв" localSheetId="2" hidden="1">MAX((100%-[0]!splitDisc)*(100%-[0]!avtoDisc)*(100%-sasa)*(100%-[0]!discReach),[0]!maxAvto)</definedName>
    <definedName name="фвфыв" localSheetId="0" hidden="1">MAX((100%-'Первый месяц'!splitDisc)*(100%-[0]!avtoDisc)*(100%-[0]!sasa)*(100%-[0]!discReach),[0]!maxAvto)</definedName>
    <definedName name="фвфыв" hidden="1">MAX((100%-[0]!splitDisc)*(100%-[0]!avtoDisc)*(100%-sasa)*(100%-[0]!discReach),[0]!maxAvto)</definedName>
    <definedName name="ФлоучартСтарый" localSheetId="1" hidden="1">{#N/A,#N/A,TRUE,"Пресса";#N/A,#N/A,TRUE,"Метро";#N/A,#N/A,TRUE,"Щиты";#N/A,#N/A,TRUE,"График";#N/A,#N/A,TRUE,"График"}</definedName>
    <definedName name="ФлоучартСтарый" localSheetId="2" hidden="1">{#N/A,#N/A,TRUE,"Пресса";#N/A,#N/A,TRUE,"Метро";#N/A,#N/A,TRUE,"Щиты";#N/A,#N/A,TRUE,"График";#N/A,#N/A,TRUE,"График"}</definedName>
    <definedName name="ФлоучартСтарый" localSheetId="0" hidden="1">{#N/A,#N/A,TRUE,"Пресса";#N/A,#N/A,TRUE,"Метро";#N/A,#N/A,TRUE,"Щиты";#N/A,#N/A,TRUE,"График";#N/A,#N/A,TRUE,"График"}</definedName>
    <definedName name="ФлоучартСтарый" hidden="1">{#N/A,#N/A,TRUE,"Пресса";#N/A,#N/A,TRUE,"Метро";#N/A,#N/A,TRUE,"Щиты";#N/A,#N/A,TRUE,"График";#N/A,#N/A,TRUE,"График"}</definedName>
    <definedName name="ффффййц">#REF!</definedName>
    <definedName name="фыфцйцу">#REF!</definedName>
    <definedName name="цыв" hidden="1">#N/A</definedName>
    <definedName name="щкуж" localSheetId="1" hidden="1">OFFSET(Anch,MATCH("Expert.ru",resList,0),3,COUNTIF(resList,"Expert.ru")-1,1)</definedName>
    <definedName name="щкуж" localSheetId="2" hidden="1">OFFSET(Anch,MATCH("Expert.ru",resList,0),3,COUNTIF(resList,"Expert.ru")-1,1)</definedName>
    <definedName name="щкуж" hidden="1">OFFSET(Anch,MATCH("Expert.ru",resList,0),3,COUNTIF(resList,"Expert.ru")-1,1)</definedName>
    <definedName name="ываыв" localSheetId="1" hidden="1">MAX((100%-'Второй месяц'!splitDisc)*(100%-[0]!avtoDisc)*(100%-'Второй месяц'!agencyDisc)*(100%-[0]!discReach),[0]!maxAvto)</definedName>
    <definedName name="ываыв" localSheetId="2" hidden="1">MAX((100%-splitDisc)*(100%-[0]!avtoDisc)*(100%-agencyDisc)*(100%-[0]!discReach),[0]!maxAvto)</definedName>
    <definedName name="ываыв" localSheetId="0" hidden="1">MAX((100%-'Первый месяц'!splitDisc)*(100%-[0]!avtoDisc)*(100%-'Первый месяц'!agencyDisc)*(100%-[0]!discReach),[0]!maxAvto)</definedName>
    <definedName name="ываыв" hidden="1">MAX((100%-splitDisc)*(100%-[0]!avtoDisc)*(100%-agencyDisc)*(100%-[0]!discReach),[0]!maxAvto)</definedName>
    <definedName name="a" localSheetId="1" hidden="1">{"'siets LAT'!$J$95","'siets LAT'!$J$95"}</definedName>
    <definedName name="a" localSheetId="2" hidden="1">{"'siets LAT'!$J$95","'siets LAT'!$J$95"}</definedName>
    <definedName name="a" localSheetId="0" hidden="1">{"'siets LAT'!$J$95","'siets LAT'!$J$95"}</definedName>
    <definedName name="a" hidden="1">{"'siets LAT'!$J$95","'siets LAT'!$J$95"}</definedName>
    <definedName name="aa">#REF!</definedName>
    <definedName name="aaa" localSheetId="1" hidden="1">{#N/A,#N/A,TRUE,"Пресса";#N/A,#N/A,TRUE,"Метро";#N/A,#N/A,TRUE,"Щиты";#N/A,#N/A,TRUE,"График";#N/A,#N/A,TRUE,"График"}</definedName>
    <definedName name="aaa" localSheetId="2" hidden="1">{#N/A,#N/A,TRUE,"Пресса";#N/A,#N/A,TRUE,"Метро";#N/A,#N/A,TRUE,"Щиты";#N/A,#N/A,TRUE,"График";#N/A,#N/A,TRUE,"График"}</definedName>
    <definedName name="aaa" localSheetId="0" hidden="1">{#N/A,#N/A,TRUE,"Пресса";#N/A,#N/A,TRUE,"Метро";#N/A,#N/A,TRUE,"Щиты";#N/A,#N/A,TRUE,"График";#N/A,#N/A,TRUE,"График"}</definedName>
    <definedName name="aaa" hidden="1">{#N/A,#N/A,TRUE,"Пресса";#N/A,#N/A,TRUE,"Метро";#N/A,#N/A,TRUE,"Щиты";#N/A,#N/A,TRUE,"График";#N/A,#N/A,TRUE,"График"}</definedName>
    <definedName name="ab">#REF!</definedName>
    <definedName name="Abfrage_KW18">#REF!</definedName>
    <definedName name="ac">#REF!</definedName>
    <definedName name="ad">'[3]cic 22-9 - 26-10'!$D$11</definedName>
    <definedName name="Adformat">[4]FormatSpecs!$B$1:$B$71</definedName>
    <definedName name="adresse1Vermarkter">[5]SitesVermarkter!#REF!</definedName>
    <definedName name="Adserverimplementierung">[4]Basisdaten!$H$8:$H$18</definedName>
    <definedName name="afishaDisc" hidden="1">[6]AFISHA.RU!$E$44</definedName>
    <definedName name="afishaDiscTotal" localSheetId="1" hidden="1">MAX((100%-'Второй месяц'!splitDisc)*(100%-[0]!afishaDisc)*(100%-'Второй месяц'!agencyDisc)*(100%-[0]!discReach),[0]!maxAfisha)</definedName>
    <definedName name="afishaDiscTotal" localSheetId="2" hidden="1">MAX((100%-splitDisc)*(100%-[0]!afishaDisc)*(100%-agencyDisc)*(100%-[0]!discReach),[0]!maxAfisha)</definedName>
    <definedName name="afishaDiscTotal" localSheetId="0" hidden="1">MAX((100%-'Первый месяц'!splitDisc)*(100%-[0]!afishaDisc)*(100%-'Первый месяц'!agencyDisc)*(100%-[0]!discReach),[0]!maxAfisha)</definedName>
    <definedName name="afishaDiscTotal" hidden="1">MAX((100%-splitDisc)*(100%-[0]!afishaDisc)*(100%-agencyDisc)*(100%-[0]!discReach),[0]!maxAfisha)</definedName>
    <definedName name="agencyDisc" localSheetId="1" hidden="1">#REF!</definedName>
    <definedName name="agencyDisc" localSheetId="0" hidden="1">#REF!</definedName>
    <definedName name="agencyDisc" hidden="1">#REF!</definedName>
    <definedName name="aggregate_tag" localSheetId="1">#REF!</definedName>
    <definedName name="aggregate_tag" localSheetId="0">#REF!</definedName>
    <definedName name="aggregate_tag">#REF!</definedName>
    <definedName name="Aggregated_spec" localSheetId="1">#REF!</definedName>
    <definedName name="Aggregated_spec" localSheetId="0">#REF!</definedName>
    <definedName name="Aggregated_spec">#REF!</definedName>
    <definedName name="Alti" localSheetId="1">[7]!Alti</definedName>
    <definedName name="Alti" localSheetId="0">[7]!Alti</definedName>
    <definedName name="Alti">[7]!Alti</definedName>
    <definedName name="amediaDisc" hidden="1">[6]AMEDIA.RU!$E$49</definedName>
    <definedName name="amediaDiscTotal" localSheetId="1" hidden="1">MAX((100%-'Второй месяц'!splitDisc)*(100%-[0]!amediaDisc)*(100%-'Второй месяц'!agencyDisc)*(100%-[0]!discReach),[0]!maxAmedia)</definedName>
    <definedName name="amediaDiscTotal" localSheetId="2" hidden="1">MAX((100%-splitDisc)*(100%-[0]!amediaDisc)*(100%-agencyDisc)*(100%-[0]!discReach),[0]!maxAmedia)</definedName>
    <definedName name="amediaDiscTotal" localSheetId="0" hidden="1">MAX((100%-'Первый месяц'!splitDisc)*(100%-[0]!amediaDisc)*(100%-'Первый месяц'!agencyDisc)*(100%-[0]!discReach),[0]!maxAmedia)</definedName>
    <definedName name="amediaDiscTotal" hidden="1">MAX((100%-splitDisc)*(100%-[0]!amediaDisc)*(100%-agencyDisc)*(100%-[0]!discReach),[0]!maxAmedia)</definedName>
    <definedName name="anscount" hidden="1">2</definedName>
    <definedName name="apr" localSheetId="1">#REF!</definedName>
    <definedName name="apr" localSheetId="0">#REF!</definedName>
    <definedName name="apr">#REF!</definedName>
    <definedName name="area" localSheetId="1">#REF!,#REF!,#REF!,#REF!,#REF!,#REF!,#REF!,#REF!,#REF!,#REF!,#REF!,#REF!,#REF!,#REF!,#REF!,#REF!,#REF!,#REF!,#REF!,#REF!,#REF!,#REF!,#REF!,#REF!</definedName>
    <definedName name="area" localSheetId="0">#REF!,#REF!,#REF!,#REF!,#REF!,#REF!,#REF!,#REF!,#REF!,#REF!,#REF!,#REF!,#REF!,#REF!,#REF!,#REF!,#REF!,#REF!,#REF!,#REF!,#REF!,#REF!,#REF!,#REF!</definedName>
    <definedName name="area">#REF!,#REF!,#REF!,#REF!,#REF!,#REF!,#REF!,#REF!,#REF!,#REF!,#REF!,#REF!,#REF!,#REF!,#REF!,#REF!,#REF!,#REF!,#REF!,#REF!,#REF!,#REF!,#REF!,#REF!</definedName>
    <definedName name="AS2DocOpenMode" hidden="1">"AS2DocumentEdit"</definedName>
    <definedName name="asd.xlc" hidden="1">27</definedName>
    <definedName name="asda">#REF!</definedName>
    <definedName name="asdad">#REF!</definedName>
    <definedName name="asdafasf">#REF!</definedName>
    <definedName name="asdda111">#REF!</definedName>
    <definedName name="asddsad">#REF!</definedName>
    <definedName name="asdfakafs.">[5]SitesVermarkter!#REF!</definedName>
    <definedName name="asdlls" localSheetId="1">#REF!</definedName>
    <definedName name="asdlls" localSheetId="0">#REF!</definedName>
    <definedName name="asdlls">#REF!</definedName>
    <definedName name="asdq111d" localSheetId="1">#REF!</definedName>
    <definedName name="asdq111d" localSheetId="0">#REF!</definedName>
    <definedName name="asdq111d">#REF!</definedName>
    <definedName name="assss" localSheetId="1" hidden="1">#REF!</definedName>
    <definedName name="assss" localSheetId="0" hidden="1">#REF!</definedName>
    <definedName name="assss" hidden="1">#REF!</definedName>
    <definedName name="astek" localSheetId="1" hidden="1">{#N/A,#N/A,TRUE,"Пресса";#N/A,#N/A,TRUE,"Метро";#N/A,#N/A,TRUE,"Щиты";#N/A,#N/A,TRUE,"График";#N/A,#N/A,TRUE,"График"}</definedName>
    <definedName name="astek" localSheetId="2" hidden="1">{#N/A,#N/A,TRUE,"Пресса";#N/A,#N/A,TRUE,"Метро";#N/A,#N/A,TRUE,"Щиты";#N/A,#N/A,TRUE,"График";#N/A,#N/A,TRUE,"График"}</definedName>
    <definedName name="astek" localSheetId="0" hidden="1">{#N/A,#N/A,TRUE,"Пресса";#N/A,#N/A,TRUE,"Метро";#N/A,#N/A,TRUE,"Щиты";#N/A,#N/A,TRUE,"График";#N/A,#N/A,TRUE,"График"}</definedName>
    <definedName name="astek" hidden="1">{#N/A,#N/A,TRUE,"Пресса";#N/A,#N/A,TRUE,"Метро";#N/A,#N/A,TRUE,"Щиты";#N/A,#N/A,TRUE,"График";#N/A,#N/A,TRUE,"График"}</definedName>
    <definedName name="AUDI">#REF!</definedName>
    <definedName name="AUDITLISTE">#REF!</definedName>
    <definedName name="aug">#REF!</definedName>
    <definedName name="autoDisc" hidden="1">[6]AUTO.RU!$E$46</definedName>
    <definedName name="autoDiscTotal" localSheetId="1" hidden="1">MAX((100%-'Второй месяц'!splitDisc)*(100%-[0]!autoDisc)*(100%-'Второй месяц'!agencyDisc)*(100%-[0]!discReach),[0]!maxAuto)</definedName>
    <definedName name="autoDiscTotal" localSheetId="2" hidden="1">MAX((100%-splitDisc)*(100%-[0]!autoDisc)*(100%-agencyDisc)*(100%-[0]!discReach),[0]!maxAuto)</definedName>
    <definedName name="autoDiscTotal" localSheetId="0" hidden="1">MAX((100%-'Первый месяц'!splitDisc)*(100%-[0]!autoDisc)*(100%-'Первый месяц'!agencyDisc)*(100%-[0]!discReach),[0]!maxAuto)</definedName>
    <definedName name="autoDiscTotal" hidden="1">MAX((100%-splitDisc)*(100%-[0]!autoDisc)*(100%-agencyDisc)*(100%-[0]!discReach),[0]!maxAuto)</definedName>
    <definedName name="avtoDisc" hidden="1">[6]AVTO.RU!$E$48</definedName>
    <definedName name="avtoDiscTotal" localSheetId="1" hidden="1">MAX((100%-'Второй месяц'!splitDisc)*(100%-[0]!avtoDisc)*(100%-'Второй месяц'!agencyDisc)*(100%-[0]!discReach),[0]!maxAvto)</definedName>
    <definedName name="avtoDiscTotal" localSheetId="2" hidden="1">MAX((100%-splitDisc)*(100%-[0]!avtoDisc)*(100%-agencyDisc)*(100%-[0]!discReach),[0]!maxAvto)</definedName>
    <definedName name="avtoDiscTotal" localSheetId="0" hidden="1">MAX((100%-'Первый месяц'!splitDisc)*(100%-[0]!avtoDisc)*(100%-'Первый месяц'!agencyDisc)*(100%-[0]!discReach),[0]!maxAvto)</definedName>
    <definedName name="avtoDiscTotal" hidden="1">MAX((100%-splitDisc)*(100%-[0]!avtoDisc)*(100%-agencyDisc)*(100%-[0]!discReach),[0]!maxAvto)</definedName>
    <definedName name="azer" localSheetId="1">#REF!</definedName>
    <definedName name="azer" localSheetId="0">#REF!</definedName>
    <definedName name="azer">#REF!</definedName>
    <definedName name="b" localSheetId="1" hidden="1">{"'siets LAT'!$J$95","'siets LAT'!$J$95"}</definedName>
    <definedName name="b" localSheetId="2" hidden="1">{"'siets LAT'!$J$95","'siets LAT'!$J$95"}</definedName>
    <definedName name="b" localSheetId="0" hidden="1">{"'siets LAT'!$J$95","'siets LAT'!$J$95"}</definedName>
    <definedName name="b" hidden="1">{"'siets LAT'!$J$95","'siets LAT'!$J$95"}</definedName>
    <definedName name="ba">#REF!</definedName>
    <definedName name="banner">#REF!</definedName>
    <definedName name="basia" localSheetId="1" hidden="1">{"'siets LAT'!$J$95","'siets LAT'!$J$95"}</definedName>
    <definedName name="basia" localSheetId="2" hidden="1">{"'siets LAT'!$J$95","'siets LAT'!$J$95"}</definedName>
    <definedName name="basia" localSheetId="0" hidden="1">{"'siets LAT'!$J$95","'siets LAT'!$J$95"}</definedName>
    <definedName name="basia" hidden="1">{"'siets LAT'!$J$95","'siets LAT'!$J$95"}</definedName>
    <definedName name="BB">#REF!</definedName>
    <definedName name="bdgcin">'[8]CINEMA RMB'!#REF!</definedName>
    <definedName name="BDGMTV" localSheetId="1">#REF!</definedName>
    <definedName name="BDGMTV" localSheetId="0">#REF!</definedName>
    <definedName name="BDGMTV">#REF!</definedName>
    <definedName name="BDGPBL">'[9]Conto Sipra'!#REF!</definedName>
    <definedName name="BDGPER" localSheetId="1">#REF!</definedName>
    <definedName name="BDGPER" localSheetId="0">#REF!</definedName>
    <definedName name="BDGPER">#REF!</definedName>
    <definedName name="BDGPRS" localSheetId="1">#REF!</definedName>
    <definedName name="BDGPRS" localSheetId="0">#REF!</definedName>
    <definedName name="BDGPRS">#REF!</definedName>
    <definedName name="BDGQUO" localSheetId="1">#REF!</definedName>
    <definedName name="BDGQUO" localSheetId="0">#REF!</definedName>
    <definedName name="BDGQUO">#REF!</definedName>
    <definedName name="BDGSIPRA">#REF!</definedName>
    <definedName name="Beschreibung">#REF!</definedName>
    <definedName name="bla" localSheetId="1" hidden="1">{"'siets LAT'!$J$95","'siets LAT'!$J$95"}</definedName>
    <definedName name="bla" localSheetId="2" hidden="1">{"'siets LAT'!$J$95","'siets LAT'!$J$95"}</definedName>
    <definedName name="bla" localSheetId="0" hidden="1">{"'siets LAT'!$J$95","'siets LAT'!$J$95"}</definedName>
    <definedName name="bla" hidden="1">{"'siets LAT'!$J$95","'siets LAT'!$J$95"}</definedName>
    <definedName name="blabla" localSheetId="1" hidden="1">{"'siets LAT'!$J$95","'siets LAT'!$J$95"}</definedName>
    <definedName name="blabla" localSheetId="2" hidden="1">{"'siets LAT'!$J$95","'siets LAT'!$J$95"}</definedName>
    <definedName name="blabla" localSheetId="0" hidden="1">{"'siets LAT'!$J$95","'siets LAT'!$J$95"}</definedName>
    <definedName name="blabla" hidden="1">{"'siets LAT'!$J$95","'siets LAT'!$J$95"}</definedName>
    <definedName name="bn">#REF!</definedName>
    <definedName name="Brand">#REF!</definedName>
    <definedName name="Brutto">'[2]Data CpGRP'!$B$4</definedName>
    <definedName name="budAfisha" localSheetId="1" hidden="1">OFFSET(Anch,MATCH("Afisha.ru",resList,0),3,COUNTIF(resList,"Afisha.ru")-1,1)</definedName>
    <definedName name="budAfisha" localSheetId="2" hidden="1">OFFSET(Anch,MATCH("Afisha.ru",resList,0),3,COUNTIF(resList,"Afisha.ru")-1,1)</definedName>
    <definedName name="budAfisha" localSheetId="0" hidden="1">OFFSET(Anch,MATCH("Afisha.ru",resList,0),3,COUNTIF(resList,"Afisha.ru")-1,1)</definedName>
    <definedName name="budAfisha" hidden="1">OFFSET(Anch,MATCH("Afisha.ru",resList,0),3,COUNTIF(resList,"Afisha.ru")-1,1)</definedName>
    <definedName name="budAmedia" localSheetId="1" hidden="1">OFFSET(Anch,MATCH("Amedia.ru",resList,0),3,COUNTIF(resList,"Amedia.ru")-1,1)</definedName>
    <definedName name="budAmedia" localSheetId="2" hidden="1">OFFSET(Anch,MATCH("Amedia.ru",resList,0),3,COUNTIF(resList,"Amedia.ru")-1,1)</definedName>
    <definedName name="budAmedia" localSheetId="0" hidden="1">OFFSET(Anch,MATCH("Amedia.ru",resList,0),3,COUNTIF(resList,"Amedia.ru")-1,1)</definedName>
    <definedName name="budAmedia" hidden="1">OFFSET(Anch,MATCH("Amedia.ru",resList,0),3,COUNTIF(resList,"Amedia.ru")-1,1)</definedName>
    <definedName name="budAuto" localSheetId="1" hidden="1">OFFSET(Anch,MATCH("Auto.ru",resList,0),3,COUNTIF(resList,"Auto.ru")-1,1)</definedName>
    <definedName name="budAuto" localSheetId="2" hidden="1">OFFSET(Anch,MATCH("Auto.ru",resList,0),3,COUNTIF(resList,"Auto.ru")-1,1)</definedName>
    <definedName name="budAuto" localSheetId="0" hidden="1">OFFSET(Anch,MATCH("Auto.ru",resList,0),3,COUNTIF(resList,"Auto.ru")-1,1)</definedName>
    <definedName name="budAuto" hidden="1">OFFSET(Anch,MATCH("Auto.ru",resList,0),3,COUNTIF(resList,"Auto.ru")-1,1)</definedName>
    <definedName name="budAvto" localSheetId="1" hidden="1">OFFSET(Anch,MATCH("Avto.ru",resList,0),3,COUNTIF(resList,"Avto.ru")-1,1)</definedName>
    <definedName name="budAvto" localSheetId="2" hidden="1">OFFSET(Anch,MATCH("Avto.ru",resList,0),3,COUNTIF(resList,"Avto.ru")-1,1)</definedName>
    <definedName name="budAvto" localSheetId="0" hidden="1">OFFSET(Anch,MATCH("Avto.ru",resList,0),3,COUNTIF(resList,"Avto.ru")-1,1)</definedName>
    <definedName name="budAvto" hidden="1">OFFSET(Anch,MATCH("Avto.ru",resList,0),3,COUNTIF(resList,"Avto.ru")-1,1)</definedName>
    <definedName name="budd3" localSheetId="1" hidden="1">OFFSET(Anch,MATCH("3dnews.ru",resList,0),3,COUNTIF(resList,"3dnews.ru")-1,1)</definedName>
    <definedName name="budd3" localSheetId="2" hidden="1">OFFSET(Anch,MATCH("3dnews.ru",resList,0),3,COUNTIF(resList,"3dnews.ru")-1,1)</definedName>
    <definedName name="budd3" localSheetId="0" hidden="1">OFFSET(Anch,MATCH("3dnews.ru",resList,0),3,COUNTIF(resList,"3dnews.ru")-1,1)</definedName>
    <definedName name="budd3" hidden="1">OFFSET(Anch,MATCH("3dnews.ru",resList,0),3,COUNTIF(resList,"3dnews.ru")-1,1)</definedName>
    <definedName name="budEcho" localSheetId="1" hidden="1">OFFSET(Anch,MATCH("Echo.Msk.ru",resList,0),3,COUNTIF(resList,"Echo.Msk.ru")-1,1)</definedName>
    <definedName name="budEcho" localSheetId="2" hidden="1">OFFSET(Anch,MATCH("Echo.Msk.ru",resList,0),3,COUNTIF(resList,"Echo.Msk.ru")-1,1)</definedName>
    <definedName name="budEcho" localSheetId="0" hidden="1">OFFSET(Anch,MATCH("Echo.Msk.ru",resList,0),3,COUNTIF(resList,"Echo.Msk.ru")-1,1)</definedName>
    <definedName name="budEcho" hidden="1">OFFSET(Anch,MATCH("Echo.Msk.ru",resList,0),3,COUNTIF(resList,"Echo.Msk.ru")-1,1)</definedName>
    <definedName name="budExpert" localSheetId="1" hidden="1">OFFSET(Anch,MATCH("Expert.ru",resList,0),3,COUNTIF(resList,"Expert.ru")-1,1)</definedName>
    <definedName name="budExpert" localSheetId="2" hidden="1">OFFSET(Anch,MATCH("Expert.ru",resList,0),3,COUNTIF(resList,"Expert.ru")-1,1)</definedName>
    <definedName name="budExpert" localSheetId="0" hidden="1">OFFSET(Anch,MATCH("Expert.ru",resList,0),3,COUNTIF(resList,"Expert.ru")-1,1)</definedName>
    <definedName name="budExpert" hidden="1">OFFSET(Anch,MATCH("Expert.ru",resList,0),3,COUNTIF(resList,"Expert.ru")-1,1)</definedName>
    <definedName name="budFt" localSheetId="1" hidden="1">OFFSET(Anch,MATCH("Fashiontime.ru",resList,0),3,COUNTIF(resList,"Fashiontime.ru")-1,1)</definedName>
    <definedName name="budFt" localSheetId="2" hidden="1">OFFSET(Anch,MATCH("Fashiontime.ru",resList,0),3,COUNTIF(resList,"Fashiontime.ru")-1,1)</definedName>
    <definedName name="budFt" localSheetId="0" hidden="1">OFFSET(Anch,MATCH("Fashiontime.ru",resList,0),3,COUNTIF(resList,"Fashiontime.ru")-1,1)</definedName>
    <definedName name="budFt" hidden="1">OFFSET(Anch,MATCH("Fashiontime.ru",resList,0),3,COUNTIF(resList,"Fashiontime.ru")-1,1)</definedName>
    <definedName name="BUDG" localSheetId="1">#REF!</definedName>
    <definedName name="BUDG" localSheetId="0">#REF!</definedName>
    <definedName name="BUDG">#REF!</definedName>
    <definedName name="budGazeta" localSheetId="1" hidden="1">OFFSET(Anch,MATCH("Gazeta.ru",resList,0),3,COUNTIF(resList,"Gazeta.ru")-1,1)</definedName>
    <definedName name="budGazeta" localSheetId="2" hidden="1">OFFSET(Anch,MATCH("Gazeta.ru",resList,0),3,COUNTIF(resList,"Gazeta.ru")-1,1)</definedName>
    <definedName name="budGazeta" localSheetId="0" hidden="1">OFFSET(Anch,MATCH("Gazeta.ru",resList,0),3,COUNTIF(resList,"Gazeta.ru")-1,1)</definedName>
    <definedName name="budGazeta" hidden="1">OFFSET(Anch,MATCH("Gazeta.ru",resList,0),3,COUNTIF(resList,"Gazeta.ru")-1,1)</definedName>
    <definedName name="budIno" localSheetId="1" hidden="1">OFFSET(Anch,MATCH("Inopressa.ru",resList,0),3,COUNTIF(resList,"Inopressa.ru")-1,1)</definedName>
    <definedName name="budIno" localSheetId="2" hidden="1">OFFSET(Anch,MATCH("Inopressa.ru",resList,0),3,COUNTIF(resList,"Inopressa.ru")-1,1)</definedName>
    <definedName name="budIno" localSheetId="0" hidden="1">OFFSET(Anch,MATCH("Inopressa.ru",resList,0),3,COUNTIF(resList,"Inopressa.ru")-1,1)</definedName>
    <definedName name="budIno" hidden="1">OFFSET(Anch,MATCH("Inopressa.ru",resList,0),3,COUNTIF(resList,"Inopressa.ru")-1,1)</definedName>
    <definedName name="budKomm" localSheetId="1" hidden="1">OFFSET(Anch,MATCH("Kommersant.ru",resList,0),3,COUNTIF(resList,"Kommersant.ru")-1,1)</definedName>
    <definedName name="budKomm" localSheetId="2" hidden="1">OFFSET(Anch,MATCH("Kommersant.ru",resList,0),3,COUNTIF(resList,"Kommersant.ru")-1,1)</definedName>
    <definedName name="budKomm" localSheetId="0" hidden="1">OFFSET(Anch,MATCH("Kommersant.ru",resList,0),3,COUNTIF(resList,"Kommersant.ru")-1,1)</definedName>
    <definedName name="budKomm" hidden="1">OFFSET(Anch,MATCH("Kommersant.ru",resList,0),3,COUNTIF(resList,"Kommersant.ru")-1,1)</definedName>
    <definedName name="budLive" localSheetId="1" hidden="1">OFFSET(Anch,MATCH("Liveinternet.ru",resList,0),3,COUNTIF(resList,"Liveinternet.ru")-1,1)</definedName>
    <definedName name="budLive" localSheetId="2" hidden="1">OFFSET(Anch,MATCH("Liveinternet.ru",resList,0),3,COUNTIF(resList,"Liveinternet.ru")-1,1)</definedName>
    <definedName name="budLive" localSheetId="0" hidden="1">OFFSET(Anch,MATCH("Liveinternet.ru",resList,0),3,COUNTIF(resList,"Liveinternet.ru")-1,1)</definedName>
    <definedName name="budLive" hidden="1">OFFSET(Anch,MATCH("Liveinternet.ru",resList,0),3,COUNTIF(resList,"Liveinternet.ru")-1,1)</definedName>
    <definedName name="budMail" localSheetId="1" hidden="1">OFFSET(Anch,MATCH("Mail.ru",resList,0),3,COUNTIF(resList,"Mail.ru")-1,1)</definedName>
    <definedName name="budMail" localSheetId="2" hidden="1">OFFSET(Anch,MATCH("Mail.ru",resList,0),3,COUNTIF(resList,"Mail.ru")-1,1)</definedName>
    <definedName name="budMail" localSheetId="0" hidden="1">OFFSET(Anch,MATCH("Mail.ru",resList,0),3,COUNTIF(resList,"Mail.ru")-1,1)</definedName>
    <definedName name="budMail" hidden="1">OFFSET(Anch,MATCH("Mail.ru",resList,0),3,COUNTIF(resList,"Mail.ru")-1,1)</definedName>
    <definedName name="budMtv" localSheetId="1" hidden="1">OFFSET(Anch,MATCH("MTV.ru",resList,0),3,COUNTIF(resList,"MTV.ru")-1,1)</definedName>
    <definedName name="budMtv" localSheetId="2" hidden="1">OFFSET(Anch,MATCH("MTV.ru",resList,0),3,COUNTIF(resList,"MTV.ru")-1,1)</definedName>
    <definedName name="budMtv" localSheetId="0" hidden="1">OFFSET(Anch,MATCH("MTV.ru",resList,0),3,COUNTIF(resList,"MTV.ru")-1,1)</definedName>
    <definedName name="budMtv" hidden="1">OFFSET(Anch,MATCH("MTV.ru",resList,0),3,COUNTIF(resList,"MTV.ru")-1,1)</definedName>
    <definedName name="budNewsru" localSheetId="1" hidden="1">OFFSET(Anch,MATCH("Newsru.com",resList,0),3,COUNTIF(resList,"Newsru.com")-1,1)</definedName>
    <definedName name="budNewsru" localSheetId="2" hidden="1">OFFSET(Anch,MATCH("Newsru.com",resList,0),3,COUNTIF(resList,"Newsru.com")-1,1)</definedName>
    <definedName name="budNewsru" localSheetId="0" hidden="1">OFFSET(Anch,MATCH("Newsru.com",resList,0),3,COUNTIF(resList,"Newsru.com")-1,1)</definedName>
    <definedName name="budNewsru" hidden="1">OFFSET(Anch,MATCH("Newsru.com",resList,0),3,COUNTIF(resList,"Newsru.com")-1,1)</definedName>
    <definedName name="budo24" localSheetId="1" hidden="1">OFFSET(Anch,MATCH("24open.ru",resList,0),3,COUNTIF(resList,"24open.ru")-1,1)</definedName>
    <definedName name="budo24" localSheetId="2" hidden="1">OFFSET(Anch,MATCH("24open.ru",resList,0),3,COUNTIF(resList,"24open.ru")-1,1)</definedName>
    <definedName name="budo24" localSheetId="0" hidden="1">OFFSET(Anch,MATCH("24open.ru",resList,0),3,COUNTIF(resList,"24open.ru")-1,1)</definedName>
    <definedName name="budo24" hidden="1">OFFSET(Anch,MATCH("24open.ru",resList,0),3,COUNTIF(resList,"24open.ru")-1,1)</definedName>
    <definedName name="budRian" localSheetId="1" hidden="1">OFFSET(Anch,MATCH("RIAN.ru",resList,0),3,COUNTIF(resList,"RIAN.ru")-1,1)</definedName>
    <definedName name="budRian" localSheetId="2" hidden="1">OFFSET(Anch,MATCH("RIAN.ru",resList,0),3,COUNTIF(resList,"RIAN.ru")-1,1)</definedName>
    <definedName name="budRian" localSheetId="0" hidden="1">OFFSET(Anch,MATCH("RIAN.ru",resList,0),3,COUNTIF(resList,"RIAN.ru")-1,1)</definedName>
    <definedName name="budRian" hidden="1">OFFSET(Anch,MATCH("RIAN.ru",resList,0),3,COUNTIF(resList,"RIAN.ru")-1,1)</definedName>
    <definedName name="budSp" localSheetId="1" hidden="1">OFFSET(Anch,MATCH("Sports.ru",resList,0),3,COUNTIF(resList,"Sports.ru")-1,1)</definedName>
    <definedName name="budSp" localSheetId="2" hidden="1">OFFSET(Anch,MATCH("Sports.ru",resList,0),3,COUNTIF(resList,"Sports.ru")-1,1)</definedName>
    <definedName name="budSp" localSheetId="0" hidden="1">OFFSET(Anch,MATCH("Sports.ru",resList,0),3,COUNTIF(resList,"Sports.ru")-1,1)</definedName>
    <definedName name="budSp" hidden="1">OFFSET(Anch,MATCH("Sports.ru",resList,0),3,COUNTIF(resList,"Sports.ru")-1,1)</definedName>
    <definedName name="budStyle" localSheetId="1" hidden="1">OFFSET(Anch,MATCH("Superstyle.ru",resList,0),3,COUNTIF(resList,"Superstyle.ru")-1,1)</definedName>
    <definedName name="budStyle" localSheetId="2" hidden="1">OFFSET(Anch,MATCH("Superstyle.ru",resList,0),3,COUNTIF(resList,"Superstyle.ru")-1,1)</definedName>
    <definedName name="budStyle" localSheetId="0" hidden="1">OFFSET(Anch,MATCH("Superstyle.ru",resList,0),3,COUNTIF(resList,"Superstyle.ru")-1,1)</definedName>
    <definedName name="budStyle" hidden="1">OFFSET(Anch,MATCH("Superstyle.ru",resList,0),3,COUNTIF(resList,"Superstyle.ru")-1,1)</definedName>
    <definedName name="budSubscribe" localSheetId="1" hidden="1">OFFSET(Anch,MATCH("Subscribe.ru",resList,0),3,COUNTIF(resList,"Subscribe.ru")-1,1)</definedName>
    <definedName name="budSubscribe" localSheetId="2" hidden="1">OFFSET(Anch,MATCH("Subscribe.ru",resList,0),3,COUNTIF(resList,"Subscribe.ru")-1,1)</definedName>
    <definedName name="budSubscribe" localSheetId="0" hidden="1">OFFSET(Anch,MATCH("Subscribe.ru",resList,0),3,COUNTIF(resList,"Subscribe.ru")-1,1)</definedName>
    <definedName name="budSubscribe" hidden="1">OFFSET(Anch,MATCH("Subscribe.ru",resList,0),3,COUNTIF(resList,"Subscribe.ru")-1,1)</definedName>
    <definedName name="budVokrug" localSheetId="1" hidden="1">OFFSET(Anch,MATCH("Vokrugsveta.ru",resList,0),3,COUNTIF(resList,"Vokrugsveta.ru")-1,1)</definedName>
    <definedName name="budVokrug" localSheetId="2" hidden="1">OFFSET(Anch,MATCH("Vokrugsveta.ru",resList,0),3,COUNTIF(resList,"Vokrugsveta.ru")-1,1)</definedName>
    <definedName name="budVokrug" localSheetId="0" hidden="1">OFFSET(Anch,MATCH("Vokrugsveta.ru",resList,0),3,COUNTIF(resList,"Vokrugsveta.ru")-1,1)</definedName>
    <definedName name="budVokrug" hidden="1">OFFSET(Anch,MATCH("Vokrugsveta.ru",resList,0),3,COUNTIF(resList,"Vokrugsveta.ru")-1,1)</definedName>
    <definedName name="budVzglyad" localSheetId="1" hidden="1">OFFSET(Anch,MATCH("Vzglyad.ru",resList,0),3,COUNTIF(resList,"Vzglyad.ru")-1,1)</definedName>
    <definedName name="budVzglyad" localSheetId="2" hidden="1">OFFSET(Anch,MATCH("Vzglyad.ru",resList,0),3,COUNTIF(resList,"Vzglyad.ru")-1,1)</definedName>
    <definedName name="budVzglyad" localSheetId="0" hidden="1">OFFSET(Anch,MATCH("Vzglyad.ru",resList,0),3,COUNTIF(resList,"Vzglyad.ru")-1,1)</definedName>
    <definedName name="budVzglyad" hidden="1">OFFSET(Anch,MATCH("Vzglyad.ru",resList,0),3,COUNTIF(resList,"Vzglyad.ru")-1,1)</definedName>
    <definedName name="budYa" localSheetId="1" hidden="1">OFFSET(Anch,MATCH("Yandex.ru",resList,0),3,COUNTIF(resList,"Yandex.ru")-1,1)</definedName>
    <definedName name="budYa" localSheetId="2" hidden="1">OFFSET(Anch,MATCH("Yandex.ru",resList,0),3,COUNTIF(resList,"Yandex.ru")-1,1)</definedName>
    <definedName name="budYa" localSheetId="0" hidden="1">OFFSET(Anch,MATCH("Yandex.ru",resList,0),3,COUNTIF(resList,"Yandex.ru")-1,1)</definedName>
    <definedName name="budYa" hidden="1">OFFSET(Anch,MATCH("Yandex.ru",resList,0),3,COUNTIF(resList,"Yandex.ru")-1,1)</definedName>
    <definedName name="ca" localSheetId="1">#REF!</definedName>
    <definedName name="ca" localSheetId="0">#REF!</definedName>
    <definedName name="ca">#REF!</definedName>
    <definedName name="cad" hidden="1">[10]XLR_NoRangeSheet!$B$5</definedName>
    <definedName name="CAL" localSheetId="1">#REF!</definedName>
    <definedName name="CAL" localSheetId="0">#REF!</definedName>
    <definedName name="CAL">#REF!</definedName>
    <definedName name="calcola_indice">[11]GRP!#REF!</definedName>
    <definedName name="calmedia" localSheetId="1">#REF!</definedName>
    <definedName name="calmedia" localSheetId="0">#REF!</definedName>
    <definedName name="calmedia">#REF!</definedName>
    <definedName name="calmedia2" localSheetId="1">#REF!</definedName>
    <definedName name="calmedia2" localSheetId="0">#REF!</definedName>
    <definedName name="calmedia2">#REF!</definedName>
    <definedName name="calprod2" localSheetId="1">#REF!</definedName>
    <definedName name="calprod2" localSheetId="0">#REF!</definedName>
    <definedName name="calprod2">#REF!</definedName>
    <definedName name="CALPROD3">#REF!</definedName>
    <definedName name="Calproduit">#REF!</definedName>
    <definedName name="canale5" localSheetId="1">#REF!,#REF!,#REF!,#REF!,#REF!,#REF!,#REF!,#REF!,#REF!,#REF!</definedName>
    <definedName name="canale5" localSheetId="0">#REF!,#REF!,#REF!,#REF!,#REF!,#REF!,#REF!,#REF!,#REF!,#REF!</definedName>
    <definedName name="canale5">#REF!,#REF!,#REF!,#REF!,#REF!,#REF!,#REF!,#REF!,#REF!,#REF!</definedName>
    <definedName name="canali" localSheetId="1">#REF!</definedName>
    <definedName name="canali" localSheetId="0">#REF!</definedName>
    <definedName name="canali">#REF!</definedName>
    <definedName name="cat">#REF!</definedName>
    <definedName name="cc">#REF!</definedName>
    <definedName name="Cēsu" localSheetId="1" hidden="1">{"'siets LAT'!$J$95","'siets LAT'!$J$95"}</definedName>
    <definedName name="Cēsu" localSheetId="2" hidden="1">{"'siets LAT'!$J$95","'siets LAT'!$J$95"}</definedName>
    <definedName name="Cēsu" localSheetId="0" hidden="1">{"'siets LAT'!$J$95","'siets LAT'!$J$95"}</definedName>
    <definedName name="Cēsu" hidden="1">{"'siets LAT'!$J$95","'siets LAT'!$J$95"}</definedName>
    <definedName name="Cha">#REF!</definedName>
    <definedName name="ci">'[12]PIANO GENERALE'!#REF!</definedName>
    <definedName name="clb" localSheetId="1">#REF!</definedName>
    <definedName name="clb" localSheetId="0">#REF!</definedName>
    <definedName name="clb">#REF!</definedName>
    <definedName name="CLP" localSheetId="1">#REF!</definedName>
    <definedName name="CLP" localSheetId="0">#REF!</definedName>
    <definedName name="CLP">#REF!</definedName>
    <definedName name="CMERCE" localSheetId="1">#REF!</definedName>
    <definedName name="CMERCE" localSheetId="0">#REF!</definedName>
    <definedName name="CMERCE">#REF!</definedName>
    <definedName name="CN" localSheetId="1" hidden="1">{#N/A,#N/A,TRUE,"Пресса";#N/A,#N/A,TRUE,"Метро";#N/A,#N/A,TRUE,"Щиты";#N/A,#N/A,TRUE,"График";#N/A,#N/A,TRUE,"График"}</definedName>
    <definedName name="CN" localSheetId="2" hidden="1">{#N/A,#N/A,TRUE,"Пресса";#N/A,#N/A,TRUE,"Метро";#N/A,#N/A,TRUE,"Щиты";#N/A,#N/A,TRUE,"График";#N/A,#N/A,TRUE,"График"}</definedName>
    <definedName name="CN" localSheetId="0" hidden="1">{#N/A,#N/A,TRUE,"Пресса";#N/A,#N/A,TRUE,"Метро";#N/A,#N/A,TRUE,"Щиты";#N/A,#N/A,TRUE,"График";#N/A,#N/A,TRUE,"График"}</definedName>
    <definedName name="CN" hidden="1">{#N/A,#N/A,TRUE,"Пресса";#N/A,#N/A,TRUE,"Метро";#N/A,#N/A,TRUE,"Щиты";#N/A,#N/A,TRUE,"График";#N/A,#N/A,TRUE,"График"}</definedName>
    <definedName name="coco">#REF!</definedName>
    <definedName name="coco_1">#REF!</definedName>
    <definedName name="coco_2">#REF!</definedName>
    <definedName name="coco_3">#REF!</definedName>
    <definedName name="COMPBL">#REF!</definedName>
    <definedName name="COMPER">#REF!</definedName>
    <definedName name="COMPRS">#REF!</definedName>
    <definedName name="COMQUO">#REF!</definedName>
    <definedName name="cost">#REF!</definedName>
    <definedName name="CPP">#REF!</definedName>
    <definedName name="CSMEZ">#REF!</definedName>
    <definedName name="d3Disc" hidden="1">'[6]3DNEWS.RU'!$E$48</definedName>
    <definedName name="d3DiscTotal" localSheetId="1" hidden="1">MAX((100%-'Второй месяц'!splitDisc)*(100%-[0]!d3Disc)*(100%-'Второй месяц'!agencyDisc)*(100%-[0]!discReach),[0]!maxd3)</definedName>
    <definedName name="d3DiscTotal" localSheetId="2" hidden="1">MAX((100%-splitDisc)*(100%-[0]!d3Disc)*(100%-agencyDisc)*(100%-[0]!discReach),[0]!maxd3)</definedName>
    <definedName name="d3DiscTotal" localSheetId="0" hidden="1">MAX((100%-'Первый месяц'!splitDisc)*(100%-[0]!d3Disc)*(100%-'Первый месяц'!agencyDisc)*(100%-[0]!discReach),[0]!maxd3)</definedName>
    <definedName name="d3DiscTotal" hidden="1">MAX((100%-splitDisc)*(100%-[0]!d3Disc)*(100%-agencyDisc)*(100%-[0]!discReach),[0]!maxd3)</definedName>
    <definedName name="daimler" localSheetId="1">#REF!</definedName>
    <definedName name="daimler" localSheetId="0">#REF!</definedName>
    <definedName name="daimler">#REF!</definedName>
    <definedName name="Dandy_new" localSheetId="1" hidden="1">{"'siets LAT'!$J$95","'siets LAT'!$J$95"}</definedName>
    <definedName name="Dandy_new" localSheetId="2" hidden="1">{"'siets LAT'!$J$95","'siets LAT'!$J$95"}</definedName>
    <definedName name="Dandy_new" localSheetId="0" hidden="1">{"'siets LAT'!$J$95","'siets LAT'!$J$95"}</definedName>
    <definedName name="Dandy_new" hidden="1">{"'siets LAT'!$J$95","'siets LAT'!$J$95"}</definedName>
    <definedName name="dd">'[13]MP 2007'!#REF!</definedName>
    <definedName name="ddd" localSheetId="1">#REF!</definedName>
    <definedName name="ddd" localSheetId="0">#REF!</definedName>
    <definedName name="ddd">#REF!</definedName>
    <definedName name="de">[14]Spee!$A$63</definedName>
    <definedName name="debby" localSheetId="1">#REF!</definedName>
    <definedName name="debby" localSheetId="0">#REF!</definedName>
    <definedName name="debby">#REF!</definedName>
    <definedName name="DEBORA" localSheetId="1">#REF!</definedName>
    <definedName name="DEBORA" localSheetId="0">#REF!</definedName>
    <definedName name="DEBORA">#REF!</definedName>
    <definedName name="description" localSheetId="1">#REF!</definedName>
    <definedName name="description" localSheetId="0">#REF!</definedName>
    <definedName name="description">#REF!</definedName>
    <definedName name="dez">#REF!</definedName>
    <definedName name="dfg" hidden="1">[10]XLR_NoRangeSheet!$A$5</definedName>
    <definedName name="dgdg" hidden="1">[10]XLR_NoRangeSheet!$A$5</definedName>
    <definedName name="discMax" hidden="1">'[6]##'!$Q$20:$Q$42</definedName>
    <definedName name="discReach" hidden="1">#N/A</definedName>
    <definedName name="dolzina">#REF!</definedName>
    <definedName name="dolzina_1">#REF!</definedName>
    <definedName name="dqsqqs">#REF!</definedName>
    <definedName name="Druckbereich_MI">#REF!</definedName>
    <definedName name="Drucktitel2">#REF!</definedName>
    <definedName name="dsdasadsfsf" hidden="1">4</definedName>
    <definedName name="echoDisc" hidden="1">'[6]ECHO.MSK.RU'!$E$49</definedName>
    <definedName name="echoDiscTotal" localSheetId="1" hidden="1">MAX((100%-'Второй месяц'!splitDisc)*(100%-[0]!echoDisc)*(100%-'Второй месяц'!agencyDisc)*(100%-[0]!discReach),[0]!maxEcho)</definedName>
    <definedName name="echoDiscTotal" localSheetId="2" hidden="1">MAX((100%-splitDisc)*(100%-[0]!echoDisc)*(100%-agencyDisc)*(100%-[0]!discReach),[0]!maxEcho)</definedName>
    <definedName name="echoDiscTotal" localSheetId="0" hidden="1">MAX((100%-'Первый месяц'!splitDisc)*(100%-[0]!echoDisc)*(100%-'Первый месяц'!agencyDisc)*(100%-[0]!discReach),[0]!maxEcho)</definedName>
    <definedName name="echoDiscTotal" hidden="1">MAX((100%-splitDisc)*(100%-[0]!echoDisc)*(100%-agencyDisc)*(100%-[0]!discReach),[0]!maxEcho)</definedName>
    <definedName name="EDITION" localSheetId="1">#REF!</definedName>
    <definedName name="EDITION" localSheetId="0">#REF!</definedName>
    <definedName name="EDITION">#REF!</definedName>
    <definedName name="eeeeeee" hidden="1">4</definedName>
    <definedName name="eeeeeeeeeee" hidden="1">27</definedName>
    <definedName name="eh" localSheetId="1" hidden="1">{#N/A,#N/A,TRUE,"Пресса";#N/A,#N/A,TRUE,"Метро";#N/A,#N/A,TRUE,"Щиты";#N/A,#N/A,TRUE,"График";#N/A,#N/A,TRUE,"График"}</definedName>
    <definedName name="eh" localSheetId="2" hidden="1">{#N/A,#N/A,TRUE,"Пресса";#N/A,#N/A,TRUE,"Метро";#N/A,#N/A,TRUE,"Щиты";#N/A,#N/A,TRUE,"График";#N/A,#N/A,TRUE,"График"}</definedName>
    <definedName name="eh" localSheetId="0" hidden="1">{#N/A,#N/A,TRUE,"Пресса";#N/A,#N/A,TRUE,"Метро";#N/A,#N/A,TRUE,"Щиты";#N/A,#N/A,TRUE,"График";#N/A,#N/A,TRUE,"График"}</definedName>
    <definedName name="eh" hidden="1">{#N/A,#N/A,TRUE,"Пресса";#N/A,#N/A,TRUE,"Метро";#N/A,#N/A,TRUE,"Щиты";#N/A,#N/A,TRUE,"График";#N/A,#N/A,TRUE,"График"}</definedName>
    <definedName name="ehars" localSheetId="1" hidden="1">{#N/A,#N/A,TRUE,"Пресса";#N/A,#N/A,TRUE,"Метро";#N/A,#N/A,TRUE,"Щиты";#N/A,#N/A,TRUE,"График";#N/A,#N/A,TRUE,"График"}</definedName>
    <definedName name="ehars" localSheetId="2" hidden="1">{#N/A,#N/A,TRUE,"Пресса";#N/A,#N/A,TRUE,"Метро";#N/A,#N/A,TRUE,"Щиты";#N/A,#N/A,TRUE,"График";#N/A,#N/A,TRUE,"График"}</definedName>
    <definedName name="ehars" localSheetId="0" hidden="1">{#N/A,#N/A,TRUE,"Пресса";#N/A,#N/A,TRUE,"Метро";#N/A,#N/A,TRUE,"Щиты";#N/A,#N/A,TRUE,"График";#N/A,#N/A,TRUE,"График"}</definedName>
    <definedName name="ehars" hidden="1">{#N/A,#N/A,TRUE,"Пресса";#N/A,#N/A,TRUE,"Метро";#N/A,#N/A,TRUE,"Щиты";#N/A,#N/A,TRUE,"График";#N/A,#N/A,TRUE,"График"}</definedName>
    <definedName name="ehfos" localSheetId="1" hidden="1">{#N/A,#N/A,TRUE,"Пресса";#N/A,#N/A,TRUE,"Метро";#N/A,#N/A,TRUE,"Щиты";#N/A,#N/A,TRUE,"График";#N/A,#N/A,TRUE,"График"}</definedName>
    <definedName name="ehfos" localSheetId="2" hidden="1">{#N/A,#N/A,TRUE,"Пресса";#N/A,#N/A,TRUE,"Метро";#N/A,#N/A,TRUE,"Щиты";#N/A,#N/A,TRUE,"График";#N/A,#N/A,TRUE,"График"}</definedName>
    <definedName name="ehfos" localSheetId="0" hidden="1">{#N/A,#N/A,TRUE,"Пресса";#N/A,#N/A,TRUE,"Метро";#N/A,#N/A,TRUE,"Щиты";#N/A,#N/A,TRUE,"График";#N/A,#N/A,TRUE,"График"}</definedName>
    <definedName name="ehfos" hidden="1">{#N/A,#N/A,TRUE,"Пресса";#N/A,#N/A,TRUE,"Метро";#N/A,#N/A,TRUE,"Щиты";#N/A,#N/A,TRUE,"График";#N/A,#N/A,TRUE,"График"}</definedName>
    <definedName name="eqwqeq">#REF!</definedName>
    <definedName name="Estimacion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Criteria">[15]LODI!#REF!</definedName>
    <definedName name="Excel_BuiltIn_Extract">[15]LODI!#REF!</definedName>
    <definedName name="expertDisc" hidden="1">[6]EXPERT.RU!$E$50</definedName>
    <definedName name="expertDiscTotal" localSheetId="1" hidden="1">MAX((100%-'Второй месяц'!splitDisc)*(100%-[0]!expertDisc)*(100%-'Второй месяц'!agencyDisc)*(100%-[0]!discReach),[0]!maxExpert)</definedName>
    <definedName name="expertDiscTotal" localSheetId="2" hidden="1">MAX((100%-splitDisc)*(100%-[0]!expertDisc)*(100%-agencyDisc)*(100%-[0]!discReach),[0]!maxExpert)</definedName>
    <definedName name="expertDiscTotal" localSheetId="0" hidden="1">MAX((100%-'Первый месяц'!splitDisc)*(100%-[0]!expertDisc)*(100%-'Первый месяц'!agencyDisc)*(100%-[0]!discReach),[0]!maxExpert)</definedName>
    <definedName name="expertDiscTotal" hidden="1">MAX((100%-splitDisc)*(100%-[0]!expertDisc)*(100%-agencyDisc)*(100%-[0]!discReach),[0]!maxExpert)</definedName>
    <definedName name="extraDelay" localSheetId="1" hidden="1">IF([0]!fixDelay,10%,0)</definedName>
    <definedName name="extraDelay" localSheetId="2" hidden="1">IF([0]!fixDelay,10%,0)</definedName>
    <definedName name="extraDelay" localSheetId="0" hidden="1">IF([0]!fixDelay,10%,0)</definedName>
    <definedName name="extraDelay" hidden="1">IF([0]!fixDelay,10%,0)</definedName>
    <definedName name="f" localSheetId="1">#REF!</definedName>
    <definedName name="f" localSheetId="0">#REF!</definedName>
    <definedName name="f">#REF!</definedName>
    <definedName name="FA" localSheetId="1">#REF!,#REF!,#REF!,#REF!,#REF!,#REF!,#REF!,#REF!,#REF!,#REF!,#REF!,#REF!,#REF!,#REF!,#REF!,#REF!,#REF!,#REF!,#REF!,#REF!,#REF!,#REF!,#REF!</definedName>
    <definedName name="FA" localSheetId="0">#REF!,#REF!,#REF!,#REF!,#REF!,#REF!,#REF!,#REF!,#REF!,#REF!,#REF!,#REF!,#REF!,#REF!,#REF!,#REF!,#REF!,#REF!,#REF!,#REF!,#REF!,#REF!,#REF!</definedName>
    <definedName name="FA">#REF!,#REF!,#REF!,#REF!,#REF!,#REF!,#REF!,#REF!,#REF!,#REF!,#REF!,#REF!,#REF!,#REF!,#REF!,#REF!,#REF!,#REF!,#REF!,#REF!,#REF!,#REF!,#REF!</definedName>
    <definedName name="FactsCount">1</definedName>
    <definedName name="FASCIA1" localSheetId="1">#REF!,#REF!,#REF!,#REF!,#REF!,#REF!,#REF!,#REF!,#REF!,#REF!,#REF!,#REF!,#REF!,#REF!,#REF!,#REF!,#REF!,#REF!,#REF!,#REF!,#REF!,#REF!,#REF!</definedName>
    <definedName name="FASCIA1" localSheetId="0">#REF!,#REF!,#REF!,#REF!,#REF!,#REF!,#REF!,#REF!,#REF!,#REF!,#REF!,#REF!,#REF!,#REF!,#REF!,#REF!,#REF!,#REF!,#REF!,#REF!,#REF!,#REF!,#REF!</definedName>
    <definedName name="FASCIA1">#REF!,#REF!,#REF!,#REF!,#REF!,#REF!,#REF!,#REF!,#REF!,#REF!,#REF!,#REF!,#REF!,#REF!,#REF!,#REF!,#REF!,#REF!,#REF!,#REF!,#REF!,#REF!,#REF!</definedName>
    <definedName name="FASCIAA" localSheetId="1">#REF!,#REF!,#REF!,#REF!,#REF!,#REF!,#REF!,#REF!,#REF!,#REF!,#REF!,#REF!,#REF!,#REF!,#REF!,#REF!,#REF!,#REF!,#REF!,#REF!,#REF!,#REF!,#REF!,#REF!</definedName>
    <definedName name="FASCIAA" localSheetId="0">#REF!,#REF!,#REF!,#REF!,#REF!,#REF!,#REF!,#REF!,#REF!,#REF!,#REF!,#REF!,#REF!,#REF!,#REF!,#REF!,#REF!,#REF!,#REF!,#REF!,#REF!,#REF!,#REF!,#REF!</definedName>
    <definedName name="FASCIAA">#REF!,#REF!,#REF!,#REF!,#REF!,#REF!,#REF!,#REF!,#REF!,#REF!,#REF!,#REF!,#REF!,#REF!,#REF!,#REF!,#REF!,#REF!,#REF!,#REF!,#REF!,#REF!,#REF!,#REF!</definedName>
    <definedName name="FB" localSheetId="1">#REF!</definedName>
    <definedName name="FB" localSheetId="0">#REF!</definedName>
    <definedName name="FB">#REF!</definedName>
    <definedName name="FD">#REF!</definedName>
    <definedName name="Feb" localSheetId="1" hidden="1">{#N/A,#N/A,TRUE,"Пресса";#N/A,#N/A,TRUE,"Метро";#N/A,#N/A,TRUE,"Щиты";#N/A,#N/A,TRUE,"График";#N/A,#N/A,TRUE,"График"}</definedName>
    <definedName name="Feb" localSheetId="2" hidden="1">{#N/A,#N/A,TRUE,"Пресса";#N/A,#N/A,TRUE,"Метро";#N/A,#N/A,TRUE,"Щиты";#N/A,#N/A,TRUE,"График";#N/A,#N/A,TRUE,"График"}</definedName>
    <definedName name="Feb" localSheetId="0" hidden="1">{#N/A,#N/A,TRUE,"Пресса";#N/A,#N/A,TRUE,"Метро";#N/A,#N/A,TRUE,"Щиты";#N/A,#N/A,TRUE,"График";#N/A,#N/A,TRUE,"График"}</definedName>
    <definedName name="Feb" hidden="1">{#N/A,#N/A,TRUE,"Пресса";#N/A,#N/A,TRUE,"Метро";#N/A,#N/A,TRUE,"Щиты";#N/A,#N/A,TRUE,"График";#N/A,#N/A,TRUE,"График"}</definedName>
    <definedName name="Fehl1">'[2]Data CpGRP'!$A$60</definedName>
    <definedName name="Fehl2">'[2]Data CpGRP'!$A$61</definedName>
    <definedName name="Fehl3">'[2]Data CpGRP'!$A$62</definedName>
    <definedName name="ffdffdf" hidden="1">27</definedName>
    <definedName name="fff">'[16]MP NEON 2008'!#REF!</definedName>
    <definedName name="fg" localSheetId="1" hidden="1">{#N/A,#N/A,TRUE,"Пресса";#N/A,#N/A,TRUE,"Метро";#N/A,#N/A,TRUE,"Щиты";#N/A,#N/A,TRUE,"График";#N/A,#N/A,TRUE,"График"}</definedName>
    <definedName name="fg" localSheetId="2" hidden="1">{#N/A,#N/A,TRUE,"Пресса";#N/A,#N/A,TRUE,"Метро";#N/A,#N/A,TRUE,"Щиты";#N/A,#N/A,TRUE,"График";#N/A,#N/A,TRUE,"График"}</definedName>
    <definedName name="fg" localSheetId="0" hidden="1">{#N/A,#N/A,TRUE,"Пресса";#N/A,#N/A,TRUE,"Метро";#N/A,#N/A,TRUE,"Щиты";#N/A,#N/A,TRUE,"График";#N/A,#N/A,TRUE,"График"}</definedName>
    <definedName name="fg" hidden="1">{#N/A,#N/A,TRUE,"Пресса";#N/A,#N/A,TRUE,"Метро";#N/A,#N/A,TRUE,"Щиты";#N/A,#N/A,TRUE,"График";#N/A,#N/A,TRUE,"График"}</definedName>
    <definedName name="fixAfisha" hidden="1">'[17]##'!$I$24</definedName>
    <definedName name="fixAmedia" hidden="1">'[17]##'!$I$35</definedName>
    <definedName name="fixAuto" hidden="1">'[17]##'!$I$29</definedName>
    <definedName name="fixAvto" hidden="1">'[17]##'!$I$30</definedName>
    <definedName name="fixd3" hidden="1">'[17]##'!$I$39</definedName>
    <definedName name="fixDelay" hidden="1">'[6]##'!$F$6</definedName>
    <definedName name="fixEcho" hidden="1">'[17]##'!$I$33</definedName>
    <definedName name="fixExpert" hidden="1">'[17]##'!$I$26</definedName>
    <definedName name="fixFt" hidden="1">'[17]##'!$I$40</definedName>
    <definedName name="fixGazeta" hidden="1">'[17]##'!$I$23</definedName>
    <definedName name="fixIno" hidden="1">'[17]##'!$I$31</definedName>
    <definedName name="fixKomm" hidden="1">'[17]##'!$I$27</definedName>
    <definedName name="fixLive" hidden="1">'[17]##'!$I$38</definedName>
    <definedName name="fixMail" hidden="1">'[17]##'!$I$21</definedName>
    <definedName name="fixMtv" hidden="1">'[17]##'!$I$37</definedName>
    <definedName name="fixN" hidden="1">'[6]##'!$I$43</definedName>
    <definedName name="fixNewsru" hidden="1">'[17]##'!$I$25</definedName>
    <definedName name="fixo24" hidden="1">'[17]##'!$I$42</definedName>
    <definedName name="fixPlan" hidden="1">'[6]##'!$H$3</definedName>
    <definedName name="fixReach" hidden="1">'[6]##'!$F$3</definedName>
    <definedName name="fixRian" hidden="1">'[17]##'!$I$34</definedName>
    <definedName name="fixSp" hidden="1">'[17]##'!$I$41</definedName>
    <definedName name="fixStyle" hidden="1">'[17]##'!$I$32</definedName>
    <definedName name="fixSubscribe" hidden="1">'[17]##'!$I$28</definedName>
    <definedName name="fixVokrug" hidden="1">'[17]##'!$I$36</definedName>
    <definedName name="fixVzglyad" hidden="1">'[17]##'!$I$22</definedName>
    <definedName name="fixYa" hidden="1">'[17]##'!$I$20</definedName>
    <definedName name="fjk" localSheetId="1" hidden="1">{#N/A,#N/A,TRUE,"Пресса";#N/A,#N/A,TRUE,"Метро";#N/A,#N/A,TRUE,"Щиты";#N/A,#N/A,TRUE,"График";#N/A,#N/A,TRUE,"График"}</definedName>
    <definedName name="fjk" localSheetId="2" hidden="1">{#N/A,#N/A,TRUE,"Пресса";#N/A,#N/A,TRUE,"Метро";#N/A,#N/A,TRUE,"Щиты";#N/A,#N/A,TRUE,"График";#N/A,#N/A,TRUE,"График"}</definedName>
    <definedName name="fjk" localSheetId="0" hidden="1">{#N/A,#N/A,TRUE,"Пресса";#N/A,#N/A,TRUE,"Метро";#N/A,#N/A,TRUE,"Щиты";#N/A,#N/A,TRUE,"График";#N/A,#N/A,TRUE,"График"}</definedName>
    <definedName name="fjk" hidden="1">{#N/A,#N/A,TRUE,"Пресса";#N/A,#N/A,TRUE,"Метро";#N/A,#N/A,TRUE,"Щиты";#N/A,#N/A,TRUE,"График";#N/A,#N/A,TRUE,"График"}</definedName>
    <definedName name="fjkars" localSheetId="1" hidden="1">{#N/A,#N/A,TRUE,"Пресса";#N/A,#N/A,TRUE,"Метро";#N/A,#N/A,TRUE,"Щиты";#N/A,#N/A,TRUE,"График";#N/A,#N/A,TRUE,"График"}</definedName>
    <definedName name="fjkars" localSheetId="2" hidden="1">{#N/A,#N/A,TRUE,"Пресса";#N/A,#N/A,TRUE,"Метро";#N/A,#N/A,TRUE,"Щиты";#N/A,#N/A,TRUE,"График";#N/A,#N/A,TRUE,"График"}</definedName>
    <definedName name="fjkars" localSheetId="0" hidden="1">{#N/A,#N/A,TRUE,"Пресса";#N/A,#N/A,TRUE,"Метро";#N/A,#N/A,TRUE,"Щиты";#N/A,#N/A,TRUE,"График";#N/A,#N/A,TRUE,"График"}</definedName>
    <definedName name="fjkars" hidden="1">{#N/A,#N/A,TRUE,"Пресса";#N/A,#N/A,TRUE,"Метро";#N/A,#N/A,TRUE,"Щиты";#N/A,#N/A,TRUE,"График";#N/A,#N/A,TRUE,"График"}</definedName>
    <definedName name="fjkfos" localSheetId="1" hidden="1">{#N/A,#N/A,TRUE,"Пресса";#N/A,#N/A,TRUE,"Метро";#N/A,#N/A,TRUE,"Щиты";#N/A,#N/A,TRUE,"График";#N/A,#N/A,TRUE,"График"}</definedName>
    <definedName name="fjkfos" localSheetId="2" hidden="1">{#N/A,#N/A,TRUE,"Пресса";#N/A,#N/A,TRUE,"Метро";#N/A,#N/A,TRUE,"Щиты";#N/A,#N/A,TRUE,"График";#N/A,#N/A,TRUE,"График"}</definedName>
    <definedName name="fjkfos" localSheetId="0" hidden="1">{#N/A,#N/A,TRUE,"Пресса";#N/A,#N/A,TRUE,"Метро";#N/A,#N/A,TRUE,"Щиты";#N/A,#N/A,TRUE,"График";#N/A,#N/A,TRUE,"График"}</definedName>
    <definedName name="fjkfos" hidden="1">{#N/A,#N/A,TRUE,"Пресса";#N/A,#N/A,TRUE,"Метро";#N/A,#N/A,TRUE,"Щиты";#N/A,#N/A,TRUE,"График";#N/A,#N/A,TRUE,"График"}</definedName>
    <definedName name="Flowchart2" localSheetId="1" hidden="1">{#N/A,#N/A,TRUE,"Пресса";#N/A,#N/A,TRUE,"Метро";#N/A,#N/A,TRUE,"Щиты";#N/A,#N/A,TRUE,"График";#N/A,#N/A,TRUE,"График"}</definedName>
    <definedName name="Flowchart2" localSheetId="2" hidden="1">{#N/A,#N/A,TRUE,"Пресса";#N/A,#N/A,TRUE,"Метро";#N/A,#N/A,TRUE,"Щиты";#N/A,#N/A,TRUE,"График";#N/A,#N/A,TRUE,"График"}</definedName>
    <definedName name="Flowchart2" localSheetId="0" hidden="1">{#N/A,#N/A,TRUE,"Пресса";#N/A,#N/A,TRUE,"Метро";#N/A,#N/A,TRUE,"Щиты";#N/A,#N/A,TRUE,"График";#N/A,#N/A,TRUE,"График"}</definedName>
    <definedName name="Flowchart2" hidden="1">{#N/A,#N/A,TRUE,"Пресса";#N/A,#N/A,TRUE,"Метро";#N/A,#N/A,TRUE,"Щиты";#N/A,#N/A,TRUE,"График";#N/A,#N/A,TRUE,"График"}</definedName>
    <definedName name="freiplindex">#REF!</definedName>
    <definedName name="ftDisc" hidden="1">[6]FASHIONTIME.RU!$E$46</definedName>
    <definedName name="ftDiscTotal" localSheetId="1" hidden="1">MAX((100%-'Второй месяц'!splitDisc)*(100%-[0]!ftDisc)*(100%-'Второй месяц'!agencyDisc)*(100%-[0]!discReach),[0]!maxFt)</definedName>
    <definedName name="ftDiscTotal" localSheetId="2" hidden="1">MAX((100%-splitDisc)*(100%-[0]!ftDisc)*(100%-agencyDisc)*(100%-[0]!discReach),[0]!maxFt)</definedName>
    <definedName name="ftDiscTotal" localSheetId="0" hidden="1">MAX((100%-'Первый месяц'!splitDisc)*(100%-[0]!ftDisc)*(100%-'Первый месяц'!agencyDisc)*(100%-[0]!discReach),[0]!maxFt)</definedName>
    <definedName name="ftDiscTotal" hidden="1">MAX((100%-splitDisc)*(100%-[0]!ftDisc)*(100%-agencyDisc)*(100%-[0]!discReach),[0]!maxFt)</definedName>
    <definedName name="Full" localSheetId="1">#REF!</definedName>
    <definedName name="Full" localSheetId="0">#REF!</definedName>
    <definedName name="Full">#REF!</definedName>
    <definedName name="FX" localSheetId="1">#REF!</definedName>
    <definedName name="FX" localSheetId="0">#REF!</definedName>
    <definedName name="FX">#REF!</definedName>
    <definedName name="G_F0" hidden="1">[18]XLRpt_TempSheet!$B$6</definedName>
    <definedName name="gazetaDisc" hidden="1">[6]GAZETA.RU!$E$53</definedName>
    <definedName name="gazetaDiscTotal" localSheetId="1" hidden="1">MAX((100%-'Второй месяц'!splitDisc)*(100%-[0]!gazetaDisc)*(100%-'Второй месяц'!agencyDisc)*(100%-[0]!discReach),[0]!maxGazeta)</definedName>
    <definedName name="gazetaDiscTotal" localSheetId="2" hidden="1">MAX((100%-splitDisc)*(100%-[0]!gazetaDisc)*(100%-agencyDisc)*(100%-[0]!discReach),[0]!maxGazeta)</definedName>
    <definedName name="gazetaDiscTotal" localSheetId="0" hidden="1">MAX((100%-'Первый месяц'!splitDisc)*(100%-[0]!gazetaDisc)*(100%-'Первый месяц'!agencyDisc)*(100%-[0]!discReach),[0]!maxGazeta)</definedName>
    <definedName name="gazetaDiscTotal" hidden="1">MAX((100%-splitDisc)*(100%-[0]!gazetaDisc)*(100%-agencyDisc)*(100%-[0]!discReach),[0]!maxGazeta)</definedName>
    <definedName name="gflisa" localSheetId="1">#REF!</definedName>
    <definedName name="gflisa" localSheetId="0">#REF!</definedName>
    <definedName name="gflisa">#REF!</definedName>
    <definedName name="gg" localSheetId="1">#REF!</definedName>
    <definedName name="gg" localSheetId="0">#REF!</definedName>
    <definedName name="gg">#REF!</definedName>
    <definedName name="gh" localSheetId="1">#REF!</definedName>
    <definedName name="gh" localSheetId="0">#REF!</definedName>
    <definedName name="gh">#REF!</definedName>
    <definedName name="ghh" hidden="1">[10]XLR_NoRangeSheet!$B$5</definedName>
    <definedName name="ghjk" localSheetId="1">#REF!</definedName>
    <definedName name="ghjk" localSheetId="0">#REF!</definedName>
    <definedName name="ghjk">#REF!</definedName>
    <definedName name="ghvggg" localSheetId="1">#REF!</definedName>
    <definedName name="ghvggg" localSheetId="0">#REF!</definedName>
    <definedName name="ghvggg">#REF!</definedName>
    <definedName name="ghvggg_1" localSheetId="1">#REF!</definedName>
    <definedName name="ghvggg_1" localSheetId="0">#REF!</definedName>
    <definedName name="ghvggg_1">#REF!</definedName>
    <definedName name="ghvggg_2">#REF!</definedName>
    <definedName name="gio">#REF!</definedName>
    <definedName name="gjhfg" hidden="1">[18]XLRpt_TempSheet!$B$6</definedName>
    <definedName name="gkfy" localSheetId="1" hidden="1">{#N/A,#N/A,TRUE,"Пресса";#N/A,#N/A,TRUE,"Метро";#N/A,#N/A,TRUE,"Щиты";#N/A,#N/A,TRUE,"График";#N/A,#N/A,TRUE,"График"}</definedName>
    <definedName name="gkfy" localSheetId="2" hidden="1">{#N/A,#N/A,TRUE,"Пресса";#N/A,#N/A,TRUE,"Метро";#N/A,#N/A,TRUE,"Щиты";#N/A,#N/A,TRUE,"График";#N/A,#N/A,TRUE,"График"}</definedName>
    <definedName name="gkfy" localSheetId="0" hidden="1">{#N/A,#N/A,TRUE,"Пресса";#N/A,#N/A,TRUE,"Метро";#N/A,#N/A,TRUE,"Щиты";#N/A,#N/A,TRUE,"График";#N/A,#N/A,TRUE,"График"}</definedName>
    <definedName name="gkfy" hidden="1">{#N/A,#N/A,TRUE,"Пресса";#N/A,#N/A,TRUE,"Метро";#N/A,#N/A,TRUE,"Щиты";#N/A,#N/A,TRUE,"График";#N/A,#N/A,TRUE,"График"}</definedName>
    <definedName name="gwer">#REF!</definedName>
    <definedName name="haa">#REF!</definedName>
    <definedName name="HeaderCols">2</definedName>
    <definedName name="HeaderRows">3</definedName>
    <definedName name="hen" localSheetId="1" hidden="1">{#N/A,#N/A,TRUE,"Пресса";#N/A,#N/A,TRUE,"Метро";#N/A,#N/A,TRUE,"Щиты";#N/A,#N/A,TRUE,"График";#N/A,#N/A,TRUE,"График"}</definedName>
    <definedName name="hen" localSheetId="2" hidden="1">{#N/A,#N/A,TRUE,"Пресса";#N/A,#N/A,TRUE,"Метро";#N/A,#N/A,TRUE,"Щиты";#N/A,#N/A,TRUE,"График";#N/A,#N/A,TRUE,"График"}</definedName>
    <definedName name="hen" localSheetId="0" hidden="1">{#N/A,#N/A,TRUE,"Пресса";#N/A,#N/A,TRUE,"Метро";#N/A,#N/A,TRUE,"Щиты";#N/A,#N/A,TRUE,"График";#N/A,#N/A,TRUE,"График"}</definedName>
    <definedName name="hen" hidden="1">{#N/A,#N/A,TRUE,"Пресса";#N/A,#N/A,TRUE,"Метро";#N/A,#N/A,TRUE,"Щиты";#N/A,#N/A,TRUE,"График";#N/A,#N/A,TRUE,"График"}</definedName>
    <definedName name="henars" localSheetId="1" hidden="1">{#N/A,#N/A,TRUE,"Пресса";#N/A,#N/A,TRUE,"Метро";#N/A,#N/A,TRUE,"Щиты";#N/A,#N/A,TRUE,"График";#N/A,#N/A,TRUE,"График"}</definedName>
    <definedName name="henars" localSheetId="2" hidden="1">{#N/A,#N/A,TRUE,"Пресса";#N/A,#N/A,TRUE,"Метро";#N/A,#N/A,TRUE,"Щиты";#N/A,#N/A,TRUE,"График";#N/A,#N/A,TRUE,"График"}</definedName>
    <definedName name="henars" localSheetId="0" hidden="1">{#N/A,#N/A,TRUE,"Пресса";#N/A,#N/A,TRUE,"Метро";#N/A,#N/A,TRUE,"Щиты";#N/A,#N/A,TRUE,"График";#N/A,#N/A,TRUE,"График"}</definedName>
    <definedName name="henars" hidden="1">{#N/A,#N/A,TRUE,"Пресса";#N/A,#N/A,TRUE,"Метро";#N/A,#N/A,TRUE,"Щиты";#N/A,#N/A,TRUE,"График";#N/A,#N/A,TRUE,"График"}</definedName>
    <definedName name="henfos" localSheetId="1" hidden="1">{#N/A,#N/A,TRUE,"Пресса";#N/A,#N/A,TRUE,"Метро";#N/A,#N/A,TRUE,"Щиты";#N/A,#N/A,TRUE,"График";#N/A,#N/A,TRUE,"График"}</definedName>
    <definedName name="henfos" localSheetId="2" hidden="1">{#N/A,#N/A,TRUE,"Пресса";#N/A,#N/A,TRUE,"Метро";#N/A,#N/A,TRUE,"Щиты";#N/A,#N/A,TRUE,"График";#N/A,#N/A,TRUE,"График"}</definedName>
    <definedName name="henfos" localSheetId="0" hidden="1">{#N/A,#N/A,TRUE,"Пресса";#N/A,#N/A,TRUE,"Метро";#N/A,#N/A,TRUE,"Щиты";#N/A,#N/A,TRUE,"График";#N/A,#N/A,TRUE,"График"}</definedName>
    <definedName name="henfos" hidden="1">{#N/A,#N/A,TRUE,"Пресса";#N/A,#N/A,TRUE,"Метро";#N/A,#N/A,TRUE,"Щиты";#N/A,#N/A,TRUE,"График";#N/A,#N/A,TRUE,"График"}</definedName>
    <definedName name="hgth">#REF!</definedName>
    <definedName name="hhhhhhh">#REF!</definedName>
    <definedName name="HQLogo_1">#REF!</definedName>
    <definedName name="HTML_CodePage" hidden="1">1257</definedName>
    <definedName name="HTML_Control" localSheetId="1" hidden="1">{"'siets LAT'!$J$95","'siets LAT'!$J$95"}</definedName>
    <definedName name="HTML_Control" localSheetId="2" hidden="1">{"'siets LAT'!$J$95","'siets LAT'!$J$95"}</definedName>
    <definedName name="HTML_Control" localSheetId="0" hidden="1">{"'siets LAT'!$J$95","'siets LAT'!$J$95"}</definedName>
    <definedName name="HTML_Control" hidden="1">{"'siets LAT'!$J$95","'siets LAT'!$J$95"}</definedName>
    <definedName name="HTML_Description" hidden="1">""</definedName>
    <definedName name="HTML_Email" hidden="1">""</definedName>
    <definedName name="HTML_Header" hidden="1">"siets LAT"</definedName>
    <definedName name="HTML_LastUpdate" hidden="1">"98.04.24."</definedName>
    <definedName name="HTML_LineAfter" hidden="1">FALSE</definedName>
    <definedName name="HTML_LineBefore" hidden="1">FALSE</definedName>
    <definedName name="HTML_Name" hidden="1">"Guru"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"5 CENU LISTES 1998A"</definedName>
    <definedName name="IL" localSheetId="1">#REF!,#REF!,#REF!,#REF!,#REF!,#REF!,#REF!,#REF!,#REF!,#REF!,#REF!,#REF!,#REF!</definedName>
    <definedName name="IL" localSheetId="0">#REF!,#REF!,#REF!,#REF!,#REF!,#REF!,#REF!,#REF!,#REF!,#REF!,#REF!,#REF!,#REF!</definedName>
    <definedName name="IL">#REF!,#REF!,#REF!,#REF!,#REF!,#REF!,#REF!,#REF!,#REF!,#REF!,#REF!,#REF!,#REF!</definedName>
    <definedName name="import" localSheetId="1">#REF!</definedName>
    <definedName name="import" localSheetId="0">#REF!</definedName>
    <definedName name="import">#REF!</definedName>
    <definedName name="Indoor">#REF!</definedName>
    <definedName name="inoDisc" hidden="1">[6]INOPRESSA.RU!$E$49</definedName>
    <definedName name="inoDiscTotal" localSheetId="1" hidden="1">MAX((100%-'Второй месяц'!splitDisc)*(100%-[0]!inoDisc)*(100%-'Второй месяц'!agencyDisc)*(100%-[0]!discReach),[0]!maxIno)</definedName>
    <definedName name="inoDiscTotal" localSheetId="2" hidden="1">MAX((100%-splitDisc)*(100%-[0]!inoDisc)*(100%-agencyDisc)*(100%-[0]!discReach),[0]!maxIno)</definedName>
    <definedName name="inoDiscTotal" localSheetId="0" hidden="1">MAX((100%-'Первый месяц'!splitDisc)*(100%-[0]!inoDisc)*(100%-'Первый месяц'!agencyDisc)*(100%-[0]!discReach),[0]!maxIno)</definedName>
    <definedName name="inoDiscTotal" hidden="1">MAX((100%-splitDisc)*(100%-[0]!inoDisc)*(100%-agencyDisc)*(100%-[0]!discReach),[0]!maxIno)</definedName>
    <definedName name="Internet" localSheetId="1">#REF!</definedName>
    <definedName name="Internet" localSheetId="0">#REF!</definedName>
    <definedName name="Internet">#REF!</definedName>
    <definedName name="io" localSheetId="1" hidden="1">{#N/A,#N/A,TRUE,"Пресса";#N/A,#N/A,TRUE,"Метро";#N/A,#N/A,TRUE,"Щиты";#N/A,#N/A,TRUE,"График";#N/A,#N/A,TRUE,"График"}</definedName>
    <definedName name="io" localSheetId="2" hidden="1">{#N/A,#N/A,TRUE,"Пресса";#N/A,#N/A,TRUE,"Метро";#N/A,#N/A,TRUE,"Щиты";#N/A,#N/A,TRUE,"График";#N/A,#N/A,TRUE,"График"}</definedName>
    <definedName name="io" localSheetId="0" hidden="1">{#N/A,#N/A,TRUE,"Пресса";#N/A,#N/A,TRUE,"Метро";#N/A,#N/A,TRUE,"Щиты";#N/A,#N/A,TRUE,"График";#N/A,#N/A,TRUE,"График"}</definedName>
    <definedName name="io" hidden="1">{#N/A,#N/A,TRUE,"Пресса";#N/A,#N/A,TRUE,"Метро";#N/A,#N/A,TRUE,"Щиты";#N/A,#N/A,TRUE,"График";#N/A,#N/A,TRUE,"График"}</definedName>
    <definedName name="ir">#REF!</definedName>
    <definedName name="italia1" localSheetId="1">#REF!,#REF!,#REF!,#REF!,#REF!,#REF!,#REF!,#REF!,#REF!,#REF!,#REF!,#REF!,#REF!</definedName>
    <definedName name="italia1" localSheetId="0">#REF!,#REF!,#REF!,#REF!,#REF!,#REF!,#REF!,#REF!,#REF!,#REF!,#REF!,#REF!,#REF!</definedName>
    <definedName name="italia1">#REF!,#REF!,#REF!,#REF!,#REF!,#REF!,#REF!,#REF!,#REF!,#REF!,#REF!,#REF!,#REF!</definedName>
    <definedName name="ITCCBDG" localSheetId="1">#REF!</definedName>
    <definedName name="ITCCBDG" localSheetId="0">#REF!</definedName>
    <definedName name="ITCCBDG">#REF!</definedName>
    <definedName name="ITCCCOM">#REF!</definedName>
    <definedName name="ITCCLIST">#REF!</definedName>
    <definedName name="j">'[19]MP NEON 2007'!#REF!</definedName>
    <definedName name="jan" localSheetId="1">#REF!</definedName>
    <definedName name="jan" localSheetId="0">#REF!</definedName>
    <definedName name="jan">#REF!</definedName>
    <definedName name="jhgjgg" localSheetId="1" hidden="1">{#N/A,#N/A,TRUE,"Пресса";#N/A,#N/A,TRUE,"Метро";#N/A,#N/A,TRUE,"Щиты";#N/A,#N/A,TRUE,"График";#N/A,#N/A,TRUE,"График"}</definedName>
    <definedName name="jhgjgg" localSheetId="2" hidden="1">{#N/A,#N/A,TRUE,"Пресса";#N/A,#N/A,TRUE,"Метро";#N/A,#N/A,TRUE,"Щиты";#N/A,#N/A,TRUE,"График";#N/A,#N/A,TRUE,"График"}</definedName>
    <definedName name="jhgjgg" localSheetId="0" hidden="1">{#N/A,#N/A,TRUE,"Пресса";#N/A,#N/A,TRUE,"Метро";#N/A,#N/A,TRUE,"Щиты";#N/A,#N/A,TRUE,"График";#N/A,#N/A,TRUE,"График"}</definedName>
    <definedName name="jhgjgg" hidden="1">{#N/A,#N/A,TRUE,"Пресса";#N/A,#N/A,TRUE,"Метро";#N/A,#N/A,TRUE,"Щиты";#N/A,#N/A,TRUE,"График";#N/A,#N/A,TRUE,"График"}</definedName>
    <definedName name="jul">#REF!</definedName>
    <definedName name="jun">#REF!</definedName>
    <definedName name="k">[15]LODI!#REF!</definedName>
    <definedName name="katja">'[2]Data CpGRP'!#REF!</definedName>
    <definedName name="Kino">#REF!</definedName>
    <definedName name="km">#REF!</definedName>
    <definedName name="kommDisc" hidden="1">[6]KOMMERSANT.RU!$E$44</definedName>
    <definedName name="kommDiscTotal" localSheetId="1" hidden="1">MAX((100%-'Второй месяц'!splitDisc)*(100%-[0]!kommDisc)*(100%-'Второй месяц'!agencyDisc)*(100%-[0]!discReach),[0]!maxKomm)</definedName>
    <definedName name="kommDiscTotal" localSheetId="2" hidden="1">MAX((100%-splitDisc)*(100%-[0]!kommDisc)*(100%-agencyDisc)*(100%-[0]!discReach),[0]!maxKomm)</definedName>
    <definedName name="kommDiscTotal" localSheetId="0" hidden="1">MAX((100%-'Первый месяц'!splitDisc)*(100%-[0]!kommDisc)*(100%-'Первый месяц'!agencyDisc)*(100%-[0]!discReach),[0]!maxKomm)</definedName>
    <definedName name="kommDiscTotal" hidden="1">MAX((100%-splitDisc)*(100%-[0]!kommDisc)*(100%-agencyDisc)*(100%-[0]!discReach),[0]!maxKomm)</definedName>
    <definedName name="KOSIA" localSheetId="1" hidden="1">{"'siets LAT'!$J$95","'siets LAT'!$J$95"}</definedName>
    <definedName name="KOSIA" localSheetId="2" hidden="1">{"'siets LAT'!$J$95","'siets LAT'!$J$95"}</definedName>
    <definedName name="KOSIA" localSheetId="0" hidden="1">{"'siets LAT'!$J$95","'siets LAT'!$J$95"}</definedName>
    <definedName name="KOSIA" hidden="1">{"'siets LAT'!$J$95","'siets LAT'!$J$95"}</definedName>
    <definedName name="KostProz_1">'[2]Data Sender-ZS'!$C$15,'[2]Data Sender-ZS'!$C$29,'[2]Data Sender-ZS'!$C$43,'[2]Data Sender-ZS'!$C$57,'[2]Data Sender-ZS'!$C$71,'[2]Data Sender-ZS'!$C$99,'[2]Data Sender-ZS'!$C$113,'[2]Data Sender-ZS'!$C$85</definedName>
    <definedName name="KostProz_10">'[2]Data Sender-ZS'!$L$15,'[2]Data Sender-ZS'!$L$29,'[2]Data Sender-ZS'!$L$43,'[2]Data Sender-ZS'!$L$57,'[2]Data Sender-ZS'!$L$71,'[2]Data Sender-ZS'!$L$85,'[2]Data Sender-ZS'!$L$99,'[2]Data Sender-ZS'!$L$113</definedName>
    <definedName name="KostProz_11">'[2]Data Sender-ZS'!$M$15,'[2]Data Sender-ZS'!$M$29,'[2]Data Sender-ZS'!$M$43,'[2]Data Sender-ZS'!$M$57,'[2]Data Sender-ZS'!$M$71,'[2]Data Sender-ZS'!$M$85,'[2]Data Sender-ZS'!$M$99,'[2]Data Sender-ZS'!$M$113</definedName>
    <definedName name="KostProz_12">'[2]Data Sender-ZS'!$N$15,'[2]Data Sender-ZS'!$N$29,'[2]Data Sender-ZS'!$N$43,'[2]Data Sender-ZS'!$N$57,'[2]Data Sender-ZS'!$N$71,'[2]Data Sender-ZS'!$N$85,'[2]Data Sender-ZS'!$N$99,'[2]Data Sender-ZS'!$N$113</definedName>
    <definedName name="KostProz_2">'[2]Data Sender-ZS'!$D$15,'[2]Data Sender-ZS'!$D$29,'[2]Data Sender-ZS'!$D$43,'[2]Data Sender-ZS'!$D$57,'[2]Data Sender-ZS'!$D$71,'[2]Data Sender-ZS'!$D$85,'[2]Data Sender-ZS'!$D$99,'[2]Data Sender-ZS'!$D$113</definedName>
    <definedName name="KostProz_3">'[2]Data Sender-ZS'!$E$15,'[2]Data Sender-ZS'!$E$29,'[2]Data Sender-ZS'!$E$43,'[2]Data Sender-ZS'!$E$57,'[2]Data Sender-ZS'!$E$71,'[2]Data Sender-ZS'!$E$85,'[2]Data Sender-ZS'!$E$99,'[2]Data Sender-ZS'!$E$113</definedName>
    <definedName name="KostProz_4">'[2]Data Sender-ZS'!$F$15,'[2]Data Sender-ZS'!$F$29,'[2]Data Sender-ZS'!$F$43,'[2]Data Sender-ZS'!$F$57,'[2]Data Sender-ZS'!$F$71,'[2]Data Sender-ZS'!$F$85,'[2]Data Sender-ZS'!$F$99,'[2]Data Sender-ZS'!$F$113</definedName>
    <definedName name="KostProz_5">'[2]Data Sender-ZS'!$G$15,'[2]Data Sender-ZS'!$G$29,'[2]Data Sender-ZS'!$G$43,'[2]Data Sender-ZS'!$G$57,'[2]Data Sender-ZS'!$G$71,'[2]Data Sender-ZS'!$G$85,'[2]Data Sender-ZS'!$G$99,'[2]Data Sender-ZS'!$G$113</definedName>
    <definedName name="KostProz_6">'[2]Data Sender-ZS'!$H$15,'[2]Data Sender-ZS'!$H$29,'[2]Data Sender-ZS'!$H$43,'[2]Data Sender-ZS'!$H$57,'[2]Data Sender-ZS'!$H$71,'[2]Data Sender-ZS'!$H$85,'[2]Data Sender-ZS'!$H$99,'[2]Data Sender-ZS'!$H$113</definedName>
    <definedName name="KostProz_7">'[2]Data Sender-ZS'!$I$15,'[2]Data Sender-ZS'!$I$29,'[2]Data Sender-ZS'!$I$43,'[2]Data Sender-ZS'!$I$57,'[2]Data Sender-ZS'!$I$71,'[2]Data Sender-ZS'!$I$85,'[2]Data Sender-ZS'!$I$99,'[2]Data Sender-ZS'!$I$113</definedName>
    <definedName name="KostProz_8">'[2]Data Sender-ZS'!$J$15,'[2]Data Sender-ZS'!$J$29,'[2]Data Sender-ZS'!$J$43,'[2]Data Sender-ZS'!$J$57,'[2]Data Sender-ZS'!$J$71,'[2]Data Sender-ZS'!$J$85,'[2]Data Sender-ZS'!$J$99,'[2]Data Sender-ZS'!$J$113</definedName>
    <definedName name="KostProz_9">'[2]Data Sender-ZS'!$K$15,'[2]Data Sender-ZS'!$K$29,'[2]Data Sender-ZS'!$K$43,'[2]Data Sender-ZS'!$K$57,'[2]Data Sender-ZS'!$K$71,'[2]Data Sender-ZS'!$K$85,'[2]Data Sender-ZS'!$K$99,'[2]Data Sender-ZS'!$K$113</definedName>
    <definedName name="Kunde">'[2]Data CpGRP'!$B$2</definedName>
    <definedName name="LCV">[1]Vehicles!$B$63:$O$71</definedName>
    <definedName name="Lieferant">#REF!</definedName>
    <definedName name="linkedAfisha" hidden="1">'[6]##'!$C$24</definedName>
    <definedName name="linkedAll" hidden="1">'[6]##'!$C$20:$C$42</definedName>
    <definedName name="linkedAmedia" hidden="1">'[6]##'!$C$35</definedName>
    <definedName name="linkedAuto" hidden="1">'[6]##'!$C$29</definedName>
    <definedName name="linkedAvto" hidden="1">'[6]##'!$C$30</definedName>
    <definedName name="linkedd3" hidden="1">'[6]##'!$C$39</definedName>
    <definedName name="linkedEcho" hidden="1">'[6]##'!$C$33</definedName>
    <definedName name="linkedExpert" hidden="1">'[6]##'!$C$26</definedName>
    <definedName name="linkedFt" hidden="1">'[6]##'!$C$40</definedName>
    <definedName name="linkedGazeta" hidden="1">'[6]##'!$C$23</definedName>
    <definedName name="linkedIno" hidden="1">'[6]##'!$C$31</definedName>
    <definedName name="linkedKomm" hidden="1">'[6]##'!$C$27</definedName>
    <definedName name="linkedLive" hidden="1">'[6]##'!$C$38</definedName>
    <definedName name="linkedMail" hidden="1">'[6]##'!$C$21</definedName>
    <definedName name="linkedMtv" hidden="1">'[6]##'!$C$37</definedName>
    <definedName name="linkedNewsru" hidden="1">'[6]##'!$C$25</definedName>
    <definedName name="linkedo24" hidden="1">'[6]##'!$C$42</definedName>
    <definedName name="linkedRian" hidden="1">'[6]##'!$C$34</definedName>
    <definedName name="linkedSp" hidden="1">'[6]##'!$C$41</definedName>
    <definedName name="linkedStyle" hidden="1">'[6]##'!$C$32</definedName>
    <definedName name="linkedSubscribe" hidden="1">'[6]##'!$C$28</definedName>
    <definedName name="linkedVokrug" hidden="1">'[6]##'!$C$36</definedName>
    <definedName name="linkedVzglyad" hidden="1">'[6]##'!$C$22</definedName>
    <definedName name="linkedYa" hidden="1">'[6]##'!$C$20</definedName>
    <definedName name="lisa" localSheetId="1">#REF!</definedName>
    <definedName name="lisa" localSheetId="0">#REF!</definedName>
    <definedName name="lisa">#REF!</definedName>
    <definedName name="lisquo" localSheetId="1">#REF!</definedName>
    <definedName name="lisquo" localSheetId="0">#REF!</definedName>
    <definedName name="lisquo">#REF!</definedName>
    <definedName name="LISTMTV" localSheetId="1">#REF!</definedName>
    <definedName name="LISTMTV" localSheetId="0">#REF!</definedName>
    <definedName name="LISTMTV">#REF!</definedName>
    <definedName name="LISTPBL">#REF!</definedName>
    <definedName name="LISTPER">#REF!</definedName>
    <definedName name="LISTPRS">#REF!</definedName>
    <definedName name="LISTQUO">#REF!</definedName>
    <definedName name="LISTTMC">#REF!</definedName>
    <definedName name="liveDisc" hidden="1">[6]LIVEINTERNET.RU!$E$55</definedName>
    <definedName name="liveDiscTotal" localSheetId="1" hidden="1">MAX((100%-'Второй месяц'!splitDisc)*(100%-[0]!liveDisc)*(100%-'Второй месяц'!agencyDisc)*(100%-[0]!discReach),[0]!maxLive)</definedName>
    <definedName name="liveDiscTotal" localSheetId="2" hidden="1">MAX((100%-splitDisc)*(100%-[0]!liveDisc)*(100%-agencyDisc)*(100%-[0]!discReach),[0]!maxLive)</definedName>
    <definedName name="liveDiscTotal" localSheetId="0" hidden="1">MAX((100%-'Первый месяц'!splitDisc)*(100%-[0]!liveDisc)*(100%-'Первый месяц'!agencyDisc)*(100%-[0]!discReach),[0]!maxLive)</definedName>
    <definedName name="liveDiscTotal" hidden="1">MAX((100%-splitDisc)*(100%-[0]!liveDisc)*(100%-agencyDisc)*(100%-[0]!discReach),[0]!maxLive)</definedName>
    <definedName name="lm" localSheetId="1">#REF!</definedName>
    <definedName name="lm" localSheetId="0">#REF!</definedName>
    <definedName name="lm">#REF!</definedName>
    <definedName name="LTV_6MONTHNEW" localSheetId="1" hidden="1">{"'siets LAT'!$J$95","'siets LAT'!$J$95"}</definedName>
    <definedName name="LTV_6MONTHNEW" localSheetId="2" hidden="1">{"'siets LAT'!$J$95","'siets LAT'!$J$95"}</definedName>
    <definedName name="LTV_6MONTHNEW" localSheetId="0" hidden="1">{"'siets LAT'!$J$95","'siets LAT'!$J$95"}</definedName>
    <definedName name="LTV_6MONTHNEW" hidden="1">{"'siets LAT'!$J$95","'siets LAT'!$J$95"}</definedName>
    <definedName name="m_plan" localSheetId="1" hidden="1">{#N/A,#N/A,TRUE,"Пресса";#N/A,#N/A,TRUE,"Метро";#N/A,#N/A,TRUE,"Щиты";#N/A,#N/A,TRUE,"График";#N/A,#N/A,TRUE,"График"}</definedName>
    <definedName name="m_plan" localSheetId="2" hidden="1">{#N/A,#N/A,TRUE,"Пресса";#N/A,#N/A,TRUE,"Метро";#N/A,#N/A,TRUE,"Щиты";#N/A,#N/A,TRUE,"График";#N/A,#N/A,TRUE,"График"}</definedName>
    <definedName name="m_plan" localSheetId="0" hidden="1">{#N/A,#N/A,TRUE,"Пресса";#N/A,#N/A,TRUE,"Метро";#N/A,#N/A,TRUE,"Щиты";#N/A,#N/A,TRUE,"График";#N/A,#N/A,TRUE,"График"}</definedName>
    <definedName name="m_plan" hidden="1">{#N/A,#N/A,TRUE,"Пресса";#N/A,#N/A,TRUE,"Метро";#N/A,#N/A,TRUE,"Щиты";#N/A,#N/A,TRUE,"График";#N/A,#N/A,TRUE,"График"}</definedName>
    <definedName name="Magazyny">#REF!</definedName>
    <definedName name="mai">#REF!</definedName>
    <definedName name="mailDisc" hidden="1">[6]MAIL.RU!$E$59</definedName>
    <definedName name="mailDiscTotal" localSheetId="1" hidden="1">MAX((100%-'Второй месяц'!splitDisc)*(100%-[0]!mailDisc)*(100%-'Второй месяц'!agencyDisc)*(100%-[0]!discReach),[0]!maxMail)</definedName>
    <definedName name="mailDiscTotal" localSheetId="2" hidden="1">MAX((100%-splitDisc)*(100%-[0]!mailDisc)*(100%-agencyDisc)*(100%-[0]!discReach),[0]!maxMail)</definedName>
    <definedName name="mailDiscTotal" localSheetId="0" hidden="1">MAX((100%-'Первый месяц'!splitDisc)*(100%-[0]!mailDisc)*(100%-'Первый месяц'!agencyDisc)*(100%-[0]!discReach),[0]!maxMail)</definedName>
    <definedName name="mailDiscTotal" hidden="1">MAX((100%-splitDisc)*(100%-[0]!mailDisc)*(100%-agencyDisc)*(100%-[0]!discReach),[0]!maxMail)</definedName>
    <definedName name="Martini" localSheetId="1" hidden="1">{"'siets LAT'!$J$95","'siets LAT'!$J$95"}</definedName>
    <definedName name="Martini" localSheetId="2" hidden="1">{"'siets LAT'!$J$95","'siets LAT'!$J$95"}</definedName>
    <definedName name="Martini" localSheetId="0" hidden="1">{"'siets LAT'!$J$95","'siets LAT'!$J$95"}</definedName>
    <definedName name="Martini" hidden="1">{"'siets LAT'!$J$95","'siets LAT'!$J$95"}</definedName>
    <definedName name="material_number">#REF!</definedName>
    <definedName name="maxAfisha" hidden="1">'[6]##'!$O$24</definedName>
    <definedName name="maxAmedia" hidden="1">'[6]##'!$O$35</definedName>
    <definedName name="maxAuto" hidden="1">'[6]##'!$O$29</definedName>
    <definedName name="maxAvto" hidden="1">'[6]##'!$O$30</definedName>
    <definedName name="maxd3" hidden="1">'[6]##'!$O$39</definedName>
    <definedName name="maxEcho" hidden="1">'[6]##'!$O$33</definedName>
    <definedName name="maxExpert" hidden="1">'[6]##'!$O$26</definedName>
    <definedName name="maxFt" hidden="1">'[6]##'!$O$40</definedName>
    <definedName name="maxGazeta" hidden="1">'[6]##'!$O$23</definedName>
    <definedName name="maxIno" hidden="1">'[6]##'!$O$31</definedName>
    <definedName name="maxKomm" hidden="1">'[6]##'!$O$27</definedName>
    <definedName name="maxLive" hidden="1">'[6]##'!$O$38</definedName>
    <definedName name="maxMail" hidden="1">'[6]##'!$O$21</definedName>
    <definedName name="maxMtv" hidden="1">'[6]##'!$O$37</definedName>
    <definedName name="maxNewsru" hidden="1">'[6]##'!$O$25</definedName>
    <definedName name="maxo24" hidden="1">'[6]##'!$O$42</definedName>
    <definedName name="MaxRange">'[20]MA-BL'!#REF!</definedName>
    <definedName name="maxRian" hidden="1">'[6]##'!$O$34</definedName>
    <definedName name="maxSp" hidden="1">'[6]##'!$O$41</definedName>
    <definedName name="maxStyle" hidden="1">'[6]##'!$O$32</definedName>
    <definedName name="maxSubscribe" hidden="1">'[6]##'!$O$28</definedName>
    <definedName name="maxVokrug" hidden="1">'[6]##'!$O$36</definedName>
    <definedName name="maxVzglyad" hidden="1">'[6]##'!$O$22</definedName>
    <definedName name="maxYa" hidden="1">'[6]##'!$O$20</definedName>
    <definedName name="MC">[1]Vehicles!$B$91:$O$99</definedName>
    <definedName name="MCV">[1]Vehicles!$B$49:$O$57</definedName>
    <definedName name="Mfc">#REF!</definedName>
    <definedName name="mmmm">#REF!</definedName>
    <definedName name="monthCol" hidden="1">#REF!</definedName>
    <definedName name="monthFinish" hidden="1">#REF!</definedName>
    <definedName name="months" hidden="1">'[6]##'!$B$3:$B$14</definedName>
    <definedName name="monthSel" localSheetId="1" hidden="1">#REF!</definedName>
    <definedName name="monthSel" localSheetId="0" hidden="1">#REF!</definedName>
    <definedName name="monthSel" hidden="1">#REF!</definedName>
    <definedName name="monthStart" localSheetId="1" hidden="1">#REF!</definedName>
    <definedName name="monthStart" localSheetId="0" hidden="1">#REF!</definedName>
    <definedName name="monthStart" hidden="1">#REF!</definedName>
    <definedName name="mrz" localSheetId="1">#REF!</definedName>
    <definedName name="mrz" localSheetId="0">#REF!</definedName>
    <definedName name="mrz">#REF!</definedName>
    <definedName name="mtvDisc" hidden="1">[6]MTV.RU!$E$48</definedName>
    <definedName name="mtvDiscTotal" localSheetId="1" hidden="1">MAX((100%-'Второй месяц'!splitDisc)*(100%-[0]!mtvDisc)*(100%-'Второй месяц'!agencyDisc)*(100%-[0]!discReach),[0]!maxMtv)</definedName>
    <definedName name="mtvDiscTotal" localSheetId="2" hidden="1">MAX((100%-splitDisc)*(100%-[0]!mtvDisc)*(100%-agencyDisc)*(100%-[0]!discReach),[0]!maxMtv)</definedName>
    <definedName name="mtvDiscTotal" localSheetId="0" hidden="1">MAX((100%-'Первый месяц'!splitDisc)*(100%-[0]!mtvDisc)*(100%-'Первый месяц'!agencyDisc)*(100%-[0]!discReach),[0]!maxMtv)</definedName>
    <definedName name="mtvDiscTotal" hidden="1">MAX((100%-splitDisc)*(100%-[0]!mtvDisc)*(100%-agencyDisc)*(100%-[0]!discReach),[0]!maxMtv)</definedName>
    <definedName name="nameSites">[4]SitesVermarkter!$C:$C</definedName>
    <definedName name="NETMTV" localSheetId="1">#REF!</definedName>
    <definedName name="NETMTV" localSheetId="0">#REF!</definedName>
    <definedName name="NETMTV">#REF!</definedName>
    <definedName name="NETPBL" localSheetId="1">#REF!</definedName>
    <definedName name="NETPBL" localSheetId="0">#REF!</definedName>
    <definedName name="NETPBL">#REF!</definedName>
    <definedName name="NETPER" localSheetId="1">#REF!</definedName>
    <definedName name="NETPER" localSheetId="0">#REF!</definedName>
    <definedName name="NETPER">#REF!</definedName>
    <definedName name="NETQUO">#REF!</definedName>
    <definedName name="NETTOMTV">#REF!</definedName>
    <definedName name="NETTOSIPRA">#REF!</definedName>
    <definedName name="NETWORK" localSheetId="1">#REF!,#REF!,#REF!,#REF!,#REF!,#REF!,#REF!,#REF!,#REF!,#REF!,#REF!,#REF!,#REF!,#REF!,#REF!</definedName>
    <definedName name="NETWORK" localSheetId="0">#REF!,#REF!,#REF!,#REF!,#REF!,#REF!,#REF!,#REF!,#REF!,#REF!,#REF!,#REF!,#REF!,#REF!,#REF!</definedName>
    <definedName name="NETWORK">#REF!,#REF!,#REF!,#REF!,#REF!,#REF!,#REF!,#REF!,#REF!,#REF!,#REF!,#REF!,#REF!,#REF!,#REF!</definedName>
    <definedName name="newsruDisc" hidden="1">[6]NEWSRU.COM!$E$49</definedName>
    <definedName name="newsruDiscTotal" localSheetId="1" hidden="1">MAX((100%-'Второй месяц'!splitDisc)*(100%-[0]!newsruDisc)*(100%-'Второй месяц'!agencyDisc)*(100%-[0]!discReach),[0]!maxNewsru)</definedName>
    <definedName name="newsruDiscTotal" localSheetId="2" hidden="1">MAX((100%-splitDisc)*(100%-[0]!newsruDisc)*(100%-agencyDisc)*(100%-[0]!discReach),[0]!maxNewsru)</definedName>
    <definedName name="newsruDiscTotal" localSheetId="0" hidden="1">MAX((100%-'Первый месяц'!splitDisc)*(100%-[0]!newsruDisc)*(100%-'Первый месяц'!agencyDisc)*(100%-[0]!discReach),[0]!maxNewsru)</definedName>
    <definedName name="newsruDiscTotal" hidden="1">MAX((100%-splitDisc)*(100%-[0]!newsruDisc)*(100%-agencyDisc)*(100%-[0]!discReach),[0]!maxNewsru)</definedName>
    <definedName name="normal" localSheetId="1">[7]OT97QUAR!normal</definedName>
    <definedName name="normal" localSheetId="0">[7]OT97QUAR!normal</definedName>
    <definedName name="normal">[7]OT97QUAR!normal</definedName>
    <definedName name="nov" localSheetId="1">#REF!</definedName>
    <definedName name="nov" localSheetId="0">#REF!</definedName>
    <definedName name="nov">#REF!</definedName>
    <definedName name="NTSSPRS" localSheetId="1">#REF!</definedName>
    <definedName name="NTSSPRS" localSheetId="0">#REF!</definedName>
    <definedName name="NTSSPRS">#REF!</definedName>
    <definedName name="NZ" localSheetId="1">#REF!</definedName>
    <definedName name="NZ" localSheetId="0">#REF!</definedName>
    <definedName name="NZ">#REF!</definedName>
    <definedName name="o24Disc" hidden="1">'[6]24OPEN.RU'!$E$52</definedName>
    <definedName name="o24DiscTotal" localSheetId="1" hidden="1">MAX((100%-'Второй месяц'!splitDisc)*(100%-[0]!o24Disc)*(100%-'Второй месяц'!agencyDisc)*(100%-[0]!discReach),[0]!maxo24)</definedName>
    <definedName name="o24DiscTotal" localSheetId="2" hidden="1">MAX((100%-splitDisc)*(100%-[0]!o24Disc)*(100%-agencyDisc)*(100%-[0]!discReach),[0]!maxo24)</definedName>
    <definedName name="o24DiscTotal" localSheetId="0" hidden="1">MAX((100%-'Первый месяц'!splitDisc)*(100%-[0]!o24Disc)*(100%-'Первый месяц'!agencyDisc)*(100%-[0]!discReach),[0]!maxo24)</definedName>
    <definedName name="o24DiscTotal" hidden="1">MAX((100%-splitDisc)*(100%-[0]!o24Disc)*(100%-agencyDisc)*(100%-[0]!discReach),[0]!maxo24)</definedName>
    <definedName name="obla" localSheetId="1" hidden="1">{"'siets LAT'!$J$95","'siets LAT'!$J$95"}</definedName>
    <definedName name="obla" localSheetId="2" hidden="1">{"'siets LAT'!$J$95","'siets LAT'!$J$95"}</definedName>
    <definedName name="obla" localSheetId="0" hidden="1">{"'siets LAT'!$J$95","'siets LAT'!$J$95"}</definedName>
    <definedName name="obla" hidden="1">{"'siets LAT'!$J$95","'siets LAT'!$J$95"}</definedName>
    <definedName name="okt">#REF!</definedName>
    <definedName name="old" localSheetId="1" hidden="1">{#N/A,#N/A,TRUE,"Пресса";#N/A,#N/A,TRUE,"Метро";#N/A,#N/A,TRUE,"Щиты";#N/A,#N/A,TRUE,"График";#N/A,#N/A,TRUE,"График"}</definedName>
    <definedName name="old" localSheetId="2" hidden="1">{#N/A,#N/A,TRUE,"Пресса";#N/A,#N/A,TRUE,"Метро";#N/A,#N/A,TRUE,"Щиты";#N/A,#N/A,TRUE,"График";#N/A,#N/A,TRUE,"График"}</definedName>
    <definedName name="old" localSheetId="0" hidden="1">{#N/A,#N/A,TRUE,"Пресса";#N/A,#N/A,TRUE,"Метро";#N/A,#N/A,TRUE,"Щиты";#N/A,#N/A,TRUE,"График";#N/A,#N/A,TRUE,"График"}</definedName>
    <definedName name="old" hidden="1">{#N/A,#N/A,TRUE,"Пресса";#N/A,#N/A,TRUE,"Метро";#N/A,#N/A,TRUE,"Щиты";#N/A,#N/A,TRUE,"График";#N/A,#N/A,TRUE,"График"}</definedName>
    <definedName name="oldars" localSheetId="1" hidden="1">{#N/A,#N/A,TRUE,"Пресса";#N/A,#N/A,TRUE,"Метро";#N/A,#N/A,TRUE,"Щиты";#N/A,#N/A,TRUE,"График";#N/A,#N/A,TRUE,"График"}</definedName>
    <definedName name="oldars" localSheetId="2" hidden="1">{#N/A,#N/A,TRUE,"Пресса";#N/A,#N/A,TRUE,"Метро";#N/A,#N/A,TRUE,"Щиты";#N/A,#N/A,TRUE,"График";#N/A,#N/A,TRUE,"График"}</definedName>
    <definedName name="oldars" localSheetId="0" hidden="1">{#N/A,#N/A,TRUE,"Пресса";#N/A,#N/A,TRUE,"Метро";#N/A,#N/A,TRUE,"Щиты";#N/A,#N/A,TRUE,"График";#N/A,#N/A,TRUE,"График"}</definedName>
    <definedName name="oldars" hidden="1">{#N/A,#N/A,TRUE,"Пресса";#N/A,#N/A,TRUE,"Метро";#N/A,#N/A,TRUE,"Щиты";#N/A,#N/A,TRUE,"График";#N/A,#N/A,TRUE,"График"}</definedName>
    <definedName name="oldfos" localSheetId="1" hidden="1">{#N/A,#N/A,TRUE,"Пресса";#N/A,#N/A,TRUE,"Метро";#N/A,#N/A,TRUE,"Щиты";#N/A,#N/A,TRUE,"График";#N/A,#N/A,TRUE,"График"}</definedName>
    <definedName name="oldfos" localSheetId="2" hidden="1">{#N/A,#N/A,TRUE,"Пресса";#N/A,#N/A,TRUE,"Метро";#N/A,#N/A,TRUE,"Щиты";#N/A,#N/A,TRUE,"График";#N/A,#N/A,TRUE,"График"}</definedName>
    <definedName name="oldfos" localSheetId="0" hidden="1">{#N/A,#N/A,TRUE,"Пресса";#N/A,#N/A,TRUE,"Метро";#N/A,#N/A,TRUE,"Щиты";#N/A,#N/A,TRUE,"График";#N/A,#N/A,TRUE,"График"}</definedName>
    <definedName name="oldfos" hidden="1">{#N/A,#N/A,TRUE,"Пресса";#N/A,#N/A,TRUE,"Метро";#N/A,#N/A,TRUE,"Щиты";#N/A,#N/A,TRUE,"График";#N/A,#N/A,TRUE,"График"}</definedName>
    <definedName name="onl">#REF!</definedName>
    <definedName name="OOG" localSheetId="1" hidden="1">OFFSET(Anch,MATCH("Amedia.ru",resList,0),3,COUNTIF(resList,"Amedia.ru")-1,1)</definedName>
    <definedName name="OOG" localSheetId="2" hidden="1">OFFSET(Anch,MATCH("Amedia.ru",resList,0),3,COUNTIF(resList,"Amedia.ru")-1,1)</definedName>
    <definedName name="OOG" hidden="1">OFFSET(Anch,MATCH("Amedia.ru",resList,0),3,COUNTIF(resList,"Amedia.ru")-1,1)</definedName>
    <definedName name="OOh" localSheetId="1" hidden="1">OFFSET(Anch,MATCH("Expert.ru",resList,0),3,COUNTIF(resList,"Expert.ru")-1,1)</definedName>
    <definedName name="OOh" localSheetId="2" hidden="1">OFFSET(Anch,MATCH("Expert.ru",resList,0),3,COUNTIF(resList,"Expert.ru")-1,1)</definedName>
    <definedName name="OOh" hidden="1">OFFSET(Anch,MATCH("Expert.ru",resList,0),3,COUNTIF(resList,"Expert.ru")-1,1)</definedName>
    <definedName name="op">#REF!</definedName>
    <definedName name="Opti">'[2]Data CpGRP'!#REF!</definedName>
    <definedName name="Outdoor">#REF!</definedName>
    <definedName name="PA">#REF!</definedName>
    <definedName name="pathfinder" hidden="1">[10]XLR_NoRangeSheet!$A$5</definedName>
    <definedName name="PB" localSheetId="1">#REF!</definedName>
    <definedName name="PB" localSheetId="0">#REF!</definedName>
    <definedName name="PB">#REF!</definedName>
    <definedName name="PC" localSheetId="1">#REF!</definedName>
    <definedName name="PC" localSheetId="0">#REF!</definedName>
    <definedName name="PC">#REF!</definedName>
    <definedName name="PD" localSheetId="1">#REF!</definedName>
    <definedName name="PD" localSheetId="0">#REF!</definedName>
    <definedName name="PD">#REF!</definedName>
    <definedName name="Pemolux" localSheetId="1" hidden="1">{#N/A,#N/A,TRUE,"Пресса";#N/A,#N/A,TRUE,"Метро";#N/A,#N/A,TRUE,"Щиты";#N/A,#N/A,TRUE,"График";#N/A,#N/A,TRUE,"График"}</definedName>
    <definedName name="Pemolux" localSheetId="2" hidden="1">{#N/A,#N/A,TRUE,"Пресса";#N/A,#N/A,TRUE,"Метро";#N/A,#N/A,TRUE,"Щиты";#N/A,#N/A,TRUE,"График";#N/A,#N/A,TRUE,"График"}</definedName>
    <definedName name="Pemolux" localSheetId="0" hidden="1">{#N/A,#N/A,TRUE,"Пресса";#N/A,#N/A,TRUE,"Метро";#N/A,#N/A,TRUE,"Щиты";#N/A,#N/A,TRUE,"График";#N/A,#N/A,TRUE,"График"}</definedName>
    <definedName name="Pemolux" hidden="1">{#N/A,#N/A,TRUE,"Пресса";#N/A,#N/A,TRUE,"Метро";#N/A,#N/A,TRUE,"Щиты";#N/A,#N/A,TRUE,"График";#N/A,#N/A,TRUE,"График"}</definedName>
    <definedName name="Persil" localSheetId="1" hidden="1">{#N/A,#N/A,TRUE,"Пресса";#N/A,#N/A,TRUE,"Метро";#N/A,#N/A,TRUE,"Щиты";#N/A,#N/A,TRUE,"График";#N/A,#N/A,TRUE,"График"}</definedName>
    <definedName name="Persil" localSheetId="2" hidden="1">{#N/A,#N/A,TRUE,"Пресса";#N/A,#N/A,TRUE,"Метро";#N/A,#N/A,TRUE,"Щиты";#N/A,#N/A,TRUE,"График";#N/A,#N/A,TRUE,"График"}</definedName>
    <definedName name="Persil" localSheetId="0" hidden="1">{#N/A,#N/A,TRUE,"Пресса";#N/A,#N/A,TRUE,"Метро";#N/A,#N/A,TRUE,"Щиты";#N/A,#N/A,TRUE,"График";#N/A,#N/A,TRUE,"График"}</definedName>
    <definedName name="Persil" hidden="1">{#N/A,#N/A,TRUE,"Пресса";#N/A,#N/A,TRUE,"Метро";#N/A,#N/A,TRUE,"Щиты";#N/A,#N/A,TRUE,"График";#N/A,#N/A,TRUE,"График"}</definedName>
    <definedName name="persil1" localSheetId="1" hidden="1">{#N/A,#N/A,TRUE,"Пресса";#N/A,#N/A,TRUE,"Метро";#N/A,#N/A,TRUE,"Щиты";#N/A,#N/A,TRUE,"График";#N/A,#N/A,TRUE,"График"}</definedName>
    <definedName name="persil1" localSheetId="2" hidden="1">{#N/A,#N/A,TRUE,"Пресса";#N/A,#N/A,TRUE,"Метро";#N/A,#N/A,TRUE,"Щиты";#N/A,#N/A,TRUE,"График";#N/A,#N/A,TRUE,"График"}</definedName>
    <definedName name="persil1" localSheetId="0" hidden="1">{#N/A,#N/A,TRUE,"Пресса";#N/A,#N/A,TRUE,"Метро";#N/A,#N/A,TRUE,"Щиты";#N/A,#N/A,TRUE,"График";#N/A,#N/A,TRUE,"График"}</definedName>
    <definedName name="persil1" hidden="1">{#N/A,#N/A,TRUE,"Пресса";#N/A,#N/A,TRUE,"Метро";#N/A,#N/A,TRUE,"Щиты";#N/A,#N/A,TRUE,"График";#N/A,#N/A,TRUE,"График"}</definedName>
    <definedName name="PIANO">#REF!</definedName>
    <definedName name="pippo">#REF!</definedName>
    <definedName name="Platform">#REF!</definedName>
    <definedName name="pluto">#REF!</definedName>
    <definedName name="poiugt" hidden="1">[10]XLR_NoRangeSheet!$A$5</definedName>
    <definedName name="Pos1_Clicks" localSheetId="1">#REF!</definedName>
    <definedName name="Pos1_Clicks" localSheetId="0">#REF!</definedName>
    <definedName name="Pos1_Clicks">#REF!</definedName>
    <definedName name="Pos1_CostClick" localSheetId="1">#REF!</definedName>
    <definedName name="Pos1_CostClick" localSheetId="0">#REF!</definedName>
    <definedName name="Pos1_CostClick">#REF!</definedName>
    <definedName name="Pos1_Monthly" localSheetId="1">#REF!</definedName>
    <definedName name="Pos1_Monthly" localSheetId="0">#REF!</definedName>
    <definedName name="Pos1_Monthly">#REF!</definedName>
    <definedName name="Pos1_Row_First">#REF!</definedName>
    <definedName name="Pos1_Search">#REF!</definedName>
    <definedName name="Pos2_Clicks">#REF!</definedName>
    <definedName name="Pos2_CostClick">#REF!</definedName>
    <definedName name="Pos2_Monthly">#REF!</definedName>
    <definedName name="Pos2_Row_First">#REF!</definedName>
    <definedName name="Pos2_Search">#REF!</definedName>
    <definedName name="Pos3_Clicks">#REF!</definedName>
    <definedName name="Pos3_CostClick">#REF!</definedName>
    <definedName name="Pos3_Monthly">#REF!</definedName>
    <definedName name="Pos3_Row_First">#REF!</definedName>
    <definedName name="Pos3_Search">#REF!</definedName>
    <definedName name="Print_BE">#REF!</definedName>
    <definedName name="Print_DE">#REF!</definedName>
    <definedName name="Print_FR">#REF!</definedName>
    <definedName name="Print_main">#REF!</definedName>
    <definedName name="Print_NL">#REF!</definedName>
    <definedName name="Print_SE">#REF!</definedName>
    <definedName name="Print_UK">#REF!</definedName>
    <definedName name="Prod">'[2]Data CpGRP'!$B$3</definedName>
    <definedName name="Product">#REF!</definedName>
    <definedName name="PVariant">'[2]Data CpGRP'!$B$6</definedName>
    <definedName name="PX">#REF!</definedName>
    <definedName name="qduua" hidden="1">#REF!</definedName>
    <definedName name="qff">#REF!</definedName>
    <definedName name="qq" hidden="1">4</definedName>
    <definedName name="qqqqqqq" hidden="1">4</definedName>
    <definedName name="qqqqqqqq" hidden="1">27</definedName>
    <definedName name="qsdf">#REF!</definedName>
    <definedName name="Radio">#REF!</definedName>
    <definedName name="RAI" localSheetId="1">#REF!,#REF!,#REF!,#REF!,#REF!,#REF!,#REF!,#REF!,#REF!,#REF!,#REF!,#REF!,#REF!,#REF!,#REF!,#REF!,#REF!,#REF!,#REF!,#REF!,#REF!,#REF!,#REF!</definedName>
    <definedName name="RAI" localSheetId="0">#REF!,#REF!,#REF!,#REF!,#REF!,#REF!,#REF!,#REF!,#REF!,#REF!,#REF!,#REF!,#REF!,#REF!,#REF!,#REF!,#REF!,#REF!,#REF!,#REF!,#REF!,#REF!,#REF!</definedName>
    <definedName name="RAI">#REF!,#REF!,#REF!,#REF!,#REF!,#REF!,#REF!,#REF!,#REF!,#REF!,#REF!,#REF!,#REF!,#REF!,#REF!,#REF!,#REF!,#REF!,#REF!,#REF!,#REF!,#REF!,#REF!</definedName>
    <definedName name="Range_1" localSheetId="1">#REF!</definedName>
    <definedName name="Range_1" localSheetId="0">#REF!</definedName>
    <definedName name="Range_1">#REF!</definedName>
    <definedName name="Range_2">#REF!</definedName>
    <definedName name="Range_3">#REF!</definedName>
    <definedName name="Range_4">#REF!</definedName>
    <definedName name="Range_5">#REF!</definedName>
    <definedName name="Report_1_Range_1">#REF!</definedName>
    <definedName name="Report_1_Range_2">#REF!</definedName>
    <definedName name="Report_1_Range_3">#REF!</definedName>
    <definedName name="Report_1_Range_4">#REF!</definedName>
    <definedName name="Report_1_Range_5">#REF!</definedName>
    <definedName name="Report_2_Range_1">#REF!</definedName>
    <definedName name="rete4" localSheetId="1">#REF!,#REF!,#REF!,#REF!,#REF!,#REF!,#REF!,#REF!,#REF!,#REF!,#REF!,#REF!</definedName>
    <definedName name="rete4" localSheetId="0">#REF!,#REF!,#REF!,#REF!,#REF!,#REF!,#REF!,#REF!,#REF!,#REF!,#REF!,#REF!</definedName>
    <definedName name="rete4">#REF!,#REF!,#REF!,#REF!,#REF!,#REF!,#REF!,#REF!,#REF!,#REF!,#REF!,#REF!</definedName>
    <definedName name="rianDisc" hidden="1">'[6]RIAN.RU'!$E$46</definedName>
    <definedName name="rianDiscTotal" localSheetId="1" hidden="1">MAX((100%-'Второй месяц'!splitDisc)*(100%-[0]!rianDisc)*(100%-'Второй месяц'!agencyDisc)*(100%-[0]!discReach),[0]!maxRian)</definedName>
    <definedName name="rianDiscTotal" localSheetId="2" hidden="1">MAX((100%-splitDisc)*(100%-[0]!rianDisc)*(100%-agencyDisc)*(100%-[0]!discReach),[0]!maxRian)</definedName>
    <definedName name="rianDiscTotal" localSheetId="0" hidden="1">MAX((100%-'Первый месяц'!splitDisc)*(100%-[0]!rianDisc)*(100%-'Первый месяц'!agencyDisc)*(100%-[0]!discReach),[0]!maxRian)</definedName>
    <definedName name="rianDiscTotal" hidden="1">MAX((100%-splitDisc)*(100%-[0]!rianDisc)*(100%-agencyDisc)*(100%-[0]!discReach),[0]!maxRian)</definedName>
    <definedName name="rMain" localSheetId="1">'[21]Teleport FIX'!#REF!</definedName>
    <definedName name="rMain" localSheetId="0">'[21]Teleport FIX'!#REF!</definedName>
    <definedName name="rMain">'[21]Teleport FIX'!#REF!</definedName>
    <definedName name="rngCommentsBlank" localSheetId="1">#REF!</definedName>
    <definedName name="rngCommentsBlank" localSheetId="0">#REF!</definedName>
    <definedName name="rngCommentsBlank">#REF!</definedName>
    <definedName name="rngDescription" localSheetId="1">#REF!</definedName>
    <definedName name="rngDescription" localSheetId="0">#REF!</definedName>
    <definedName name="rngDescription">#REF!</definedName>
    <definedName name="rngIOyourcontact" localSheetId="1">#REF!</definedName>
    <definedName name="rngIOyourcontact" localSheetId="0">#REF!</definedName>
    <definedName name="rngIOyourcontact">#REF!</definedName>
    <definedName name="rngTitle">#REF!</definedName>
    <definedName name="Rollton" localSheetId="1" hidden="1">{#N/A,#N/A,TRUE,"Пресса";#N/A,#N/A,TRUE,"Метро";#N/A,#N/A,TRUE,"Щиты";#N/A,#N/A,TRUE,"График";#N/A,#N/A,TRUE,"График"}</definedName>
    <definedName name="Rollton" localSheetId="2" hidden="1">{#N/A,#N/A,TRUE,"Пресса";#N/A,#N/A,TRUE,"Метро";#N/A,#N/A,TRUE,"Щиты";#N/A,#N/A,TRUE,"График";#N/A,#N/A,TRUE,"График"}</definedName>
    <definedName name="Rollton" localSheetId="0" hidden="1">{#N/A,#N/A,TRUE,"Пресса";#N/A,#N/A,TRUE,"Метро";#N/A,#N/A,TRUE,"Щиты";#N/A,#N/A,TRUE,"График";#N/A,#N/A,TRUE,"График"}</definedName>
    <definedName name="Rollton" hidden="1">{#N/A,#N/A,TRUE,"Пресса";#N/A,#N/A,TRUE,"Метро";#N/A,#N/A,TRUE,"Щиты";#N/A,#N/A,TRUE,"График";#N/A,#N/A,TRUE,"График"}</definedName>
    <definedName name="rrrr" localSheetId="1" hidden="1">{#N/A,#N/A,TRUE,"Пресса";#N/A,#N/A,TRUE,"Метро";#N/A,#N/A,TRUE,"Щиты";#N/A,#N/A,TRUE,"График";#N/A,#N/A,TRUE,"График"}</definedName>
    <definedName name="rrrr" localSheetId="2" hidden="1">{#N/A,#N/A,TRUE,"Пресса";#N/A,#N/A,TRUE,"Метро";#N/A,#N/A,TRUE,"Щиты";#N/A,#N/A,TRUE,"График";#N/A,#N/A,TRUE,"График"}</definedName>
    <definedName name="rrrr" localSheetId="0" hidden="1">{#N/A,#N/A,TRUE,"Пресса";#N/A,#N/A,TRUE,"Метро";#N/A,#N/A,TRUE,"Щиты";#N/A,#N/A,TRUE,"График";#N/A,#N/A,TRUE,"График"}</definedName>
    <definedName name="rrrr" hidden="1">{#N/A,#N/A,TRUE,"Пресса";#N/A,#N/A,TRUE,"Метро";#N/A,#N/A,TRUE,"Щиты";#N/A,#N/A,TRUE,"График";#N/A,#N/A,TRUE,"График"}</definedName>
    <definedName name="sadfedfr">#REF!</definedName>
    <definedName name="SAPBEXrevision" hidden="1">6</definedName>
    <definedName name="SAPBEXsysID" hidden="1">"HBP"</definedName>
    <definedName name="SAPBEXwbID" hidden="1">"3ZIPRQHC3J68QW4YD9OZ5AYYW"</definedName>
    <definedName name="sasa" hidden="1">#REF!</definedName>
    <definedName name="SC">[1]Vehicles!$B$77:$O$85</definedName>
    <definedName name="Schaltzeitraum">'[22]12'!$D$13</definedName>
    <definedName name="SCHEDA">[15]LODI!#REF!</definedName>
    <definedName name="SCV">[1]Vehicles!$B$34:$O$42</definedName>
    <definedName name="sd" localSheetId="1" hidden="1">{#N/A,#N/A,TRUE,"Пресса";#N/A,#N/A,TRUE,"Метро";#N/A,#N/A,TRUE,"Щиты";#N/A,#N/A,TRUE,"График";#N/A,#N/A,TRUE,"График"}</definedName>
    <definedName name="sd" localSheetId="2" hidden="1">{#N/A,#N/A,TRUE,"Пресса";#N/A,#N/A,TRUE,"Метро";#N/A,#N/A,TRUE,"Щиты";#N/A,#N/A,TRUE,"График";#N/A,#N/A,TRUE,"График"}</definedName>
    <definedName name="sd" localSheetId="0" hidden="1">{#N/A,#N/A,TRUE,"Пресса";#N/A,#N/A,TRUE,"Метро";#N/A,#N/A,TRUE,"Щиты";#N/A,#N/A,TRUE,"График";#N/A,#N/A,TRUE,"График"}</definedName>
    <definedName name="sd" hidden="1">{#N/A,#N/A,TRUE,"Пресса";#N/A,#N/A,TRUE,"Метро";#N/A,#N/A,TRUE,"Щиты";#N/A,#N/A,TRUE,"График";#N/A,#N/A,TRUE,"График"}</definedName>
    <definedName name="sep">#REF!</definedName>
    <definedName name="solver_rh" hidden="1">4</definedName>
    <definedName name="solver_tmК" hidden="1">0</definedName>
    <definedName name="solver_tmE" hidden="1">0</definedName>
    <definedName name="solver_tmÊ" hidden="1">0</definedName>
    <definedName name="solver_ty?" hidden="1">3</definedName>
    <definedName name="solver_tyр" hidden="1">3</definedName>
    <definedName name="solver_tyð" hidden="1">3</definedName>
    <definedName name="solver_va" hidden="1">27</definedName>
    <definedName name="spDisc" hidden="1">[6]SPORTS.RU!$E$46</definedName>
    <definedName name="spDiscTotal" localSheetId="1" hidden="1">MAX((100%-'Второй месяц'!splitDisc)*(100%-[0]!spDisc)*(100%-'Второй месяц'!agencyDisc)*(100%-[0]!discReach),[0]!maxSp)</definedName>
    <definedName name="spDiscTotal" localSheetId="2" hidden="1">MAX((100%-splitDisc)*(100%-[0]!spDisc)*(100%-agencyDisc)*(100%-[0]!discReach),[0]!maxSp)</definedName>
    <definedName name="spDiscTotal" localSheetId="0" hidden="1">MAX((100%-'Первый месяц'!splitDisc)*(100%-[0]!spDisc)*(100%-'Первый месяц'!agencyDisc)*(100%-[0]!discReach),[0]!maxSp)</definedName>
    <definedName name="spDiscTotal" hidden="1">MAX((100%-splitDisc)*(100%-[0]!spDisc)*(100%-agencyDisc)*(100%-[0]!discReach),[0]!maxSp)</definedName>
    <definedName name="SPESE" localSheetId="1">#REF!</definedName>
    <definedName name="SPESE" localSheetId="0">#REF!</definedName>
    <definedName name="SPESE">#REF!</definedName>
    <definedName name="splitDisc" localSheetId="1" hidden="1">#REF!</definedName>
    <definedName name="splitDisc" localSheetId="0" hidden="1">#REF!</definedName>
    <definedName name="splitDisc" hidden="1">#REF!</definedName>
    <definedName name="SpotForm">'[2]Data CpGRP'!$B$5</definedName>
    <definedName name="Spotl1">'[2]Data CpGRP'!$B$30</definedName>
    <definedName name="Spotl2">'[2]Data CpGRP'!$B$31</definedName>
    <definedName name="Spotl3">'[2]Data CpGRP'!$B$32</definedName>
    <definedName name="Spotl4">'[2]Data CpGRP'!$B$33</definedName>
    <definedName name="Spotl5">'[2]Data CpGRP'!$B$34</definedName>
    <definedName name="Spotl6">'[2]Data CpGRP'!$B$35</definedName>
    <definedName name="Spotl7">'[2]Data CpGRP'!$B$36</definedName>
    <definedName name="Spotl8">'[2]Data CpGRP'!$B$37</definedName>
    <definedName name="status12_6">#REF!</definedName>
    <definedName name="status12_6_1">#REF!</definedName>
    <definedName name="status12_6_2">#REF!</definedName>
    <definedName name="STIMA">[11]GRP!#REF!</definedName>
    <definedName name="StudiaforTNK" localSheetId="1" hidden="1">{#N/A,#N/A,TRUE,"Пресса";#N/A,#N/A,TRUE,"Метро";#N/A,#N/A,TRUE,"Щиты";#N/A,#N/A,TRUE,"График";#N/A,#N/A,TRUE,"График"}</definedName>
    <definedName name="StudiaforTNK" localSheetId="2" hidden="1">{#N/A,#N/A,TRUE,"Пресса";#N/A,#N/A,TRUE,"Метро";#N/A,#N/A,TRUE,"Щиты";#N/A,#N/A,TRUE,"График";#N/A,#N/A,TRUE,"График"}</definedName>
    <definedName name="StudiaforTNK" localSheetId="0" hidden="1">{#N/A,#N/A,TRUE,"Пресса";#N/A,#N/A,TRUE,"Метро";#N/A,#N/A,TRUE,"Щиты";#N/A,#N/A,TRUE,"График";#N/A,#N/A,TRUE,"График"}</definedName>
    <definedName name="StudiaforTNK" hidden="1">{#N/A,#N/A,TRUE,"Пресса";#N/A,#N/A,TRUE,"Метро";#N/A,#N/A,TRUE,"Щиты";#N/A,#N/A,TRUE,"График";#N/A,#N/A,TRUE,"График"}</definedName>
    <definedName name="styleDisc" hidden="1">[6]SUPERSTYLE.RU!$E$48</definedName>
    <definedName name="styleDiscTotal" localSheetId="1" hidden="1">MAX((100%-'Второй месяц'!splitDisc)*(100%-[0]!styleDisc)*(100%-'Второй месяц'!agencyDisc)*(100%-[0]!discReach),[0]!maxStyle)</definedName>
    <definedName name="styleDiscTotal" localSheetId="2" hidden="1">MAX((100%-splitDisc)*(100%-[0]!styleDisc)*(100%-agencyDisc)*(100%-[0]!discReach),[0]!maxStyle)</definedName>
    <definedName name="styleDiscTotal" localSheetId="0" hidden="1">MAX((100%-'Первый месяц'!splitDisc)*(100%-[0]!styleDisc)*(100%-'Первый месяц'!agencyDisc)*(100%-[0]!discReach),[0]!maxStyle)</definedName>
    <definedName name="styleDiscTotal" hidden="1">MAX((100%-splitDisc)*(100%-[0]!styleDisc)*(100%-agencyDisc)*(100%-[0]!discReach),[0]!maxStyle)</definedName>
    <definedName name="subscribeDisc" hidden="1">[6]SUBSCRIBE.RU!$E$63</definedName>
    <definedName name="subscribeDiscTotal" localSheetId="1" hidden="1">MAX((100%-'Второй месяц'!splitDisc)*(100%-[0]!subscribeDisc)*(100%-'Второй месяц'!agencyDisc)*(100%-[0]!discReach),[0]!maxSubscribe)</definedName>
    <definedName name="subscribeDiscTotal" localSheetId="2" hidden="1">MAX((100%-splitDisc)*(100%-[0]!subscribeDisc)*(100%-agencyDisc)*(100%-[0]!discReach),[0]!maxSubscribe)</definedName>
    <definedName name="subscribeDiscTotal" localSheetId="0" hidden="1">MAX((100%-'Первый месяц'!splitDisc)*(100%-[0]!subscribeDisc)*(100%-'Первый месяц'!agencyDisc)*(100%-[0]!discReach),[0]!maxSubscribe)</definedName>
    <definedName name="subscribeDiscTotal" hidden="1">MAX((100%-splitDisc)*(100%-[0]!subscribeDisc)*(100%-agencyDisc)*(100%-[0]!discReach),[0]!maxSubscribe)</definedName>
    <definedName name="supplier" localSheetId="1">#REF!</definedName>
    <definedName name="supplier" localSheetId="0">#REF!</definedName>
    <definedName name="supplier">#REF!</definedName>
    <definedName name="t" localSheetId="1">#REF!</definedName>
    <definedName name="t" localSheetId="0">#REF!</definedName>
    <definedName name="t">#REF!</definedName>
    <definedName name="ta" localSheetId="1">#REF!</definedName>
    <definedName name="ta" localSheetId="0">#REF!</definedName>
    <definedName name="ta">#REF!</definedName>
    <definedName name="TABELLE">#REF!</definedName>
    <definedName name="TABLE1">#REF!</definedName>
    <definedName name="TABLE1_1">#REF!</definedName>
    <definedName name="taft1" localSheetId="1" hidden="1">{#N/A,#N/A,TRUE,"Пресса";#N/A,#N/A,TRUE,"Метро";#N/A,#N/A,TRUE,"Щиты";#N/A,#N/A,TRUE,"График";#N/A,#N/A,TRUE,"График"}</definedName>
    <definedName name="taft1" localSheetId="2" hidden="1">{#N/A,#N/A,TRUE,"Пресса";#N/A,#N/A,TRUE,"Метро";#N/A,#N/A,TRUE,"Щиты";#N/A,#N/A,TRUE,"График";#N/A,#N/A,TRUE,"График"}</definedName>
    <definedName name="taft1" localSheetId="0" hidden="1">{#N/A,#N/A,TRUE,"Пресса";#N/A,#N/A,TRUE,"Метро";#N/A,#N/A,TRUE,"Щиты";#N/A,#N/A,TRUE,"График";#N/A,#N/A,TRUE,"График"}</definedName>
    <definedName name="taft1" hidden="1">{#N/A,#N/A,TRUE,"Пресса";#N/A,#N/A,TRUE,"Метро";#N/A,#N/A,TRUE,"Щиты";#N/A,#N/A,TRUE,"График";#N/A,#N/A,TRUE,"График"}</definedName>
    <definedName name="tc">#REF!</definedName>
    <definedName name="td">#REF!</definedName>
    <definedName name="tecaj">#REF!</definedName>
    <definedName name="tecaj_1">#REF!</definedName>
    <definedName name="tecaj_frf">#REF!</definedName>
    <definedName name="tecaj_frf_1">#REF!</definedName>
    <definedName name="TelePlan">'[2]Data CpGRP'!$B$11</definedName>
    <definedName name="Telewizja">#REF!</definedName>
    <definedName name="temp.xls">#REF!</definedName>
    <definedName name="term">#REF!</definedName>
    <definedName name="test">#REF!</definedName>
    <definedName name="Titolo">#REF!</definedName>
    <definedName name="titre">"Texte 1"</definedName>
    <definedName name="total">#REF!</definedName>
    <definedName name="TOTCOM">#REF!</definedName>
    <definedName name="totquo">#REF!</definedName>
    <definedName name="tt">#REF!</definedName>
    <definedName name="TV" localSheetId="1" hidden="1">{#N/A,#N/A,TRUE,"Пресса";#N/A,#N/A,TRUE,"Метро";#N/A,#N/A,TRUE,"Щиты";#N/A,#N/A,TRUE,"График";#N/A,#N/A,TRUE,"График"}</definedName>
    <definedName name="TV" localSheetId="2" hidden="1">{#N/A,#N/A,TRUE,"Пресса";#N/A,#N/A,TRUE,"Метро";#N/A,#N/A,TRUE,"Щиты";#N/A,#N/A,TRUE,"График";#N/A,#N/A,TRUE,"График"}</definedName>
    <definedName name="TV" localSheetId="0" hidden="1">{#N/A,#N/A,TRUE,"Пресса";#N/A,#N/A,TRUE,"Метро";#N/A,#N/A,TRUE,"Щиты";#N/A,#N/A,TRUE,"График";#N/A,#N/A,TRUE,"График"}</definedName>
    <definedName name="TV" hidden="1">{#N/A,#N/A,TRUE,"Пресса";#N/A,#N/A,TRUE,"Метро";#N/A,#N/A,TRUE,"Щиты";#N/A,#N/A,TRUE,"График";#N/A,#N/A,TRUE,"График"}</definedName>
    <definedName name="ty" hidden="1">[10]XLR_NoRangeSheet!$A$5</definedName>
    <definedName name="tyui" localSheetId="1">#REF!</definedName>
    <definedName name="tyui" localSheetId="0">#REF!</definedName>
    <definedName name="tyui">#REF!</definedName>
    <definedName name="u" localSheetId="1" hidden="1">{#N/A,#N/A,TRUE,"Пресса";#N/A,#N/A,TRUE,"Метро";#N/A,#N/A,TRUE,"Щиты";#N/A,#N/A,TRUE,"График";#N/A,#N/A,TRUE,"График"}</definedName>
    <definedName name="u" localSheetId="2" hidden="1">{#N/A,#N/A,TRUE,"Пресса";#N/A,#N/A,TRUE,"Метро";#N/A,#N/A,TRUE,"Щиты";#N/A,#N/A,TRUE,"График";#N/A,#N/A,TRUE,"График"}</definedName>
    <definedName name="u" localSheetId="0" hidden="1">{#N/A,#N/A,TRUE,"Пресса";#N/A,#N/A,TRUE,"Метро";#N/A,#N/A,TRUE,"Щиты";#N/A,#N/A,TRUE,"График";#N/A,#N/A,TRUE,"График"}</definedName>
    <definedName name="u" hidden="1">{#N/A,#N/A,TRUE,"Пресса";#N/A,#N/A,TRUE,"Метро";#N/A,#N/A,TRUE,"Щиты";#N/A,#N/A,TRUE,"График";#N/A,#N/A,TRUE,"График"}</definedName>
    <definedName name="USIA" localSheetId="1" hidden="1">{"'siets LAT'!$J$95","'siets LAT'!$J$95"}</definedName>
    <definedName name="USIA" localSheetId="2" hidden="1">{"'siets LAT'!$J$95","'siets LAT'!$J$95"}</definedName>
    <definedName name="USIA" localSheetId="0" hidden="1">{"'siets LAT'!$J$95","'siets LAT'!$J$95"}</definedName>
    <definedName name="USIA" hidden="1">{"'siets LAT'!$J$95","'siets LAT'!$J$95"}</definedName>
    <definedName name="uu">#REF!</definedName>
    <definedName name="V_F0" hidden="1">[23]XLR_NoRangeSheet!$B$6</definedName>
    <definedName name="V_F1" hidden="1">[23]XLR_NoRangeSheet!$C$6</definedName>
    <definedName name="V_F10" hidden="1">[23]XLR_NoRangeSheet!$L$6</definedName>
    <definedName name="V_F11" hidden="1">[23]XLR_NoRangeSheet!$M$6</definedName>
    <definedName name="V_F12" hidden="1">[23]XLR_NoRangeSheet!$N$6</definedName>
    <definedName name="V_F13" hidden="1">[23]XLR_NoRangeSheet!$O$6</definedName>
    <definedName name="V_F14" hidden="1">[24]XLR_NoRangeSheet!$P$6</definedName>
    <definedName name="V_F15" hidden="1">[24]XLR_NoRangeSheet!$Q$6</definedName>
    <definedName name="V_F2" hidden="1">[23]XLR_NoRangeSheet!$D$6</definedName>
    <definedName name="V_F3" hidden="1">[23]XLR_NoRangeSheet!$E$6</definedName>
    <definedName name="V_F4" hidden="1">[23]XLR_NoRangeSheet!$F$6</definedName>
    <definedName name="V_F5" hidden="1">[23]XLR_NoRangeSheet!$G$6</definedName>
    <definedName name="V_F6" hidden="1">[23]XLR_NoRangeSheet!$H$6</definedName>
    <definedName name="V_F7" hidden="1">[23]XLR_NoRangeSheet!$I$6</definedName>
    <definedName name="V_F8" hidden="1">[23]XLR_NoRangeSheet!$J$6</definedName>
    <definedName name="V_F9" hidden="1">[23]XLR_NoRangeSheet!$K$6</definedName>
    <definedName name="va" hidden="1">27</definedName>
    <definedName name="vaffanculo">#REF!</definedName>
    <definedName name="vasia" localSheetId="1" hidden="1">{"'siets LAT'!$J$95","'siets LAT'!$J$95"}</definedName>
    <definedName name="vasia" localSheetId="2" hidden="1">{"'siets LAT'!$J$95","'siets LAT'!$J$95"}</definedName>
    <definedName name="vasia" localSheetId="0" hidden="1">{"'siets LAT'!$J$95","'siets LAT'!$J$95"}</definedName>
    <definedName name="vasia" hidden="1">{"'siets LAT'!$J$95","'siets LAT'!$J$95"}</definedName>
    <definedName name="vdsydv" localSheetId="1" hidden="1">{#N/A,#N/A,FALSE,"Kostenplan"}</definedName>
    <definedName name="vdsydv" localSheetId="2" hidden="1">{#N/A,#N/A,FALSE,"Kostenplan"}</definedName>
    <definedName name="vdsydv" localSheetId="0" hidden="1">{#N/A,#N/A,FALSE,"Kostenplan"}</definedName>
    <definedName name="vdsydv" hidden="1">{#N/A,#N/A,FALSE,"Kostenplan"}</definedName>
    <definedName name="ver" localSheetId="1" hidden="1">{#N/A,#N/A,TRUE,"Пресса";#N/A,#N/A,TRUE,"Метро";#N/A,#N/A,TRUE,"Щиты";#N/A,#N/A,TRUE,"График";#N/A,#N/A,TRUE,"График"}</definedName>
    <definedName name="ver" localSheetId="2" hidden="1">{#N/A,#N/A,TRUE,"Пресса";#N/A,#N/A,TRUE,"Метро";#N/A,#N/A,TRUE,"Щиты";#N/A,#N/A,TRUE,"График";#N/A,#N/A,TRUE,"График"}</definedName>
    <definedName name="ver" localSheetId="0" hidden="1">{#N/A,#N/A,TRUE,"Пресса";#N/A,#N/A,TRUE,"Метро";#N/A,#N/A,TRUE,"Щиты";#N/A,#N/A,TRUE,"График";#N/A,#N/A,TRUE,"График"}</definedName>
    <definedName name="ver" hidden="1">{#N/A,#N/A,TRUE,"Пресса";#N/A,#N/A,TRUE,"Метро";#N/A,#N/A,TRUE,"Щиты";#N/A,#N/A,TRUE,"График";#N/A,#N/A,TRUE,"График"}</definedName>
    <definedName name="vg">#REF!</definedName>
    <definedName name="vokrugDisc" hidden="1">[6]VOKRUGSVETA.RU!$E$46</definedName>
    <definedName name="vokrugDiscTotal" localSheetId="1" hidden="1">MAX((100%-'Второй месяц'!splitDisc)*(100%-[0]!vokrugDisc)*(100%-'Второй месяц'!agencyDisc)*(100%-[0]!discReach),[0]!maxVokrug)</definedName>
    <definedName name="vokrugDiscTotal" localSheetId="2" hidden="1">MAX((100%-splitDisc)*(100%-[0]!vokrugDisc)*(100%-agencyDisc)*(100%-[0]!discReach),[0]!maxVokrug)</definedName>
    <definedName name="vokrugDiscTotal" localSheetId="0" hidden="1">MAX((100%-'Первый месяц'!splitDisc)*(100%-[0]!vokrugDisc)*(100%-'Первый месяц'!agencyDisc)*(100%-[0]!discReach),[0]!maxVokrug)</definedName>
    <definedName name="vokrugDiscTotal" hidden="1">MAX((100%-splitDisc)*(100%-[0]!vokrugDisc)*(100%-agencyDisc)*(100%-[0]!discReach),[0]!maxVokrug)</definedName>
    <definedName name="volume" localSheetId="1">#REF!</definedName>
    <definedName name="volume" localSheetId="0">#REF!</definedName>
    <definedName name="volume">#REF!</definedName>
    <definedName name="Volumen" localSheetId="1">#REF!</definedName>
    <definedName name="Volumen" localSheetId="0">#REF!</definedName>
    <definedName name="Volumen">#REF!</definedName>
    <definedName name="Vorspalte_1" localSheetId="1">#REF!</definedName>
    <definedName name="Vorspalte_1" localSheetId="0">#REF!</definedName>
    <definedName name="Vorspalte_1">#REF!</definedName>
    <definedName name="Vorspalte_3">#REF!</definedName>
    <definedName name="VP" localSheetId="1" hidden="1">{"'siets LAT'!$J$95","'siets LAT'!$J$95"}</definedName>
    <definedName name="VP" localSheetId="2" hidden="1">{"'siets LAT'!$J$95","'siets LAT'!$J$95"}</definedName>
    <definedName name="VP" localSheetId="0" hidden="1">{"'siets LAT'!$J$95","'siets LAT'!$J$95"}</definedName>
    <definedName name="VP" hidden="1">{"'siets LAT'!$J$95","'siets LAT'!$J$95"}</definedName>
    <definedName name="VW_SKODA">#REF!</definedName>
    <definedName name="vzglyadDisc" hidden="1">[6]VZGLYAD.RU!$E$51</definedName>
    <definedName name="vzglyadDiscTotal" localSheetId="1" hidden="1">MAX((100%-'Второй месяц'!splitDisc)*(100%-[0]!vzglyadDisc)*(100%-'Второй месяц'!agencyDisc)*(100%-[0]!discReach),[0]!maxVzglyad)</definedName>
    <definedName name="vzglyadDiscTotal" localSheetId="2" hidden="1">MAX((100%-splitDisc)*(100%-[0]!vzglyadDisc)*(100%-agencyDisc)*(100%-[0]!discReach),[0]!maxVzglyad)</definedName>
    <definedName name="vzglyadDiscTotal" localSheetId="0" hidden="1">MAX((100%-'Первый месяц'!splitDisc)*(100%-[0]!vzglyadDisc)*(100%-'Первый месяц'!agencyDisc)*(100%-[0]!discReach),[0]!maxVzglyad)</definedName>
    <definedName name="vzglyadDiscTotal" hidden="1">MAX((100%-splitDisc)*(100%-[0]!vzglyadDisc)*(100%-agencyDisc)*(100%-[0]!discReach),[0]!maxVzglyad)</definedName>
    <definedName name="w" localSheetId="1" hidden="1">{"'siets LAT'!$J$95","'siets LAT'!$J$95"}</definedName>
    <definedName name="w" localSheetId="2" hidden="1">{"'siets LAT'!$J$95","'siets LAT'!$J$95"}</definedName>
    <definedName name="w" localSheetId="0" hidden="1">{"'siets LAT'!$J$95","'siets LAT'!$J$95"}</definedName>
    <definedName name="w" hidden="1">{"'siets LAT'!$J$95","'siets LAT'!$J$95"}</definedName>
    <definedName name="wege">#REF!</definedName>
    <definedName name="weger">#REF!</definedName>
    <definedName name="wger">#REF!</definedName>
    <definedName name="wgw">#REF!</definedName>
    <definedName name="wree2" hidden="1">4</definedName>
    <definedName name="wrn.astek." localSheetId="1" hidden="1">{#N/A,#N/A,TRUE,"Пресса";#N/A,#N/A,TRUE,"Метро";#N/A,#N/A,TRUE,"Щиты";#N/A,#N/A,TRUE,"График";#N/A,#N/A,TRUE,"График"}</definedName>
    <definedName name="wrn.astek." localSheetId="2" hidden="1">{#N/A,#N/A,TRUE,"Пресса";#N/A,#N/A,TRUE,"Метро";#N/A,#N/A,TRUE,"Щиты";#N/A,#N/A,TRUE,"График";#N/A,#N/A,TRUE,"График"}</definedName>
    <definedName name="wrn.astek." localSheetId="0" hidden="1">{#N/A,#N/A,TRUE,"Пресса";#N/A,#N/A,TRUE,"Метро";#N/A,#N/A,TRUE,"Щиты";#N/A,#N/A,TRUE,"График";#N/A,#N/A,TRUE,"График"}</definedName>
    <definedName name="wrn.astek." hidden="1">{#N/A,#N/A,TRUE,"Пресса";#N/A,#N/A,TRUE,"Метро";#N/A,#N/A,TRUE,"Щиты";#N/A,#N/A,TRUE,"График";#N/A,#N/A,TRUE,"График"}</definedName>
    <definedName name="wrn.astek.2" localSheetId="1" hidden="1">{#N/A,#N/A,TRUE,"Пресса";#N/A,#N/A,TRUE,"Метро";#N/A,#N/A,TRUE,"Щиты";#N/A,#N/A,TRUE,"График";#N/A,#N/A,TRUE,"График"}</definedName>
    <definedName name="wrn.astek.2" localSheetId="2" hidden="1">{#N/A,#N/A,TRUE,"Пресса";#N/A,#N/A,TRUE,"Метро";#N/A,#N/A,TRUE,"Щиты";#N/A,#N/A,TRUE,"График";#N/A,#N/A,TRUE,"График"}</definedName>
    <definedName name="wrn.astek.2" localSheetId="0" hidden="1">{#N/A,#N/A,TRUE,"Пресса";#N/A,#N/A,TRUE,"Метро";#N/A,#N/A,TRUE,"Щиты";#N/A,#N/A,TRUE,"График";#N/A,#N/A,TRUE,"График"}</definedName>
    <definedName name="wrn.astek.2" hidden="1">{#N/A,#N/A,TRUE,"Пресса";#N/A,#N/A,TRUE,"Метро";#N/A,#N/A,TRUE,"Щиты";#N/A,#N/A,TRUE,"График";#N/A,#N/A,TRUE,"График"}</definedName>
    <definedName name="wrn.astek.ars" localSheetId="1" hidden="1">{#N/A,#N/A,TRUE,"Пресса";#N/A,#N/A,TRUE,"Метро";#N/A,#N/A,TRUE,"Щиты";#N/A,#N/A,TRUE,"График";#N/A,#N/A,TRUE,"График"}</definedName>
    <definedName name="wrn.astek.ars" localSheetId="2" hidden="1">{#N/A,#N/A,TRUE,"Пресса";#N/A,#N/A,TRUE,"Метро";#N/A,#N/A,TRUE,"Щиты";#N/A,#N/A,TRUE,"График";#N/A,#N/A,TRUE,"График"}</definedName>
    <definedName name="wrn.astek.ars" localSheetId="0" hidden="1">{#N/A,#N/A,TRUE,"Пресса";#N/A,#N/A,TRUE,"Метро";#N/A,#N/A,TRUE,"Щиты";#N/A,#N/A,TRUE,"График";#N/A,#N/A,TRUE,"График"}</definedName>
    <definedName name="wrn.astek.ars" hidden="1">{#N/A,#N/A,TRUE,"Пресса";#N/A,#N/A,TRUE,"Метро";#N/A,#N/A,TRUE,"Щиты";#N/A,#N/A,TRUE,"График";#N/A,#N/A,TRUE,"График"}</definedName>
    <definedName name="wrn.astek.fos" localSheetId="1" hidden="1">{#N/A,#N/A,TRUE,"Пресса";#N/A,#N/A,TRUE,"Метро";#N/A,#N/A,TRUE,"Щиты";#N/A,#N/A,TRUE,"График";#N/A,#N/A,TRUE,"График"}</definedName>
    <definedName name="wrn.astek.fos" localSheetId="2" hidden="1">{#N/A,#N/A,TRUE,"Пресса";#N/A,#N/A,TRUE,"Метро";#N/A,#N/A,TRUE,"Щиты";#N/A,#N/A,TRUE,"График";#N/A,#N/A,TRUE,"График"}</definedName>
    <definedName name="wrn.astek.fos" localSheetId="0" hidden="1">{#N/A,#N/A,TRUE,"Пресса";#N/A,#N/A,TRUE,"Метро";#N/A,#N/A,TRUE,"Щиты";#N/A,#N/A,TRUE,"График";#N/A,#N/A,TRUE,"График"}</definedName>
    <definedName name="wrn.astek.fos" hidden="1">{#N/A,#N/A,TRUE,"Пресса";#N/A,#N/A,TRUE,"Метро";#N/A,#N/A,TRUE,"Щиты";#N/A,#N/A,TRUE,"График";#N/A,#N/A,TRUE,"График"}</definedName>
    <definedName name="wrn.Kostenplan._.national." localSheetId="1" hidden="1">{#N/A,#N/A,FALSE,"Kostenplan"}</definedName>
    <definedName name="wrn.Kostenplan._.national." localSheetId="2" hidden="1">{#N/A,#N/A,FALSE,"Kostenplan"}</definedName>
    <definedName name="wrn.Kostenplan._.national." localSheetId="0" hidden="1">{#N/A,#N/A,FALSE,"Kostenplan"}</definedName>
    <definedName name="wrn.Kostenplan._.national." hidden="1">{#N/A,#N/A,FALSE,"Kostenplan"}</definedName>
    <definedName name="wrn.test." localSheetId="1" hidden="1">{"Valuation_Common",#N/A,FALSE,"Valuation"}</definedName>
    <definedName name="wrn.test." localSheetId="2" hidden="1">{"Valuation_Common",#N/A,FALSE,"Valuation"}</definedName>
    <definedName name="wrn.test." localSheetId="0" hidden="1">{"Valuation_Common",#N/A,FALSE,"Valuation"}</definedName>
    <definedName name="wrn.test." hidden="1">{"Valuation_Common",#N/A,FALSE,"Valuation"}</definedName>
    <definedName name="wxcv">#REF!</definedName>
    <definedName name="x">#REF!</definedName>
    <definedName name="XLR_ERRNAMESTR" hidden="1">[10]XLR_NoRangeSheet!$B$5</definedName>
    <definedName name="XLR_VERSION" hidden="1">[10]XLR_NoRangeSheet!$A$5</definedName>
    <definedName name="XX" localSheetId="1">#REF!</definedName>
    <definedName name="XX" localSheetId="0">#REF!</definedName>
    <definedName name="XX">#REF!</definedName>
    <definedName name="XXX">'[25]MP 2008'!#REF!</definedName>
    <definedName name="y" localSheetId="1" hidden="1">{#N/A,#N/A,TRUE,"Пресса";#N/A,#N/A,TRUE,"Метро";#N/A,#N/A,TRUE,"Щиты";#N/A,#N/A,TRUE,"График";#N/A,#N/A,TRUE,"График"}</definedName>
    <definedName name="y" localSheetId="2" hidden="1">{#N/A,#N/A,TRUE,"Пресса";#N/A,#N/A,TRUE,"Метро";#N/A,#N/A,TRUE,"Щиты";#N/A,#N/A,TRUE,"График";#N/A,#N/A,TRUE,"График"}</definedName>
    <definedName name="y" localSheetId="0" hidden="1">{#N/A,#N/A,TRUE,"Пресса";#N/A,#N/A,TRUE,"Метро";#N/A,#N/A,TRUE,"Щиты";#N/A,#N/A,TRUE,"График";#N/A,#N/A,TRUE,"График"}</definedName>
    <definedName name="y" hidden="1">{#N/A,#N/A,TRUE,"Пресса";#N/A,#N/A,TRUE,"Метро";#N/A,#N/A,TRUE,"Щиты";#N/A,#N/A,TRUE,"График";#N/A,#N/A,TRUE,"График"}</definedName>
    <definedName name="yaDisc" hidden="1">[6]YANDEX.RU!$E$58</definedName>
    <definedName name="yaDiscTotal" localSheetId="1" hidden="1">MAX((100%-'Второй месяц'!splitDisc)*(100%-[0]!yaDisc)*(100%-'Второй месяц'!agencyDisc)*(100%-[0]!discReach),[0]!maxYa)</definedName>
    <definedName name="yaDiscTotal" localSheetId="2" hidden="1">MAX((100%-splitDisc)*(100%-[0]!yaDisc)*(100%-agencyDisc)*(100%-[0]!discReach),[0]!maxYa)</definedName>
    <definedName name="yaDiscTotal" localSheetId="0" hidden="1">MAX((100%-'Первый месяц'!splitDisc)*(100%-[0]!yaDisc)*(100%-'Первый месяц'!agencyDisc)*(100%-[0]!discReach),[0]!maxYa)</definedName>
    <definedName name="yaDiscTotal" hidden="1">MAX((100%-splitDisc)*(100%-[0]!yaDisc)*(100%-agencyDisc)*(100%-[0]!discReach),[0]!maxYa)</definedName>
    <definedName name="Z_6C8421F6_CFBF_4FDF_B4DC_68139B9CA901_.wvu.Cols" localSheetId="1" hidden="1">#REF!,#REF!</definedName>
    <definedName name="Z_6C8421F6_CFBF_4FDF_B4DC_68139B9CA901_.wvu.Cols" localSheetId="0" hidden="1">#REF!,#REF!</definedName>
    <definedName name="Z_6C8421F6_CFBF_4FDF_B4DC_68139B9CA901_.wvu.Cols" hidden="1">#REF!,#REF!</definedName>
    <definedName name="Z_EE74EB5D_6A9A_434D_951C_A4EF7F3B129B_.wvu.FilterData" localSheetId="1" hidden="1">#REF!</definedName>
    <definedName name="Z_EE74EB5D_6A9A_434D_951C_A4EF7F3B129B_.wvu.FilterData" localSheetId="0" hidden="1">#REF!</definedName>
    <definedName name="Z_EE74EB5D_6A9A_434D_951C_A4EF7F3B129B_.wvu.FilterData" hidden="1">#REF!</definedName>
    <definedName name="zd" hidden="1">#N/A</definedName>
    <definedName name="Zielgruppe">'[2]Data CpGRP'!$B$10</definedName>
    <definedName name="ZZ">#REF!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0" i="23" l="1"/>
  <c r="L80" i="23"/>
  <c r="N83" i="18"/>
  <c r="L83" i="18" l="1"/>
  <c r="S83" i="18"/>
  <c r="S80" i="23"/>
  <c r="R37" i="23"/>
  <c r="T37" i="23" s="1"/>
  <c r="U37" i="23" s="1"/>
  <c r="R36" i="23"/>
  <c r="T36" i="23" s="1"/>
  <c r="U36" i="23" s="1"/>
  <c r="R35" i="23"/>
  <c r="T35" i="23" s="1"/>
  <c r="U35" i="23" s="1"/>
  <c r="R40" i="18"/>
  <c r="T40" i="18" s="1"/>
  <c r="U40" i="18" s="1"/>
  <c r="R39" i="18"/>
  <c r="T39" i="18" s="1"/>
  <c r="U39" i="18" s="1"/>
  <c r="R38" i="18"/>
  <c r="T38" i="18" s="1"/>
  <c r="U38" i="18" s="1"/>
  <c r="R37" i="18"/>
  <c r="T37" i="18" s="1"/>
  <c r="U37" i="18" s="1"/>
  <c r="R36" i="18"/>
  <c r="T36" i="18" s="1"/>
  <c r="U36" i="18" s="1"/>
  <c r="R35" i="18"/>
  <c r="T35" i="18" s="1"/>
  <c r="U35" i="18" s="1"/>
  <c r="Q80" i="23" l="1"/>
  <c r="R33" i="23"/>
  <c r="T33" i="23" s="1"/>
  <c r="U33" i="23" s="1"/>
  <c r="R32" i="23"/>
  <c r="T32" i="23" s="1"/>
  <c r="U32" i="23" s="1"/>
  <c r="R31" i="23"/>
  <c r="T31" i="23" s="1"/>
  <c r="U31" i="23" s="1"/>
  <c r="R30" i="23"/>
  <c r="T30" i="23" s="1"/>
  <c r="U30" i="23" s="1"/>
  <c r="R18" i="23"/>
  <c r="T18" i="23" s="1"/>
  <c r="U18" i="23" s="1"/>
  <c r="R17" i="23"/>
  <c r="T17" i="23" s="1"/>
  <c r="U17" i="23" s="1"/>
  <c r="R15" i="23"/>
  <c r="T15" i="23" s="1"/>
  <c r="U15" i="23" s="1"/>
  <c r="R14" i="23"/>
  <c r="T14" i="23" s="1"/>
  <c r="U14" i="23" s="1"/>
  <c r="R12" i="23"/>
  <c r="T12" i="23" s="1"/>
  <c r="U12" i="23" s="1"/>
  <c r="R8" i="23"/>
  <c r="T8" i="23" s="1"/>
  <c r="U8" i="23" s="1"/>
  <c r="T85" i="23"/>
  <c r="R79" i="23"/>
  <c r="T79" i="23" s="1"/>
  <c r="U79" i="23" s="1"/>
  <c r="R78" i="23"/>
  <c r="T78" i="23" s="1"/>
  <c r="U78" i="23" s="1"/>
  <c r="R77" i="23"/>
  <c r="T77" i="23" s="1"/>
  <c r="U77" i="23" s="1"/>
  <c r="R76" i="23"/>
  <c r="T76" i="23" s="1"/>
  <c r="U76" i="23" s="1"/>
  <c r="R75" i="23"/>
  <c r="T75" i="23" s="1"/>
  <c r="U75" i="23" s="1"/>
  <c r="R74" i="23"/>
  <c r="T74" i="23" s="1"/>
  <c r="U74" i="23" s="1"/>
  <c r="R73" i="23"/>
  <c r="T73" i="23" s="1"/>
  <c r="U73" i="23" s="1"/>
  <c r="R72" i="23"/>
  <c r="T72" i="23" s="1"/>
  <c r="U72" i="23" s="1"/>
  <c r="R71" i="23"/>
  <c r="T71" i="23" s="1"/>
  <c r="U71" i="23" s="1"/>
  <c r="R70" i="23"/>
  <c r="T70" i="23" s="1"/>
  <c r="U70" i="23" s="1"/>
  <c r="R69" i="23"/>
  <c r="T69" i="23" s="1"/>
  <c r="U69" i="23" s="1"/>
  <c r="R68" i="23"/>
  <c r="T68" i="23" s="1"/>
  <c r="U68" i="23" s="1"/>
  <c r="R67" i="23"/>
  <c r="T67" i="23" s="1"/>
  <c r="U67" i="23" s="1"/>
  <c r="R66" i="23"/>
  <c r="T66" i="23" s="1"/>
  <c r="U66" i="23" s="1"/>
  <c r="R65" i="23"/>
  <c r="T65" i="23" s="1"/>
  <c r="U65" i="23" s="1"/>
  <c r="R64" i="23"/>
  <c r="T64" i="23" s="1"/>
  <c r="U64" i="23" s="1"/>
  <c r="R63" i="23"/>
  <c r="T63" i="23" s="1"/>
  <c r="U63" i="23" s="1"/>
  <c r="R62" i="23"/>
  <c r="T62" i="23" s="1"/>
  <c r="U62" i="23" s="1"/>
  <c r="R61" i="23"/>
  <c r="T61" i="23" s="1"/>
  <c r="U61" i="23" s="1"/>
  <c r="R60" i="23"/>
  <c r="T60" i="23" s="1"/>
  <c r="U60" i="23" s="1"/>
  <c r="R59" i="23"/>
  <c r="T59" i="23" s="1"/>
  <c r="U59" i="23" s="1"/>
  <c r="R58" i="23"/>
  <c r="T58" i="23" s="1"/>
  <c r="U58" i="23" s="1"/>
  <c r="R57" i="23"/>
  <c r="T57" i="23" s="1"/>
  <c r="U57" i="23" s="1"/>
  <c r="R56" i="23"/>
  <c r="T56" i="23" s="1"/>
  <c r="U56" i="23" s="1"/>
  <c r="R55" i="23"/>
  <c r="T55" i="23" s="1"/>
  <c r="U55" i="23" s="1"/>
  <c r="R54" i="23"/>
  <c r="T54" i="23" s="1"/>
  <c r="U54" i="23" s="1"/>
  <c r="R53" i="23"/>
  <c r="T53" i="23" s="1"/>
  <c r="U53" i="23" s="1"/>
  <c r="R52" i="23"/>
  <c r="T52" i="23" s="1"/>
  <c r="U52" i="23" s="1"/>
  <c r="R51" i="23"/>
  <c r="T51" i="23" s="1"/>
  <c r="U51" i="23" s="1"/>
  <c r="R50" i="23"/>
  <c r="T50" i="23" s="1"/>
  <c r="U50" i="23" s="1"/>
  <c r="R49" i="23"/>
  <c r="T49" i="23" s="1"/>
  <c r="U49" i="23" s="1"/>
  <c r="R48" i="23"/>
  <c r="T48" i="23" s="1"/>
  <c r="U48" i="23" s="1"/>
  <c r="R47" i="23"/>
  <c r="T47" i="23" s="1"/>
  <c r="U47" i="23" s="1"/>
  <c r="R46" i="23"/>
  <c r="T46" i="23" s="1"/>
  <c r="U46" i="23" s="1"/>
  <c r="R45" i="23"/>
  <c r="T45" i="23" s="1"/>
  <c r="U45" i="23" s="1"/>
  <c r="R44" i="23"/>
  <c r="T44" i="23" s="1"/>
  <c r="U44" i="23" s="1"/>
  <c r="R43" i="23"/>
  <c r="T43" i="23" s="1"/>
  <c r="U43" i="23" s="1"/>
  <c r="R42" i="23"/>
  <c r="T42" i="23" s="1"/>
  <c r="U42" i="23" s="1"/>
  <c r="R41" i="23"/>
  <c r="T41" i="23" s="1"/>
  <c r="U41" i="23" s="1"/>
  <c r="R40" i="23"/>
  <c r="T40" i="23" s="1"/>
  <c r="U40" i="23" s="1"/>
  <c r="R39" i="23"/>
  <c r="T39" i="23" s="1"/>
  <c r="U39" i="23" s="1"/>
  <c r="R38" i="23"/>
  <c r="T38" i="23" s="1"/>
  <c r="U38" i="23" s="1"/>
  <c r="R34" i="23"/>
  <c r="T34" i="23" s="1"/>
  <c r="U34" i="23" s="1"/>
  <c r="R11" i="23"/>
  <c r="T11" i="23" s="1"/>
  <c r="U11" i="23" s="1"/>
  <c r="R29" i="23"/>
  <c r="T29" i="23" s="1"/>
  <c r="U29" i="23" s="1"/>
  <c r="R28" i="23"/>
  <c r="T28" i="23" s="1"/>
  <c r="U28" i="23" s="1"/>
  <c r="R27" i="23"/>
  <c r="T27" i="23" s="1"/>
  <c r="U27" i="23" s="1"/>
  <c r="R26" i="23"/>
  <c r="T26" i="23" s="1"/>
  <c r="U26" i="23" s="1"/>
  <c r="R25" i="23"/>
  <c r="T25" i="23" s="1"/>
  <c r="U25" i="23" s="1"/>
  <c r="R24" i="23"/>
  <c r="T24" i="23" s="1"/>
  <c r="U24" i="23" s="1"/>
  <c r="R23" i="23"/>
  <c r="T23" i="23" s="1"/>
  <c r="U23" i="23" s="1"/>
  <c r="R22" i="23"/>
  <c r="T22" i="23" s="1"/>
  <c r="U22" i="23" s="1"/>
  <c r="R21" i="23"/>
  <c r="T21" i="23" s="1"/>
  <c r="U21" i="23" s="1"/>
  <c r="R20" i="23"/>
  <c r="T20" i="23" s="1"/>
  <c r="U20" i="23" s="1"/>
  <c r="R19" i="23"/>
  <c r="T19" i="23" s="1"/>
  <c r="U19" i="23" s="1"/>
  <c r="R16" i="23"/>
  <c r="T16" i="23" s="1"/>
  <c r="U16" i="23" s="1"/>
  <c r="R13" i="23"/>
  <c r="T13" i="23" s="1"/>
  <c r="U13" i="23" s="1"/>
  <c r="R10" i="23"/>
  <c r="T10" i="23" s="1"/>
  <c r="U10" i="23" s="1"/>
  <c r="R9" i="23"/>
  <c r="T9" i="23" s="1"/>
  <c r="U9" i="23" s="1"/>
  <c r="R7" i="23"/>
  <c r="T7" i="23" s="1"/>
  <c r="U7" i="23" s="1"/>
  <c r="R6" i="23"/>
  <c r="T6" i="23" s="1"/>
  <c r="U6" i="23" s="1"/>
  <c r="R5" i="23"/>
  <c r="R34" i="18"/>
  <c r="R33" i="18"/>
  <c r="T5" i="23" l="1"/>
  <c r="T80" i="23" s="1"/>
  <c r="T84" i="23" s="1"/>
  <c r="R80" i="23"/>
  <c r="R32" i="18"/>
  <c r="T32" i="18" s="1"/>
  <c r="U32" i="18" s="1"/>
  <c r="R31" i="18"/>
  <c r="T31" i="18" s="1"/>
  <c r="U31" i="18" s="1"/>
  <c r="T33" i="18"/>
  <c r="U33" i="18" s="1"/>
  <c r="T34" i="18"/>
  <c r="U34" i="18" s="1"/>
  <c r="R30" i="18"/>
  <c r="T30" i="18" s="1"/>
  <c r="U30" i="18" s="1"/>
  <c r="R29" i="18"/>
  <c r="T29" i="18" s="1"/>
  <c r="U29" i="18" s="1"/>
  <c r="R28" i="18"/>
  <c r="R57" i="18"/>
  <c r="T57" i="18" s="1"/>
  <c r="U57" i="18" s="1"/>
  <c r="R58" i="18"/>
  <c r="T58" i="18" s="1"/>
  <c r="U58" i="18" s="1"/>
  <c r="R69" i="18"/>
  <c r="T69" i="18" s="1"/>
  <c r="U69" i="18" s="1"/>
  <c r="R70" i="18"/>
  <c r="T70" i="18" s="1"/>
  <c r="U70" i="18" s="1"/>
  <c r="R71" i="18"/>
  <c r="T71" i="18" s="1"/>
  <c r="U71" i="18" s="1"/>
  <c r="R72" i="18"/>
  <c r="T72" i="18" s="1"/>
  <c r="U72" i="18" s="1"/>
  <c r="R73" i="18"/>
  <c r="T73" i="18" s="1"/>
  <c r="U73" i="18" s="1"/>
  <c r="U5" i="23" l="1"/>
  <c r="U80" i="23" s="1"/>
  <c r="T86" i="23"/>
  <c r="T87" i="23" s="1"/>
  <c r="T88" i="18"/>
  <c r="Q83" i="18"/>
  <c r="T28" i="18"/>
  <c r="R27" i="18"/>
  <c r="T27" i="18" s="1"/>
  <c r="U27" i="18" l="1"/>
  <c r="U28" i="18" l="1"/>
  <c r="R75" i="18"/>
  <c r="T75" i="18" s="1"/>
  <c r="R76" i="18"/>
  <c r="T76" i="18" s="1"/>
  <c r="R77" i="18"/>
  <c r="T77" i="18" s="1"/>
  <c r="R78" i="18"/>
  <c r="T78" i="18" s="1"/>
  <c r="R74" i="18"/>
  <c r="T74" i="18" s="1"/>
  <c r="U78" i="18" l="1"/>
  <c r="U76" i="18"/>
  <c r="U75" i="18"/>
  <c r="U77" i="18"/>
  <c r="U74" i="18"/>
  <c r="R80" i="18"/>
  <c r="T80" i="18" s="1"/>
  <c r="R81" i="18"/>
  <c r="T81" i="18" s="1"/>
  <c r="R82" i="18"/>
  <c r="R79" i="18"/>
  <c r="T79" i="18" s="1"/>
  <c r="R68" i="18"/>
  <c r="T68" i="18" s="1"/>
  <c r="R67" i="18"/>
  <c r="T67" i="18" s="1"/>
  <c r="R66" i="18"/>
  <c r="T66" i="18" s="1"/>
  <c r="R65" i="18"/>
  <c r="T65" i="18" s="1"/>
  <c r="R64" i="18"/>
  <c r="T64" i="18" s="1"/>
  <c r="R63" i="18"/>
  <c r="T63" i="18" s="1"/>
  <c r="R62" i="18"/>
  <c r="T62" i="18" s="1"/>
  <c r="R61" i="18"/>
  <c r="T61" i="18" s="1"/>
  <c r="R60" i="18"/>
  <c r="T60" i="18" s="1"/>
  <c r="R59" i="18"/>
  <c r="T59" i="18" s="1"/>
  <c r="U59" i="18" s="1"/>
  <c r="R56" i="18"/>
  <c r="T56" i="18" s="1"/>
  <c r="R55" i="18"/>
  <c r="T55" i="18" s="1"/>
  <c r="R54" i="18"/>
  <c r="T54" i="18" s="1"/>
  <c r="R53" i="18"/>
  <c r="T53" i="18" s="1"/>
  <c r="R52" i="18"/>
  <c r="T52" i="18" s="1"/>
  <c r="R51" i="18"/>
  <c r="T51" i="18" s="1"/>
  <c r="R50" i="18"/>
  <c r="T50" i="18" s="1"/>
  <c r="R49" i="18"/>
  <c r="T49" i="18" s="1"/>
  <c r="R48" i="18"/>
  <c r="T48" i="18" s="1"/>
  <c r="R47" i="18"/>
  <c r="T47" i="18" s="1"/>
  <c r="R46" i="18"/>
  <c r="T46" i="18" s="1"/>
  <c r="R45" i="18"/>
  <c r="T45" i="18" s="1"/>
  <c r="R44" i="18"/>
  <c r="T44" i="18" s="1"/>
  <c r="R43" i="18"/>
  <c r="T43" i="18" s="1"/>
  <c r="R42" i="18"/>
  <c r="T42" i="18" s="1"/>
  <c r="R41" i="18"/>
  <c r="T41" i="18" s="1"/>
  <c r="R26" i="18"/>
  <c r="T26" i="18" s="1"/>
  <c r="R25" i="18"/>
  <c r="T25" i="18" s="1"/>
  <c r="R24" i="18"/>
  <c r="T24" i="18" s="1"/>
  <c r="R23" i="18"/>
  <c r="T23" i="18" s="1"/>
  <c r="R22" i="18"/>
  <c r="T22" i="18" s="1"/>
  <c r="R21" i="18"/>
  <c r="T21" i="18" s="1"/>
  <c r="R20" i="18"/>
  <c r="T20" i="18" s="1"/>
  <c r="R19" i="18"/>
  <c r="T19" i="18" s="1"/>
  <c r="R18" i="18"/>
  <c r="T18" i="18" s="1"/>
  <c r="R17" i="18"/>
  <c r="T17" i="18" s="1"/>
  <c r="R16" i="18"/>
  <c r="T16" i="18" s="1"/>
  <c r="R15" i="18"/>
  <c r="T15" i="18" s="1"/>
  <c r="R14" i="18"/>
  <c r="T14" i="18" s="1"/>
  <c r="R13" i="18"/>
  <c r="T13" i="18" s="1"/>
  <c r="R12" i="18"/>
  <c r="T12" i="18" s="1"/>
  <c r="R11" i="18"/>
  <c r="T11" i="18" s="1"/>
  <c r="R10" i="18"/>
  <c r="T10" i="18" s="1"/>
  <c r="R9" i="18"/>
  <c r="T9" i="18" s="1"/>
  <c r="R8" i="18"/>
  <c r="T8" i="18" s="1"/>
  <c r="R7" i="18"/>
  <c r="T7" i="18" s="1"/>
  <c r="R6" i="18"/>
  <c r="T6" i="18" s="1"/>
  <c r="R5" i="18"/>
  <c r="T5" i="18" l="1"/>
  <c r="R83" i="18"/>
  <c r="T82" i="18"/>
  <c r="U82" i="18" s="1"/>
  <c r="U80" i="18"/>
  <c r="U79" i="18"/>
  <c r="U44" i="18"/>
  <c r="T83" i="18" l="1"/>
  <c r="U48" i="18"/>
  <c r="U47" i="18"/>
  <c r="U13" i="18"/>
  <c r="U65" i="18"/>
  <c r="U23" i="18"/>
  <c r="U17" i="18"/>
  <c r="U18" i="18"/>
  <c r="U54" i="18"/>
  <c r="U8" i="18"/>
  <c r="U21" i="18"/>
  <c r="U64" i="18"/>
  <c r="U6" i="18"/>
  <c r="U43" i="18"/>
  <c r="U41" i="18"/>
  <c r="U42" i="18"/>
  <c r="U63" i="18"/>
  <c r="U11" i="18"/>
  <c r="U68" i="18"/>
  <c r="U55" i="18"/>
  <c r="U49" i="18"/>
  <c r="U14" i="18"/>
  <c r="U20" i="18"/>
  <c r="U12" i="18"/>
  <c r="U51" i="18"/>
  <c r="U10" i="18"/>
  <c r="U24" i="18"/>
  <c r="U7" i="18"/>
  <c r="U60" i="18"/>
  <c r="U66" i="18"/>
  <c r="U62" i="18"/>
  <c r="U22" i="18"/>
  <c r="U81" i="18"/>
  <c r="U9" i="18"/>
  <c r="U25" i="18"/>
  <c r="U52" i="18"/>
  <c r="U16" i="18"/>
  <c r="U56" i="18"/>
  <c r="U61" i="18"/>
  <c r="U15" i="18"/>
  <c r="U46" i="18"/>
  <c r="U53" i="18"/>
  <c r="U45" i="18"/>
  <c r="U67" i="18"/>
  <c r="U26" i="18"/>
  <c r="U50" i="18"/>
  <c r="U19" i="18"/>
  <c r="T87" i="18" l="1"/>
  <c r="U5" i="18"/>
  <c r="T89" i="18" l="1"/>
  <c r="T90" i="18" s="1"/>
  <c r="U83" i="18"/>
</calcChain>
</file>

<file path=xl/sharedStrings.xml><?xml version="1.0" encoding="utf-8"?>
<sst xmlns="http://schemas.openxmlformats.org/spreadsheetml/2006/main" count="1992" uniqueCount="331">
  <si>
    <t>Город присутствия Ленты</t>
  </si>
  <si>
    <t>ГМ</t>
  </si>
  <si>
    <t>СМ</t>
  </si>
  <si>
    <t>статика</t>
  </si>
  <si>
    <t>динамика</t>
  </si>
  <si>
    <t>да</t>
  </si>
  <si>
    <t>нет</t>
  </si>
  <si>
    <t>тендер</t>
  </si>
  <si>
    <t>добор</t>
  </si>
  <si>
    <t>Волга</t>
  </si>
  <si>
    <t>Самара</t>
  </si>
  <si>
    <t>ГМ/СМ</t>
  </si>
  <si>
    <t>Дивизион</t>
  </si>
  <si>
    <t>Тольятти</t>
  </si>
  <si>
    <t>Димитровград</t>
  </si>
  <si>
    <t>Ульяновск</t>
  </si>
  <si>
    <t>Нижний Новгород</t>
  </si>
  <si>
    <t>Саранск</t>
  </si>
  <si>
    <t>Чебоксары</t>
  </si>
  <si>
    <t>Йошкар-Ола</t>
  </si>
  <si>
    <t>Казань</t>
  </si>
  <si>
    <t>Альметьевск</t>
  </si>
  <si>
    <t>Набережные Челны</t>
  </si>
  <si>
    <t>Нижнекамск</t>
  </si>
  <si>
    <t>Оренбург</t>
  </si>
  <si>
    <t>Орск</t>
  </si>
  <si>
    <t>Саратов</t>
  </si>
  <si>
    <t>Энгельс</t>
  </si>
  <si>
    <t>Пенза</t>
  </si>
  <si>
    <t>Балаково</t>
  </si>
  <si>
    <t>Уфа</t>
  </si>
  <si>
    <t>Стерлитамак</t>
  </si>
  <si>
    <t>Ижевск</t>
  </si>
  <si>
    <t>Юг</t>
  </si>
  <si>
    <t>Ростов-на-Дону</t>
  </si>
  <si>
    <t>Таганрог</t>
  </si>
  <si>
    <t>Новочеркасск</t>
  </si>
  <si>
    <t>Новошахтинск</t>
  </si>
  <si>
    <t>Шахты</t>
  </si>
  <si>
    <t>Краснодар</t>
  </si>
  <si>
    <t>Новороссийск</t>
  </si>
  <si>
    <t>Майкоп</t>
  </si>
  <si>
    <t>Грозный</t>
  </si>
  <si>
    <t>Волгоград</t>
  </si>
  <si>
    <t>Волжский</t>
  </si>
  <si>
    <t>Астрахань</t>
  </si>
  <si>
    <t>Старополь</t>
  </si>
  <si>
    <t>Железноволдск</t>
  </si>
  <si>
    <t>Армавир</t>
  </si>
  <si>
    <t>Черкесск</t>
  </si>
  <si>
    <t>Воронеж</t>
  </si>
  <si>
    <t>Белгород</t>
  </si>
  <si>
    <t>Липецк</t>
  </si>
  <si>
    <t>Орел</t>
  </si>
  <si>
    <t>Курск</t>
  </si>
  <si>
    <t>Москва</t>
  </si>
  <si>
    <t>Реутов</t>
  </si>
  <si>
    <t>Елино</t>
  </si>
  <si>
    <t>Балашиха</t>
  </si>
  <si>
    <t>Серигиев-Посад</t>
  </si>
  <si>
    <t>Троицк</t>
  </si>
  <si>
    <t>Тарасовка</t>
  </si>
  <si>
    <t>Истра</t>
  </si>
  <si>
    <t>Серпухов</t>
  </si>
  <si>
    <t>Домодедово</t>
  </si>
  <si>
    <t>Видное</t>
  </si>
  <si>
    <t>Наро-Фоминск</t>
  </si>
  <si>
    <t>Луховицы</t>
  </si>
  <si>
    <t>Коломна</t>
  </si>
  <si>
    <t>Череповец</t>
  </si>
  <si>
    <t>Вологда</t>
  </si>
  <si>
    <t>Рязань</t>
  </si>
  <si>
    <t>Иваново</t>
  </si>
  <si>
    <t>Тверь</t>
  </si>
  <si>
    <t>Брянск</t>
  </si>
  <si>
    <t>Ярославль</t>
  </si>
  <si>
    <t>Смоленск</t>
  </si>
  <si>
    <t>Владимир</t>
  </si>
  <si>
    <t>Тула</t>
  </si>
  <si>
    <t>Калуга</t>
  </si>
  <si>
    <t>Обнинск</t>
  </si>
  <si>
    <t>Кострома</t>
  </si>
  <si>
    <t>Сибирь</t>
  </si>
  <si>
    <t>Братск</t>
  </si>
  <si>
    <t>Новосибирск</t>
  </si>
  <si>
    <t>Красноярск</t>
  </si>
  <si>
    <t>Иркутск</t>
  </si>
  <si>
    <t>Ачинск</t>
  </si>
  <si>
    <t>Кемерово</t>
  </si>
  <si>
    <t>Прокопьевск</t>
  </si>
  <si>
    <t>Томск</t>
  </si>
  <si>
    <t>Юрга</t>
  </si>
  <si>
    <t>Омск</t>
  </si>
  <si>
    <t>Барнаул</t>
  </si>
  <si>
    <t>Северо-Запад</t>
  </si>
  <si>
    <t>Санкт-Петербург</t>
  </si>
  <si>
    <t>Волхов</t>
  </si>
  <si>
    <t>Сыктывкар</t>
  </si>
  <si>
    <t>Великий Новгород</t>
  </si>
  <si>
    <t>Петергоф</t>
  </si>
  <si>
    <t>Красное Село</t>
  </si>
  <si>
    <t>Псков</t>
  </si>
  <si>
    <t>Кингисепп</t>
  </si>
  <si>
    <t>Сосновый Бор</t>
  </si>
  <si>
    <t>Петрозаводск</t>
  </si>
  <si>
    <t>Всеволожск</t>
  </si>
  <si>
    <t>Колпино</t>
  </si>
  <si>
    <t>Архангельск</t>
  </si>
  <si>
    <t>Выборг</t>
  </si>
  <si>
    <t>Мурманск</t>
  </si>
  <si>
    <t>Урал</t>
  </si>
  <si>
    <t>Екатеринбург</t>
  </si>
  <si>
    <t>Нижний Тагил</t>
  </si>
  <si>
    <t>Каменск-Уральский</t>
  </si>
  <si>
    <t>Челябинск</t>
  </si>
  <si>
    <t>Магнитогорск</t>
  </si>
  <si>
    <t>Тюмень</t>
  </si>
  <si>
    <t>Тобольск</t>
  </si>
  <si>
    <t>Курган</t>
  </si>
  <si>
    <t>Пермь</t>
  </si>
  <si>
    <t>Сургут</t>
  </si>
  <si>
    <t>Ноябрьск</t>
  </si>
  <si>
    <t>Ханты-Манскийск</t>
  </si>
  <si>
    <t>Апрелевка</t>
  </si>
  <si>
    <t xml:space="preserve">Балашиха </t>
  </si>
  <si>
    <t>Долгопрудный</t>
  </si>
  <si>
    <t>Егорьевск</t>
  </si>
  <si>
    <t>Зеленоград</t>
  </si>
  <si>
    <t>Королев</t>
  </si>
  <si>
    <t>Красногорск</t>
  </si>
  <si>
    <t>Люберцы</t>
  </si>
  <si>
    <t>Малоярославец</t>
  </si>
  <si>
    <t>Мытищи</t>
  </si>
  <si>
    <t>Ногинск</t>
  </si>
  <si>
    <t>Одинцово</t>
  </si>
  <si>
    <t>Орехово-Зуево</t>
  </si>
  <si>
    <t>Селятино</t>
  </si>
  <si>
    <t>Тучково</t>
  </si>
  <si>
    <t>Фрязино</t>
  </si>
  <si>
    <t>Химки (Сходня)</t>
  </si>
  <si>
    <t>Кириши</t>
  </si>
  <si>
    <t>Ломоносов</t>
  </si>
  <si>
    <t>Луга</t>
  </si>
  <si>
    <t>Шлиссельбург</t>
  </si>
  <si>
    <t>Шушары</t>
  </si>
  <si>
    <t>Бердск</t>
  </si>
  <si>
    <t>Искитим</t>
  </si>
  <si>
    <t>Новокузнецк</t>
  </si>
  <si>
    <t>Первоуральск</t>
  </si>
  <si>
    <t>Парголово</t>
  </si>
  <si>
    <t>Кудрово</t>
  </si>
  <si>
    <t>Бугры</t>
  </si>
  <si>
    <t>indoor</t>
  </si>
  <si>
    <t>Центр</t>
  </si>
  <si>
    <t>Центр_ДМФ</t>
  </si>
  <si>
    <t>Мини</t>
  </si>
  <si>
    <t>охват</t>
  </si>
  <si>
    <t>навигация</t>
  </si>
  <si>
    <t>транспорт</t>
  </si>
  <si>
    <t>навигационные знаки</t>
  </si>
  <si>
    <t>Город</t>
  </si>
  <si>
    <t>Кол-во носителей</t>
  </si>
  <si>
    <t>Кол-во выходов в блоке</t>
  </si>
  <si>
    <t>rating</t>
  </si>
  <si>
    <t>АК 5%</t>
  </si>
  <si>
    <t>Ташкент</t>
  </si>
  <si>
    <t xml:space="preserve">Время работы </t>
  </si>
  <si>
    <t>Стоимость за 1 единицу ( без НДС)</t>
  </si>
  <si>
    <t>Общая сумма (без  АК и НДС)</t>
  </si>
  <si>
    <t xml:space="preserve">Итоговая сумма </t>
  </si>
  <si>
    <t>Фото конструкции</t>
  </si>
  <si>
    <t xml:space="preserve">Адрес расположения </t>
  </si>
  <si>
    <t>Тип конструкции</t>
  </si>
  <si>
    <t>Длительность ролика</t>
  </si>
  <si>
    <t>Тип Внешней Рекламы</t>
  </si>
  <si>
    <t>Цена с учетом скидки</t>
  </si>
  <si>
    <t>экран</t>
  </si>
  <si>
    <t>07.00-23.00</t>
  </si>
  <si>
    <t>Экран</t>
  </si>
  <si>
    <t>Фото</t>
  </si>
  <si>
    <t xml:space="preserve">10 секунд </t>
  </si>
  <si>
    <t>ул. А. Навои, ор. гостиница Чорсу</t>
  </si>
  <si>
    <t>ул. Паркентская и ул. Олтин тепа, возле новостройки</t>
  </si>
  <si>
    <t>ул.Навои и ул.Абай  Ор-р Станция метро «А.Навои</t>
  </si>
  <si>
    <t xml:space="preserve">ул. Нукусская и Авлиё Ота (Госпитальный рынок) </t>
  </si>
  <si>
    <t xml:space="preserve">Период размещения </t>
  </si>
  <si>
    <t xml:space="preserve">Остановки </t>
  </si>
  <si>
    <t>ots</t>
  </si>
  <si>
    <t>Перекресток Чимган, ор. ЭкоБазар</t>
  </si>
  <si>
    <t>ул. Шахрисабз, ор. Автодорожный университет</t>
  </si>
  <si>
    <t>ул. Янгишахар - ул. А. Дониша, перекресток ТРЦ "Мега Планет"</t>
  </si>
  <si>
    <t>Рынок куйлюк</t>
  </si>
  <si>
    <t>Экобазар</t>
  </si>
  <si>
    <t>рынок Чорсу</t>
  </si>
  <si>
    <t>Чиланзар - аллея Гагарина</t>
  </si>
  <si>
    <t>х</t>
  </si>
  <si>
    <t>пр. А. Тимура, офис Mobiuz, гостиница Wyndham</t>
  </si>
  <si>
    <t xml:space="preserve">Ул. А. Темур и Осие, Orient House </t>
  </si>
  <si>
    <t>Фотл</t>
  </si>
  <si>
    <t>ул. С. Азимова, рядом 145 школа, Efendi ресторан</t>
  </si>
  <si>
    <t xml:space="preserve">Перекресток Кукча </t>
  </si>
  <si>
    <t xml:space="preserve">Ул.Нурафшан и ул. Ахмад Даниш Ор-р «Ривьера» </t>
  </si>
  <si>
    <t xml:space="preserve">ул. Мукимий и ул. Чиланзар, ор. Новза </t>
  </si>
  <si>
    <t>НБУ Старт ул. ул Аккурган</t>
  </si>
  <si>
    <t>Ул. Фурката ор. Magic city</t>
  </si>
  <si>
    <t>метро Чиланзар</t>
  </si>
  <si>
    <t xml:space="preserve">ул. Бешарыкская, Кадышева </t>
  </si>
  <si>
    <t>Кол-во выходов в сутки</t>
  </si>
  <si>
    <t>ул. А. Тимура, ор. ТУИТ, напротив «Ташкентлэнд»</t>
  </si>
  <si>
    <t>100-150</t>
  </si>
  <si>
    <t>Фергана</t>
  </si>
  <si>
    <t>перекрёсток ул.У.Юсупова и Ватан Равнаки, орентир: Центральный рынок</t>
  </si>
  <si>
    <t>ул.Алишера Навои, ориентир: Асака банк</t>
  </si>
  <si>
    <t>перекрёсток ул.Алишера Навои и Сахибкрана Темура, ориентир: кинотеатр Нурхон</t>
  </si>
  <si>
    <t>перекрёсток ул.Ватан Равнаки и Додхо, ориентир: гостиница Зиёрат</t>
  </si>
  <si>
    <t>ул.Аль Фаргоний, ориентир: головной офис Mobiuz</t>
  </si>
  <si>
    <t>ул.Сайлгох, ориентир: ресторан Taj Mahal</t>
  </si>
  <si>
    <t>Самарканд</t>
  </si>
  <si>
    <t>ул.Навои Шох и ул.Гагарина, ориентир: Festival Mall</t>
  </si>
  <si>
    <t>пересечение ул.Рудаки и ул.Дагбитская, ориентир: Банковский колледж</t>
  </si>
  <si>
    <t>ул.Буюк Ипак Йули и ул.Нарпайская, ориентир: Детская поликлиника</t>
  </si>
  <si>
    <t xml:space="preserve">ул.Рудаки и ул.Беруни, ориентир: Железнодорожный вокзал </t>
  </si>
  <si>
    <t>проспект Навои, ориентир: Городская больница</t>
  </si>
  <si>
    <t>пересечение ул.Абу Рейхана Беруни и ул.Мухаммада Аль-Хорезми, ориентир: старый Билайн</t>
  </si>
  <si>
    <t>пересечение ул.Дагбиская и ул.Ибн Сино, ориентир: Гелион</t>
  </si>
  <si>
    <t>ул.Абдурахмана Джами, ориентир: Городская Прокуратура</t>
  </si>
  <si>
    <t>ул.Абдурахмана Джами, ориентир: Молодёжный центр</t>
  </si>
  <si>
    <t>пересечение ул.Фархадский и ул.Исаева, ориентир: школа №17</t>
  </si>
  <si>
    <t xml:space="preserve">Ташкент </t>
  </si>
  <si>
    <r>
      <rPr>
        <u/>
        <sz val="11"/>
        <color rgb="FF1155CC"/>
        <rFont val="Calibri"/>
        <family val="2"/>
        <charset val="204"/>
      </rPr>
      <t>Фото</t>
    </r>
  </si>
  <si>
    <t>ул. У. Носыра и ул. Бобура, ор. Фрунзенский ТЦ</t>
  </si>
  <si>
    <t>ул. Ш. Рашидова, ор. ЦУМ, на стороне Lotte hotel</t>
  </si>
  <si>
    <t xml:space="preserve">Ул.Обихает , около Асака Банк </t>
  </si>
  <si>
    <t>Ул. Мустакиллик и Шастри, ор. Муз лицей Успенского</t>
  </si>
  <si>
    <t xml:space="preserve">Статика </t>
  </si>
  <si>
    <t xml:space="preserve">Адресная программа будет подбираться за 2 недели до старта </t>
  </si>
  <si>
    <t>ул. Нукусская и ул. Эльбек, перекресток Винзавода</t>
  </si>
  <si>
    <t>ул. Хуршида, перекресток Ц5, рядом с Gentlemen pub</t>
  </si>
  <si>
    <t>билборд</t>
  </si>
  <si>
    <t>universe</t>
  </si>
  <si>
    <t>Общие</t>
  </si>
  <si>
    <t>Общий</t>
  </si>
  <si>
    <t>Общий Регионы</t>
  </si>
  <si>
    <t>Охват 01+</t>
  </si>
  <si>
    <t>Охват 02+</t>
  </si>
  <si>
    <t>Охват 03+</t>
  </si>
  <si>
    <t>Охват 04+</t>
  </si>
  <si>
    <t>Охват 05+</t>
  </si>
  <si>
    <t>Охват 08+</t>
  </si>
  <si>
    <t>Охват 10+</t>
  </si>
  <si>
    <t>Охват 12+</t>
  </si>
  <si>
    <t>Охват 14+</t>
  </si>
  <si>
    <t>Охват 15+</t>
  </si>
  <si>
    <t>Охват 16+</t>
  </si>
  <si>
    <t>Охват 18+</t>
  </si>
  <si>
    <t>Охват 20+</t>
  </si>
  <si>
    <t>Охват 25+</t>
  </si>
  <si>
    <t>Охват 30+</t>
  </si>
  <si>
    <t>Охват 40+</t>
  </si>
  <si>
    <t>охват в чел</t>
  </si>
  <si>
    <t xml:space="preserve">Презентация </t>
  </si>
  <si>
    <t>Стоимость монтажных  и печатных работ (без АК и НДС)</t>
  </si>
  <si>
    <t xml:space="preserve">Общая сумма (без  АК и НДС) </t>
  </si>
  <si>
    <t>Юнусабад Универсам</t>
  </si>
  <si>
    <t>Кардиология</t>
  </si>
  <si>
    <t>Казахстан кинотеатр</t>
  </si>
  <si>
    <t>Мирабад Авеню</t>
  </si>
  <si>
    <t>Шастри</t>
  </si>
  <si>
    <t>Бунедкор</t>
  </si>
  <si>
    <t>Ул. Сеул, Мукими, Лутфий, Нурафшон. Бывш круг</t>
  </si>
  <si>
    <t>пр. Буньедкор, ор. Дворец дружбы народов</t>
  </si>
  <si>
    <t>ул. Афросиаб и ул. Ш. Рашидова, метро Космонавтов МВД 1</t>
  </si>
  <si>
    <t xml:space="preserve">Шахристанская, Корзинка </t>
  </si>
  <si>
    <t xml:space="preserve"> ул. Буюк ипак йули и ул. Хирмонтепа Ор-р: станция метро "Буюк Ипак Йули"</t>
  </si>
  <si>
    <t xml:space="preserve">ул. Абдурауфа Фитрата и Фаргона йули Рисовый базар </t>
  </si>
  <si>
    <t>проспект А. Тимура, и ул. Осиё, ор. метро Минор</t>
  </si>
  <si>
    <t>ул. Шахризабз и ул. Мирабад, ор. Mirabad Plaza</t>
  </si>
  <si>
    <t>пересечение улий Юсуфа Хос Ходжиба и Бобура (пед.институт )</t>
  </si>
  <si>
    <t>ул. Бобура, рядом с Seoul Mun, ТРЦ Next</t>
  </si>
  <si>
    <t>ул. А. Навои, напротив БЦ Poytaxt ц4</t>
  </si>
  <si>
    <t>Ул. Караташ и Бунёдкор (Дружба Народов)</t>
  </si>
  <si>
    <t>Ул.Махтумкули, Макро</t>
  </si>
  <si>
    <t>Ул. С. Азимова и Махтумкули ор. Divan by Demir</t>
  </si>
  <si>
    <t>ул. Мустакиллик, ор. БЦ Inkonel (Дархан)</t>
  </si>
  <si>
    <t>ул. Самарканд дарвоза, напротив ТРЦ Sam. Darvoza</t>
  </si>
  <si>
    <t>перес. ул.Богишамол - ул.Мавлянова. Перекресток Бодомзор</t>
  </si>
  <si>
    <t>(Автодорожный институт) Мирабадский район пересечение улиц Шахрисабз</t>
  </si>
  <si>
    <t>ул Нукусская, ор перекрёсток винзавод</t>
  </si>
  <si>
    <t xml:space="preserve"> рынок Кадышева</t>
  </si>
  <si>
    <t>ул. Чулпан и Ахангаранское шоссе (Крестик )</t>
  </si>
  <si>
    <t>ул. Паркент, перекресток Шастри</t>
  </si>
  <si>
    <t xml:space="preserve"> ул. Абая - пр. Навои, ор.: Tashkent city</t>
  </si>
  <si>
    <t>Ул.Сагбан и ул.Нурафшан</t>
  </si>
  <si>
    <t>Перекрёсток Пр. Беруни и ул. Нурафшон. Метро Тинчлик</t>
  </si>
  <si>
    <t>Ул. Беруни и ул. Лайлитугон, Чорсу</t>
  </si>
  <si>
    <t>Ул. Катартал и МКАД, Шухрат</t>
  </si>
  <si>
    <t>ул. Афросиаб и ул. Ш. Рашидова, ор. МВД2</t>
  </si>
  <si>
    <t>ул. Шахрисабзская, ор. бывший Детский мир</t>
  </si>
  <si>
    <t>ул. Нукусская, напротив БЦ Sigma (госпиталка)</t>
  </si>
  <si>
    <t>Новза</t>
  </si>
  <si>
    <t>Ул. Бобура и ул. Нукусская, ор. KOC</t>
  </si>
  <si>
    <t>Ул. Себзор, Ганга Б</t>
  </si>
  <si>
    <t>Ул. Янги Шахар и ул Янги Юнусабад</t>
  </si>
  <si>
    <t>ул. Амира Темура, ор: Перекресток "Шахристон"</t>
  </si>
  <si>
    <t>Шохрух Мирзо, ориентир: ТЦ MAKON MALL</t>
  </si>
  <si>
    <t>городской посёлок Хожа Ахрор Валий, ориентир: Сельский круг</t>
  </si>
  <si>
    <t>пересечение ул.М.Кошгарий и ул.М.Улугбек, ориентир: Овер</t>
  </si>
  <si>
    <t xml:space="preserve"> ул.Туркестанская, ориентир: Erkin Bazar-торговый центр автозапчастей</t>
  </si>
  <si>
    <t>ул.Беруний и Рудакий, ориентир: вокзал</t>
  </si>
  <si>
    <t xml:space="preserve">Новза </t>
  </si>
  <si>
    <t>ул. Фархадская и ул . Лутфи</t>
  </si>
  <si>
    <t>(Братские Могилы) Яккасарайский район пересечение улиц Шота Руставели и Чупан Ота</t>
  </si>
  <si>
    <t>ТЦ Samarkand Darvoza</t>
  </si>
  <si>
    <t>(САГБОН) пересечение улиц Малая колцевая и Сагбон</t>
  </si>
  <si>
    <t>МКАД – ПР. БЕРУНИ. «ОРЗУ»</t>
  </si>
  <si>
    <t>(БЕРУНИЙ) пересечение проспекта Беруний и ул. Фараб</t>
  </si>
  <si>
    <t>ТК «FLESHKA» (МАЛИКА)</t>
  </si>
  <si>
    <t>ул. Ш. Рашидова, ор. Ц5 - Пожарка</t>
  </si>
  <si>
    <t>Ул. Мураббийлар Ориентир Алишерка</t>
  </si>
  <si>
    <t>ул. Янгибод Ориентир Полвон Шашлык</t>
  </si>
  <si>
    <t>Общие за 2 мес</t>
  </si>
  <si>
    <t>Карта</t>
  </si>
  <si>
    <t>Расположения LED-экранов на карте</t>
  </si>
  <si>
    <t>Total без АК и НДС</t>
  </si>
  <si>
    <t>Производство</t>
  </si>
  <si>
    <t>Fact</t>
  </si>
  <si>
    <t>Plan</t>
  </si>
  <si>
    <t>Plan July</t>
  </si>
  <si>
    <t>Fact July</t>
  </si>
  <si>
    <t>Plan Aug</t>
  </si>
  <si>
    <t>Fact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</si>
</sst>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* #,##0\ [$UZS]_-;\-* #,##0\ [$UZS]_-;_-* &quot;-&quot;??\ [$UZS]_-;_-@_-"/>
    <numFmt numFmtId="165" formatCode="#,##0\ [$UZS]"/>
    <numFmt numFmtId="166" formatCode="_-* #,##0\ _U_Z_S_-;\-* #,##0\ _U_Z_S_-;_-* &quot;-&quot;\ _U_Z_S_-;_-@_-"/>
    <numFmt numFmtId="167" formatCode="#,##0\ &quot;₽&quot;;[Red]#,##0\ &quot;₽&quot;"/>
    <numFmt numFmtId="168" formatCode="#,##0\ [$UZS];[Red]#,##0\ [$UZS]"/>
    <numFmt numFmtId="169" formatCode="#,##0\ &quot;₽&quot;"/>
  </numFmts>
  <fonts count="4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0"/>
      <color indexed="12"/>
      <name val="Arial Cyr"/>
      <charset val="204"/>
    </font>
    <font>
      <u/>
      <sz val="11"/>
      <color theme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8"/>
      <name val="Calibri"/>
      <family val="2"/>
      <charset val="204"/>
      <scheme val="minor"/>
    </font>
    <font>
      <sz val="12"/>
      <color theme="8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u/>
      <sz val="11"/>
      <color rgb="FF0000FF"/>
      <name val="Calibri"/>
      <family val="2"/>
      <charset val="204"/>
    </font>
    <font>
      <u/>
      <sz val="11"/>
      <color rgb="FF1155CC"/>
      <name val="Calibri"/>
      <family val="2"/>
      <charset val="204"/>
    </font>
    <font>
      <u/>
      <sz val="11"/>
      <color rgb="FF0C5ADB"/>
      <name val="Calibri"/>
      <family val="2"/>
      <charset val="204"/>
    </font>
    <font>
      <b/>
      <sz val="12"/>
      <color theme="1"/>
      <name val="Calibri"/>
      <family val="2"/>
      <scheme val="minor"/>
    </font>
    <font>
      <u/>
      <sz val="11"/>
      <color theme="4" tint="-0.249977111117893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rgb="FF000000"/>
      <name val="Grtsk Peta"/>
    </font>
    <font>
      <b/>
      <sz val="11"/>
      <color theme="0"/>
      <name val="Calibri"/>
      <family val="2"/>
      <charset val="204"/>
      <scheme val="minor"/>
    </font>
    <font>
      <u/>
      <sz val="11"/>
      <color theme="10"/>
      <name val="Arial"/>
      <family val="2"/>
      <charset val="204"/>
    </font>
    <font>
      <b/>
      <sz val="11"/>
      <color theme="8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charset val="204"/>
      <scheme val="minor"/>
    </font>
    <font>
      <b/>
      <u/>
      <sz val="14"/>
      <color theme="1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4" tint="0.79998168889431442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5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7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</cellStyleXfs>
  <cellXfs count="163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164" fontId="10" fillId="5" borderId="0" xfId="0" applyNumberFormat="1" applyFont="1" applyFill="1"/>
    <xf numFmtId="0" fontId="9" fillId="5" borderId="0" xfId="0" applyFont="1" applyFill="1"/>
    <xf numFmtId="0" fontId="1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165" fontId="1" fillId="5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167" fontId="1" fillId="5" borderId="0" xfId="0" applyNumberFormat="1" applyFont="1" applyFill="1" applyAlignment="1">
      <alignment horizontal="center" vertical="center"/>
    </xf>
    <xf numFmtId="0" fontId="16" fillId="5" borderId="2" xfId="0" applyFont="1" applyFill="1" applyBorder="1" applyAlignment="1" applyProtection="1">
      <alignment horizontal="left"/>
      <protection locked="0"/>
    </xf>
    <xf numFmtId="165" fontId="9" fillId="5" borderId="2" xfId="6" applyNumberFormat="1" applyFont="1" applyFill="1" applyBorder="1" applyAlignment="1">
      <alignment horizontal="left" vertical="center" wrapText="1" shrinkToFit="1"/>
    </xf>
    <xf numFmtId="168" fontId="1" fillId="5" borderId="0" xfId="0" applyNumberFormat="1" applyFont="1" applyFill="1" applyAlignment="1">
      <alignment horizontal="left" vertical="center"/>
    </xf>
    <xf numFmtId="168" fontId="0" fillId="5" borderId="0" xfId="6" applyNumberFormat="1" applyFont="1" applyFill="1" applyBorder="1" applyAlignment="1">
      <alignment horizontal="left" vertical="center" wrapText="1" shrinkToFit="1"/>
    </xf>
    <xf numFmtId="165" fontId="9" fillId="5" borderId="0" xfId="6" applyNumberFormat="1" applyFont="1" applyFill="1" applyBorder="1" applyAlignment="1">
      <alignment horizontal="left" vertical="center" wrapText="1" shrinkToFit="1"/>
    </xf>
    <xf numFmtId="168" fontId="18" fillId="5" borderId="0" xfId="0" applyNumberFormat="1" applyFont="1" applyFill="1" applyAlignment="1">
      <alignment horizontal="left" vertical="center" wrapText="1" shrinkToFit="1"/>
    </xf>
    <xf numFmtId="168" fontId="9" fillId="5" borderId="0" xfId="6" applyNumberFormat="1" applyFont="1" applyFill="1" applyBorder="1" applyAlignment="1">
      <alignment horizontal="left" wrapText="1" shrinkToFit="1"/>
    </xf>
    <xf numFmtId="168" fontId="19" fillId="5" borderId="0" xfId="0" applyNumberFormat="1" applyFont="1" applyFill="1" applyAlignment="1">
      <alignment horizontal="left" vertical="center"/>
    </xf>
    <xf numFmtId="0" fontId="17" fillId="5" borderId="2" xfId="0" applyFont="1" applyFill="1" applyBorder="1" applyAlignment="1">
      <alignment horizontal="left" vertical="center" wrapText="1" readingOrder="1"/>
    </xf>
    <xf numFmtId="0" fontId="9" fillId="5" borderId="2" xfId="0" applyFont="1" applyFill="1" applyBorder="1" applyAlignment="1">
      <alignment horizontal="left" vertical="center"/>
    </xf>
    <xf numFmtId="165" fontId="9" fillId="5" borderId="2" xfId="6" applyNumberFormat="1" applyFont="1" applyFill="1" applyBorder="1" applyAlignment="1">
      <alignment horizontal="left" wrapText="1" shrinkToFit="1"/>
    </xf>
    <xf numFmtId="0" fontId="9" fillId="5" borderId="2" xfId="0" applyFont="1" applyFill="1" applyBorder="1" applyAlignment="1">
      <alignment horizontal="left"/>
    </xf>
    <xf numFmtId="165" fontId="16" fillId="5" borderId="2" xfId="0" applyNumberFormat="1" applyFont="1" applyFill="1" applyBorder="1" applyAlignment="1">
      <alignment horizontal="left"/>
    </xf>
    <xf numFmtId="0" fontId="17" fillId="5" borderId="2" xfId="0" applyFont="1" applyFill="1" applyBorder="1" applyAlignment="1">
      <alignment horizontal="left" vertical="center" readingOrder="1"/>
    </xf>
    <xf numFmtId="0" fontId="9" fillId="5" borderId="3" xfId="0" applyFont="1" applyFill="1" applyBorder="1" applyAlignment="1">
      <alignment horizontal="left"/>
    </xf>
    <xf numFmtId="0" fontId="9" fillId="5" borderId="0" xfId="0" applyFont="1" applyFill="1" applyAlignment="1">
      <alignment horizontal="left"/>
    </xf>
    <xf numFmtId="0" fontId="19" fillId="5" borderId="0" xfId="0" applyFont="1" applyFill="1" applyAlignment="1">
      <alignment horizontal="left"/>
    </xf>
    <xf numFmtId="0" fontId="10" fillId="4" borderId="2" xfId="1" applyFont="1" applyFill="1" applyBorder="1" applyAlignment="1" applyProtection="1">
      <alignment horizontal="center" vertical="center" wrapText="1"/>
      <protection locked="0"/>
    </xf>
    <xf numFmtId="0" fontId="12" fillId="4" borderId="2" xfId="1" applyFont="1" applyFill="1" applyBorder="1" applyAlignment="1" applyProtection="1">
      <alignment horizontal="center" vertical="center" wrapText="1"/>
      <protection locked="0"/>
    </xf>
    <xf numFmtId="0" fontId="12" fillId="4" borderId="2" xfId="1" applyFont="1" applyFill="1" applyBorder="1" applyAlignment="1" applyProtection="1">
      <alignment horizontal="center" vertical="center"/>
      <protection locked="0"/>
    </xf>
    <xf numFmtId="17" fontId="10" fillId="4" borderId="2" xfId="0" applyNumberFormat="1" applyFont="1" applyFill="1" applyBorder="1" applyAlignment="1" applyProtection="1">
      <alignment horizontal="center" vertical="center" wrapText="1"/>
      <protection locked="0"/>
    </xf>
    <xf numFmtId="17" fontId="12" fillId="4" borderId="2" xfId="0" applyNumberFormat="1" applyFont="1" applyFill="1" applyBorder="1" applyAlignment="1">
      <alignment horizontal="center" vertical="center" wrapText="1"/>
    </xf>
    <xf numFmtId="164" fontId="13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12" fillId="6" borderId="2" xfId="1" applyNumberFormat="1" applyFont="1" applyFill="1" applyBorder="1" applyAlignment="1" applyProtection="1">
      <alignment horizontal="center" vertical="center" wrapText="1"/>
      <protection locked="0"/>
    </xf>
    <xf numFmtId="164" fontId="10" fillId="6" borderId="2" xfId="0" applyNumberFormat="1" applyFont="1" applyFill="1" applyBorder="1"/>
    <xf numFmtId="164" fontId="12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16" fillId="5" borderId="2" xfId="0" applyNumberFormat="1" applyFont="1" applyFill="1" applyBorder="1" applyAlignment="1">
      <alignment horizontal="left"/>
    </xf>
    <xf numFmtId="169" fontId="12" fillId="4" borderId="2" xfId="0" applyNumberFormat="1" applyFont="1" applyFill="1" applyBorder="1" applyAlignment="1">
      <alignment horizontal="left" vertical="center" wrapText="1"/>
    </xf>
    <xf numFmtId="17" fontId="12" fillId="4" borderId="3" xfId="0" applyNumberFormat="1" applyFont="1" applyFill="1" applyBorder="1" applyAlignment="1" applyProtection="1">
      <alignment horizontal="center" vertical="center" wrapText="1"/>
      <protection locked="0"/>
    </xf>
    <xf numFmtId="168" fontId="9" fillId="5" borderId="3" xfId="0" applyNumberFormat="1" applyFont="1" applyFill="1" applyBorder="1" applyAlignment="1">
      <alignment horizontal="left" vertical="center"/>
    </xf>
    <xf numFmtId="168" fontId="9" fillId="5" borderId="3" xfId="6" applyNumberFormat="1" applyFont="1" applyFill="1" applyBorder="1" applyAlignment="1">
      <alignment horizontal="left" wrapText="1" shrinkToFit="1"/>
    </xf>
    <xf numFmtId="165" fontId="12" fillId="4" borderId="3" xfId="0" applyNumberFormat="1" applyFont="1" applyFill="1" applyBorder="1" applyAlignment="1" applyProtection="1">
      <alignment horizontal="left" vertical="center" wrapText="1"/>
      <protection locked="0"/>
    </xf>
    <xf numFmtId="0" fontId="20" fillId="0" borderId="1" xfId="0" applyFont="1" applyBorder="1" applyAlignment="1">
      <alignment horizontal="center" vertical="center"/>
    </xf>
    <xf numFmtId="4" fontId="20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3" fillId="7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23" fillId="0" borderId="2" xfId="0" applyFont="1" applyBorder="1" applyAlignment="1">
      <alignment horizontal="left" vertical="center" wrapText="1" readingOrder="1"/>
    </xf>
    <xf numFmtId="0" fontId="6" fillId="8" borderId="2" xfId="0" applyFont="1" applyFill="1" applyBorder="1" applyAlignment="1">
      <alignment horizontal="left" vertical="center"/>
    </xf>
    <xf numFmtId="0" fontId="21" fillId="5" borderId="2" xfId="5" applyFont="1" applyFill="1" applyBorder="1" applyAlignment="1" applyProtection="1">
      <alignment horizontal="center"/>
      <protection locked="0"/>
    </xf>
    <xf numFmtId="0" fontId="24" fillId="0" borderId="2" xfId="0" applyFont="1" applyBorder="1" applyAlignment="1">
      <alignment horizontal="center"/>
    </xf>
    <xf numFmtId="0" fontId="26" fillId="8" borderId="2" xfId="0" applyFont="1" applyFill="1" applyBorder="1" applyAlignment="1">
      <alignment horizontal="center" vertical="center" wrapText="1" readingOrder="1"/>
    </xf>
    <xf numFmtId="0" fontId="24" fillId="5" borderId="2" xfId="0" applyFont="1" applyFill="1" applyBorder="1" applyAlignment="1">
      <alignment horizontal="center"/>
    </xf>
    <xf numFmtId="0" fontId="23" fillId="9" borderId="2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23" fillId="5" borderId="2" xfId="0" applyFont="1" applyFill="1" applyBorder="1" applyAlignment="1">
      <alignment horizontal="left" vertical="center" wrapText="1" readingOrder="1"/>
    </xf>
    <xf numFmtId="0" fontId="16" fillId="5" borderId="2" xfId="0" applyFont="1" applyFill="1" applyBorder="1" applyAlignment="1" applyProtection="1">
      <alignment horizontal="left" vertical="center"/>
      <protection locked="0"/>
    </xf>
    <xf numFmtId="168" fontId="9" fillId="5" borderId="3" xfId="6" applyNumberFormat="1" applyFont="1" applyFill="1" applyBorder="1" applyAlignment="1">
      <alignment horizontal="left" vertical="center" wrapText="1" shrinkToFit="1"/>
    </xf>
    <xf numFmtId="0" fontId="19" fillId="5" borderId="3" xfId="0" applyFont="1" applyFill="1" applyBorder="1" applyAlignment="1">
      <alignment horizontal="left"/>
    </xf>
    <xf numFmtId="0" fontId="19" fillId="5" borderId="2" xfId="0" applyFont="1" applyFill="1" applyBorder="1" applyAlignment="1">
      <alignment horizontal="left"/>
    </xf>
    <xf numFmtId="0" fontId="9" fillId="10" borderId="2" xfId="0" applyFont="1" applyFill="1" applyBorder="1" applyAlignment="1">
      <alignment horizontal="left"/>
    </xf>
    <xf numFmtId="169" fontId="27" fillId="5" borderId="0" xfId="0" applyNumberFormat="1" applyFont="1" applyFill="1" applyAlignment="1" applyProtection="1">
      <alignment horizontal="left" vertical="center"/>
      <protection locked="0"/>
    </xf>
    <xf numFmtId="169" fontId="27" fillId="5" borderId="0" xfId="4" applyNumberFormat="1" applyFont="1" applyFill="1" applyBorder="1" applyAlignment="1" applyProtection="1">
      <alignment horizontal="left" vertical="center"/>
    </xf>
    <xf numFmtId="0" fontId="24" fillId="0" borderId="2" xfId="0" applyFont="1" applyBorder="1" applyAlignment="1">
      <alignment horizontal="left"/>
    </xf>
    <xf numFmtId="0" fontId="29" fillId="0" borderId="2" xfId="0" applyFont="1" applyBorder="1" applyAlignment="1">
      <alignment horizontal="left" vertical="center" readingOrder="1"/>
    </xf>
    <xf numFmtId="0" fontId="29" fillId="5" borderId="2" xfId="0" applyFont="1" applyFill="1" applyBorder="1" applyAlignment="1">
      <alignment horizontal="left" vertical="center"/>
    </xf>
    <xf numFmtId="0" fontId="28" fillId="5" borderId="2" xfId="5" applyFont="1" applyFill="1" applyBorder="1" applyAlignment="1">
      <alignment horizontal="center" vertical="center" readingOrder="1"/>
    </xf>
    <xf numFmtId="0" fontId="26" fillId="8" borderId="2" xfId="0" applyFont="1" applyFill="1" applyBorder="1" applyAlignment="1">
      <alignment horizontal="left" vertical="center" wrapText="1" readingOrder="1"/>
    </xf>
    <xf numFmtId="0" fontId="23" fillId="8" borderId="2" xfId="0" applyFont="1" applyFill="1" applyBorder="1" applyAlignment="1">
      <alignment horizontal="left" vertical="center" wrapText="1" readingOrder="1"/>
    </xf>
    <xf numFmtId="0" fontId="26" fillId="0" borderId="2" xfId="0" applyFont="1" applyBorder="1" applyAlignment="1">
      <alignment horizontal="left" vertical="center"/>
    </xf>
    <xf numFmtId="0" fontId="24" fillId="7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17" fillId="5" borderId="2" xfId="0" applyFont="1" applyFill="1" applyBorder="1" applyAlignment="1">
      <alignment horizontal="left" vertical="center" shrinkToFit="1"/>
    </xf>
    <xf numFmtId="0" fontId="30" fillId="5" borderId="2" xfId="0" applyFont="1" applyFill="1" applyBorder="1" applyAlignment="1">
      <alignment horizontal="left" vertical="center" readingOrder="1"/>
    </xf>
    <xf numFmtId="0" fontId="24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8" fillId="5" borderId="2" xfId="5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>
      <alignment horizontal="left"/>
    </xf>
    <xf numFmtId="0" fontId="9" fillId="5" borderId="2" xfId="0" applyFont="1" applyFill="1" applyBorder="1" applyAlignment="1">
      <alignment horizontal="left" vertical="center" wrapText="1"/>
    </xf>
    <xf numFmtId="164" fontId="33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31" fillId="6" borderId="2" xfId="1" applyNumberFormat="1" applyFont="1" applyFill="1" applyBorder="1" applyAlignment="1" applyProtection="1">
      <alignment horizontal="center" vertical="center" wrapText="1"/>
      <protection locked="0"/>
    </xf>
    <xf numFmtId="164" fontId="34" fillId="6" borderId="2" xfId="0" applyNumberFormat="1" applyFont="1" applyFill="1" applyBorder="1"/>
    <xf numFmtId="164" fontId="31" fillId="4" borderId="2" xfId="1" applyNumberFormat="1" applyFont="1" applyFill="1" applyBorder="1" applyAlignment="1" applyProtection="1">
      <alignment horizontal="center" vertical="center" wrapText="1"/>
      <protection locked="0"/>
    </xf>
    <xf numFmtId="165" fontId="31" fillId="4" borderId="3" xfId="0" applyNumberFormat="1" applyFont="1" applyFill="1" applyBorder="1" applyAlignment="1" applyProtection="1">
      <alignment horizontal="left" vertical="center" wrapText="1"/>
      <protection locked="0"/>
    </xf>
    <xf numFmtId="169" fontId="31" fillId="4" borderId="2" xfId="0" applyNumberFormat="1" applyFont="1" applyFill="1" applyBorder="1" applyAlignment="1">
      <alignment horizontal="left" vertical="center" wrapText="1"/>
    </xf>
    <xf numFmtId="0" fontId="8" fillId="5" borderId="2" xfId="5" applyFill="1" applyBorder="1" applyAlignment="1">
      <alignment horizontal="center"/>
    </xf>
    <xf numFmtId="0" fontId="29" fillId="5" borderId="2" xfId="0" applyFont="1" applyFill="1" applyBorder="1" applyAlignment="1">
      <alignment horizontal="left" vertical="center" wrapText="1" readingOrder="1"/>
    </xf>
    <xf numFmtId="0" fontId="8" fillId="9" borderId="2" xfId="5" applyFill="1" applyBorder="1" applyAlignment="1">
      <alignment horizontal="center"/>
    </xf>
    <xf numFmtId="0" fontId="32" fillId="7" borderId="2" xfId="0" applyFont="1" applyFill="1" applyBorder="1" applyAlignment="1">
      <alignment horizontal="center"/>
    </xf>
    <xf numFmtId="0" fontId="8" fillId="0" borderId="2" xfId="5" applyBorder="1" applyAlignment="1">
      <alignment horizontal="center"/>
    </xf>
    <xf numFmtId="0" fontId="23" fillId="0" borderId="2" xfId="0" applyFont="1" applyBorder="1" applyAlignment="1">
      <alignment horizontal="left"/>
    </xf>
    <xf numFmtId="0" fontId="8" fillId="5" borderId="2" xfId="5" applyFill="1" applyBorder="1" applyAlignment="1" applyProtection="1">
      <alignment horizontal="left"/>
      <protection locked="0"/>
    </xf>
    <xf numFmtId="3" fontId="12" fillId="4" borderId="10" xfId="1" applyNumberFormat="1" applyFont="1" applyFill="1" applyBorder="1" applyAlignment="1" applyProtection="1">
      <alignment horizontal="center" vertical="center" wrapText="1"/>
      <protection locked="0"/>
    </xf>
    <xf numFmtId="0" fontId="12" fillId="4" borderId="5" xfId="1" applyFont="1" applyFill="1" applyBorder="1" applyAlignment="1" applyProtection="1">
      <alignment horizontal="center" vertical="center" wrapText="1"/>
      <protection locked="0"/>
    </xf>
    <xf numFmtId="3" fontId="16" fillId="0" borderId="10" xfId="4" applyNumberFormat="1" applyFont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168" fontId="35" fillId="5" borderId="0" xfId="0" applyNumberFormat="1" applyFont="1" applyFill="1" applyAlignment="1">
      <alignment horizontal="left" vertical="center"/>
    </xf>
    <xf numFmtId="0" fontId="35" fillId="5" borderId="0" xfId="0" applyFont="1" applyFill="1"/>
    <xf numFmtId="165" fontId="35" fillId="5" borderId="0" xfId="6" applyNumberFormat="1" applyFont="1" applyFill="1" applyBorder="1" applyAlignment="1">
      <alignment horizontal="left" vertical="center" wrapText="1" shrinkToFit="1"/>
    </xf>
    <xf numFmtId="165" fontId="35" fillId="5" borderId="4" xfId="0" applyNumberFormat="1" applyFont="1" applyFill="1" applyBorder="1" applyAlignment="1" applyProtection="1">
      <alignment horizontal="left" vertical="center"/>
      <protection locked="0"/>
    </xf>
    <xf numFmtId="169" fontId="35" fillId="5" borderId="0" xfId="0" applyNumberFormat="1" applyFont="1" applyFill="1" applyAlignment="1" applyProtection="1">
      <alignment horizontal="left" vertical="center"/>
      <protection locked="0"/>
    </xf>
    <xf numFmtId="165" fontId="35" fillId="5" borderId="5" xfId="4" applyNumberFormat="1" applyFont="1" applyFill="1" applyBorder="1" applyAlignment="1" applyProtection="1">
      <alignment horizontal="left" vertical="center"/>
    </xf>
    <xf numFmtId="169" fontId="35" fillId="5" borderId="0" xfId="4" applyNumberFormat="1" applyFont="1" applyFill="1" applyBorder="1" applyAlignment="1" applyProtection="1">
      <alignment horizontal="left" vertical="center"/>
    </xf>
    <xf numFmtId="168" fontId="35" fillId="5" borderId="0" xfId="6" applyNumberFormat="1" applyFont="1" applyFill="1" applyBorder="1" applyAlignment="1">
      <alignment horizontal="left" vertical="center" wrapText="1" shrinkToFit="1"/>
    </xf>
    <xf numFmtId="168" fontId="37" fillId="5" borderId="0" xfId="0" applyNumberFormat="1" applyFont="1" applyFill="1" applyAlignment="1">
      <alignment horizontal="left" vertical="center" wrapText="1" shrinkToFit="1"/>
    </xf>
    <xf numFmtId="165" fontId="35" fillId="5" borderId="6" xfId="0" applyNumberFormat="1" applyFont="1" applyFill="1" applyBorder="1" applyAlignment="1">
      <alignment horizontal="left" vertical="center"/>
    </xf>
    <xf numFmtId="0" fontId="9" fillId="5" borderId="0" xfId="0" applyFont="1" applyFill="1" applyAlignment="1">
      <alignment vertical="center"/>
    </xf>
    <xf numFmtId="0" fontId="38" fillId="5" borderId="0" xfId="0" applyFont="1" applyFill="1" applyAlignment="1">
      <alignment horizontal="center" vertical="center"/>
    </xf>
    <xf numFmtId="0" fontId="38" fillId="5" borderId="0" xfId="0" applyFont="1" applyFill="1" applyAlignment="1">
      <alignment vertical="center"/>
    </xf>
    <xf numFmtId="0" fontId="39" fillId="4" borderId="2" xfId="1" applyFont="1" applyFill="1" applyBorder="1" applyAlignment="1" applyProtection="1">
      <alignment horizontal="center" vertical="center" wrapText="1"/>
      <protection locked="0"/>
    </xf>
    <xf numFmtId="0" fontId="8" fillId="0" borderId="2" xfId="5" applyBorder="1" applyAlignment="1">
      <alignment horizontal="left" vertical="center"/>
    </xf>
    <xf numFmtId="0" fontId="39" fillId="4" borderId="2" xfId="0" applyFont="1" applyFill="1" applyBorder="1" applyAlignment="1">
      <alignment horizontal="left" vertical="center"/>
    </xf>
    <xf numFmtId="0" fontId="40" fillId="0" borderId="2" xfId="5" applyFont="1" applyBorder="1" applyAlignment="1">
      <alignment vertical="center"/>
    </xf>
    <xf numFmtId="0" fontId="36" fillId="4" borderId="15" xfId="0" applyFont="1" applyFill="1" applyBorder="1" applyAlignment="1" applyProtection="1">
      <alignment horizontal="left" vertical="center" wrapText="1"/>
      <protection locked="0"/>
    </xf>
    <xf numFmtId="0" fontId="36" fillId="4" borderId="10" xfId="0" applyFont="1" applyFill="1" applyBorder="1" applyAlignment="1" applyProtection="1">
      <alignment horizontal="left" vertical="center" wrapText="1"/>
      <protection locked="0"/>
    </xf>
    <xf numFmtId="165" fontId="35" fillId="5" borderId="5" xfId="0" applyNumberFormat="1" applyFont="1" applyFill="1" applyBorder="1" applyAlignment="1" applyProtection="1">
      <alignment horizontal="left" vertical="center"/>
      <protection locked="0"/>
    </xf>
    <xf numFmtId="0" fontId="36" fillId="4" borderId="10" xfId="0" applyFont="1" applyFill="1" applyBorder="1" applyAlignment="1" applyProtection="1">
      <alignment horizontal="left" vertical="center"/>
      <protection locked="0"/>
    </xf>
    <xf numFmtId="0" fontId="36" fillId="4" borderId="16" xfId="0" applyFont="1" applyFill="1" applyBorder="1" applyAlignment="1">
      <alignment horizontal="left" vertical="center" wrapText="1"/>
    </xf>
    <xf numFmtId="3" fontId="35" fillId="5" borderId="0" xfId="0" applyNumberFormat="1" applyFont="1" applyFill="1"/>
    <xf numFmtId="0" fontId="12" fillId="4" borderId="10" xfId="1" applyFont="1" applyFill="1" applyBorder="1" applyAlignment="1" applyProtection="1">
      <alignment horizontal="center" vertical="center" wrapText="1"/>
      <protection locked="0"/>
    </xf>
    <xf numFmtId="0" fontId="12" fillId="4" borderId="18" xfId="1" applyFont="1" applyFill="1" applyBorder="1" applyAlignment="1" applyProtection="1">
      <alignment horizontal="center" vertical="center" wrapText="1"/>
      <protection locked="0"/>
    </xf>
    <xf numFmtId="4" fontId="17" fillId="5" borderId="18" xfId="0" applyNumberFormat="1" applyFont="1" applyFill="1" applyBorder="1" applyAlignment="1">
      <alignment horizontal="left"/>
    </xf>
    <xf numFmtId="0" fontId="16" fillId="5" borderId="18" xfId="0" applyFont="1" applyFill="1" applyBorder="1" applyAlignment="1" applyProtection="1">
      <alignment horizontal="left"/>
      <protection locked="0"/>
    </xf>
    <xf numFmtId="164" fontId="12" fillId="4" borderId="18" xfId="1" applyNumberFormat="1" applyFont="1" applyFill="1" applyBorder="1" applyAlignment="1" applyProtection="1">
      <alignment horizontal="center" vertical="center" wrapText="1"/>
      <protection locked="0"/>
    </xf>
    <xf numFmtId="4" fontId="16" fillId="0" borderId="5" xfId="4" applyNumberFormat="1" applyFont="1" applyBorder="1" applyAlignment="1">
      <alignment horizontal="center" vertical="center"/>
    </xf>
    <xf numFmtId="3" fontId="12" fillId="4" borderId="15" xfId="1" applyNumberFormat="1" applyFont="1" applyFill="1" applyBorder="1" applyAlignment="1" applyProtection="1">
      <alignment horizontal="center" vertical="center" wrapText="1"/>
      <protection locked="0"/>
    </xf>
    <xf numFmtId="3" fontId="16" fillId="0" borderId="17" xfId="4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3" fontId="12" fillId="4" borderId="21" xfId="4" applyNumberFormat="1" applyFont="1" applyFill="1" applyBorder="1" applyAlignment="1">
      <alignment horizontal="center" vertical="center"/>
    </xf>
    <xf numFmtId="3" fontId="12" fillId="4" borderId="22" xfId="4" applyNumberFormat="1" applyFont="1" applyFill="1" applyBorder="1" applyAlignment="1">
      <alignment horizontal="center" vertical="center"/>
    </xf>
    <xf numFmtId="4" fontId="12" fillId="4" borderId="4" xfId="1" applyNumberFormat="1" applyFont="1" applyFill="1" applyBorder="1" applyAlignment="1" applyProtection="1">
      <alignment horizontal="center" vertical="center" wrapText="1"/>
      <protection locked="0"/>
    </xf>
    <xf numFmtId="3" fontId="16" fillId="0" borderId="16" xfId="4" applyNumberFormat="1" applyFont="1" applyBorder="1" applyAlignment="1">
      <alignment horizontal="center" vertical="center"/>
    </xf>
    <xf numFmtId="4" fontId="16" fillId="0" borderId="6" xfId="4" applyNumberFormat="1" applyFont="1" applyBorder="1" applyAlignment="1">
      <alignment horizontal="center" vertical="center"/>
    </xf>
    <xf numFmtId="0" fontId="12" fillId="4" borderId="23" xfId="1" applyFont="1" applyFill="1" applyBorder="1" applyAlignment="1" applyProtection="1">
      <alignment horizontal="center" vertical="center" wrapText="1"/>
      <protection locked="0"/>
    </xf>
    <xf numFmtId="3" fontId="16" fillId="0" borderId="24" xfId="4" applyNumberFormat="1" applyFont="1" applyBorder="1" applyAlignment="1">
      <alignment horizontal="center" vertical="center"/>
    </xf>
    <xf numFmtId="3" fontId="16" fillId="0" borderId="25" xfId="4" applyNumberFormat="1" applyFont="1" applyBorder="1" applyAlignment="1">
      <alignment horizontal="center" vertical="center"/>
    </xf>
    <xf numFmtId="3" fontId="16" fillId="0" borderId="26" xfId="4" applyNumberFormat="1" applyFont="1" applyBorder="1" applyAlignment="1">
      <alignment horizontal="center" vertical="center"/>
    </xf>
    <xf numFmtId="4" fontId="16" fillId="0" borderId="20" xfId="4" applyNumberFormat="1" applyFont="1" applyBorder="1" applyAlignment="1">
      <alignment horizontal="center" vertical="center"/>
    </xf>
    <xf numFmtId="3" fontId="12" fillId="4" borderId="27" xfId="4" applyNumberFormat="1" applyFont="1" applyFill="1" applyBorder="1" applyAlignment="1">
      <alignment horizontal="center" vertical="center"/>
    </xf>
    <xf numFmtId="1" fontId="36" fillId="4" borderId="28" xfId="1" applyNumberFormat="1" applyFont="1" applyFill="1" applyBorder="1" applyAlignment="1" applyProtection="1">
      <alignment horizontal="right" vertical="center" wrapText="1"/>
      <protection locked="0"/>
    </xf>
    <xf numFmtId="3" fontId="12" fillId="4" borderId="14" xfId="4" applyNumberFormat="1" applyFont="1" applyFill="1" applyBorder="1" applyAlignment="1">
      <alignment horizontal="center" vertical="center"/>
    </xf>
    <xf numFmtId="164" fontId="31" fillId="4" borderId="18" xfId="1" applyNumberFormat="1" applyFont="1" applyFill="1" applyBorder="1" applyAlignment="1" applyProtection="1">
      <alignment horizontal="center" vertical="center" wrapText="1"/>
      <protection locked="0"/>
    </xf>
    <xf numFmtId="4" fontId="12" fillId="4" borderId="5" xfId="1" applyNumberFormat="1" applyFont="1" applyFill="1" applyBorder="1" applyAlignment="1" applyProtection="1">
      <alignment horizontal="center" vertical="center" wrapText="1"/>
      <protection locked="0"/>
    </xf>
    <xf numFmtId="0" fontId="12" fillId="4" borderId="29" xfId="1" applyFont="1" applyFill="1" applyBorder="1" applyAlignment="1" applyProtection="1">
      <alignment horizontal="center" vertical="center" wrapText="1"/>
      <protection locked="0"/>
    </xf>
    <xf numFmtId="3" fontId="16" fillId="0" borderId="30" xfId="4" applyNumberFormat="1" applyFont="1" applyBorder="1" applyAlignment="1">
      <alignment horizontal="center" vertical="center"/>
    </xf>
    <xf numFmtId="3" fontId="16" fillId="0" borderId="31" xfId="4" applyNumberFormat="1" applyFont="1" applyBorder="1" applyAlignment="1">
      <alignment horizontal="center" vertical="center"/>
    </xf>
    <xf numFmtId="164" fontId="31" fillId="4" borderId="28" xfId="1" applyNumberFormat="1" applyFont="1" applyFill="1" applyBorder="1" applyAlignment="1" applyProtection="1">
      <alignment horizontal="center" vertical="center" wrapText="1"/>
      <protection locked="0"/>
    </xf>
    <xf numFmtId="164" fontId="31" fillId="4" borderId="19" xfId="1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5" applyFill="1" applyAlignment="1">
      <alignment horizontal="center" vertical="center"/>
    </xf>
    <xf numFmtId="0" fontId="8" fillId="5" borderId="7" xfId="5" applyFill="1" applyBorder="1" applyAlignment="1" applyProtection="1">
      <alignment horizontal="center" vertical="center"/>
      <protection locked="0"/>
    </xf>
    <xf numFmtId="0" fontId="8" fillId="5" borderId="8" xfId="5" applyFill="1" applyBorder="1" applyAlignment="1" applyProtection="1">
      <alignment horizontal="center" vertical="center"/>
      <protection locked="0"/>
    </xf>
    <xf numFmtId="0" fontId="8" fillId="5" borderId="9" xfId="5" applyFill="1" applyBorder="1" applyAlignment="1" applyProtection="1">
      <alignment horizontal="center" vertical="center"/>
      <protection locked="0"/>
    </xf>
    <xf numFmtId="0" fontId="35" fillId="5" borderId="13" xfId="0" applyFont="1" applyFill="1" applyBorder="1" applyAlignment="1">
      <alignment horizontal="center"/>
    </xf>
    <xf numFmtId="0" fontId="35" fillId="5" borderId="14" xfId="0" applyFont="1" applyFill="1" applyBorder="1" applyAlignment="1">
      <alignment horizont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15">
    <cellStyle name="Акцент1" xfId="1" builtinId="29"/>
    <cellStyle name="Гиперссылка" xfId="5" builtinId="8"/>
    <cellStyle name="Гиперссылка 3" xfId="2" xr:uid="{00000000-0005-0000-0000-000001000000}"/>
    <cellStyle name="Гиперссылка 4" xfId="3" xr:uid="{00000000-0005-0000-0000-000002000000}"/>
    <cellStyle name="Обычный" xfId="0" builtinId="0"/>
    <cellStyle name="Обычный 2 2 3" xfId="9" xr:uid="{E1DEF377-7315-46CF-8962-24F07ABFDAEC}"/>
    <cellStyle name="Обычный 2 3" xfId="7" xr:uid="{F9C41704-2A24-2043-A3B7-D21FEA01350C}"/>
    <cellStyle name="Обычный 2 3 3 2" xfId="14" xr:uid="{BB8737BE-BF87-440B-937B-BB4F3D8D04FD}"/>
    <cellStyle name="Финансовый" xfId="4" builtinId="3"/>
    <cellStyle name="Финансовый [0]" xfId="6" builtinId="6"/>
    <cellStyle name="Финансовый [0] 2" xfId="12" xr:uid="{6CE0ACB5-E58D-4F89-9F18-F5C4EA1EFFB2}"/>
    <cellStyle name="Финансовый [0] 2 2" xfId="8" xr:uid="{04CF16CA-716A-6A4F-BD7B-A94FE61C56CE}"/>
    <cellStyle name="Финансовый 2" xfId="11" xr:uid="{C940898F-29DE-425F-A0F6-2578A3960B5D}"/>
    <cellStyle name="Финансовый 3" xfId="10" xr:uid="{2E8A4547-3751-4C0E-8279-23768C66C0BE}"/>
    <cellStyle name="Финансовый 4" xfId="13" xr:uid="{60001DD0-A880-4E57-B034-8820BC90B5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FP-Lease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GRP_V1_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GINI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526_Enterprise%203.%20Flight%20Mediakostenplan_Vodafo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624_Enterprise%203.%20Flight%20Mediakostenplan_Vodafon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r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OT97QUA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to%20Economic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TV%2021Gen-3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5CED3DD/&#1055;&#1080;&#1090;&#1077;&#1088;_&#1069;&#1089;&#1087;&#1072;&#1088;2_30-05_07_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S%20Hachett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ano%20excel%20BLU%2022.5%20SP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Inserenten_Plan1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nkelgroup.sharepoint.com/Temp/C.Daten.NotesR5/Reachtables%2004_01_1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TTA%20piano2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EON_Plan7_nc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unter%20(4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anislav/Desktop/&#1052;&#1055;/&#1052;&#1055;%202019/&#1053;&#1072;&#1088;&#1075;&#1080;&#1079;&#1072;%20&#1058;&#1042;%20&#1051;&#1072;&#1081;&#1085;/Clients/2003/Epson/PhotoPrinters/Map_May_94_FSU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NEON_Plan1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UB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92.168.0.98/Artur/Disk%20D/&#1057;&#1095;&#1080;&#1090;&#1072;&#1083;&#1082;&#1080;/2019/&#1064;&#1072;&#1073;&#1083;&#1086;&#1085;&#1099;%20&#1057;&#1090;&#1072;&#1089;&#1072;/&#1044;&#1077;&#1090;&#1072;&#1083;&#1080;&#1079;&#1072;&#1094;&#1080;&#1103;%20&#1070;&#1083;&#1072;&#1081;&#1079;&#1077;&#1088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S%20Radio%20Planungsprogram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4/CIS/BORJOMI/PITCHES%202014/Baltics/buying%20templates/audit%20archiveUsers/DKuraev/Library/Caches/TemporaryItems/Outlook%20Temp/chart4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1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BRZ_Plan3_06020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Kostenplan%20Funk_0702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hicles"/>
      <sheetName val="Print"/>
      <sheetName val="Instructions"/>
      <sheetName val="Main"/>
      <sheetName val="Sheet1"/>
      <sheetName val="BE"/>
      <sheetName val="CH"/>
      <sheetName val="DE"/>
      <sheetName val="DK"/>
      <sheetName val="ES"/>
      <sheetName val="FI"/>
      <sheetName val="FR"/>
      <sheetName val="IT"/>
      <sheetName val="NL"/>
      <sheetName val="NO"/>
      <sheetName val="PL"/>
      <sheetName val="SE"/>
      <sheetName val="UK"/>
      <sheetName val="계열사현황종합"/>
      <sheetName val="TV spot_supplier"/>
      <sheetName val="Print-forms"/>
      <sheetName val="Outdoor St-Peter June"/>
      <sheetName val="TVP 2009"/>
      <sheetName val="Estimate"/>
      <sheetName val="XLRpt_TempSheet"/>
      <sheetName val="외주현황.wq1"/>
      <sheetName val="show of spot"/>
      <sheetName val="Outdoor_St-Peter_June"/>
      <sheetName val="TV_spot_supplier"/>
      <sheetName val="TVP_2009"/>
      <sheetName val="MP"/>
      <sheetName val="ORT"/>
      <sheetName val="XLR_NoRangeSheet"/>
      <sheetName val="FX Rates"/>
      <sheetName val="2.대외공문"/>
      <sheetName val="CAMPAIGN AVERAGE F"/>
      <sheetName val="Расчет"/>
      <sheetName val="Spend by Market"/>
      <sheetName val="Sheet2"/>
      <sheetName val="DATA"/>
      <sheetName val="Outdoor_St-Peter_June1"/>
      <sheetName val="isla97"/>
      <sheetName val="ISLA98"/>
      <sheetName val="poralcon97"/>
      <sheetName val="PORT98HALC"/>
      <sheetName val="port97 p.atra"/>
      <sheetName val="PORT98ATRA"/>
      <sheetName val="Non Analysed Definitions"/>
      <sheetName val="Overview 2013"/>
      <sheetName val="Look up info"/>
      <sheetName val="TV_spot_supplier1"/>
      <sheetName val="외주현황_wq1"/>
      <sheetName val="2_대외공문"/>
      <sheetName val="TVP_20091"/>
      <sheetName val="show_of_spot"/>
      <sheetName val="FX_Rates"/>
      <sheetName val="port97_p_atra"/>
      <sheetName val="FX-Rate"/>
      <sheetName val="OWNPROD EST"/>
      <sheetName val="OWNPROD LIT"/>
      <sheetName val="CAMPAIGN_AVERAGE_F"/>
      <sheetName val="Spend_by_Market"/>
      <sheetName val="Carat - Retourpercentages"/>
      <sheetName val="EXPRES BUSINESS"/>
      <sheetName val="Indices"/>
      <sheetName val="생산"/>
      <sheetName val="Fa_man_-_real"/>
      <sheetName val="Рег__ТВ_(+)"/>
      <sheetName val="Расчет_по_Регионам"/>
      <sheetName val="Главный"/>
      <sheetName val="CTC"/>
      <sheetName val="Владивосток_ОРТ_(наш)1"/>
      <sheetName val="Прайс"/>
      <sheetName val="NTV"/>
      <sheetName val="Брянск"/>
      <sheetName val="RenTV"/>
      <sheetName val="Сезонка"/>
      <sheetName val="basic_data"/>
      <sheetName val="RTR"/>
      <sheetName val="Macro1"/>
      <sheetName val="G2TempSheet"/>
      <sheetName val="TV6"/>
      <sheetName val="Тариф_авт_"/>
      <sheetName val="Альметьевск"/>
      <sheetName val="ЦЕНЫ"/>
      <sheetName val="МАКРОС1"/>
      <sheetName val="МОДЕЛИ_ТС"/>
      <sheetName val="Тариф_трамвай"/>
      <sheetName val="Тариф_троллебусов"/>
      <sheetName val="Market Data"/>
      <sheetName val="Team Structure"/>
      <sheetName val="Base"/>
      <sheetName val="Commitments"/>
      <sheetName val="Budget"/>
      <sheetName val="Dictionnary"/>
      <sheetName val="TechSpecs"/>
      <sheetName val="Outdoor_St-Peter_June2"/>
      <sheetName val="TV_spot_supplier2"/>
      <sheetName val="TVP_20092"/>
      <sheetName val="외주현황_wq11"/>
      <sheetName val="show_of_spot1"/>
      <sheetName val="FX_Rates1"/>
      <sheetName val="2_대외공문1"/>
      <sheetName val="CAMPAIGN_AVERAGE_F1"/>
      <sheetName val="Spend_by_Market1"/>
      <sheetName val="Non_Analysed_Definitions"/>
      <sheetName val="OWNPROD_EST"/>
      <sheetName val="OWNPROD_LIT"/>
      <sheetName val="Overview_2013"/>
      <sheetName val="Adserving Definitions"/>
      <sheetName val="definitions"/>
      <sheetName val="List"/>
      <sheetName val="Brazil"/>
      <sheetName val="Category List"/>
      <sheetName val="July Master Pivot Data"/>
      <sheetName val="Basis_Master"/>
      <sheetName val="Lists"/>
      <sheetName val="segédtábla"/>
      <sheetName val="Aging Analysis"/>
      <sheetName val="Data Validation"/>
      <sheetName val="Списки"/>
      <sheetName val="Tables"/>
      <sheetName val="Drop down calculation"/>
      <sheetName val="Altro"/>
      <sheetName val="Tabelle2"/>
      <sheetName val="Print list"/>
      <sheetName val="OOH list"/>
      <sheetName val="Digital list"/>
      <sheetName val="BACK"/>
      <sheetName val="Back Print"/>
      <sheetName val="Desplegables"/>
      <sheetName val="Digital Site Categories"/>
      <sheetName val="Reference Picklist"/>
      <sheetName val="Look_up_info"/>
      <sheetName val="audiencias"/>
      <sheetName val="Media Job Descriptions"/>
      <sheetName val="1d - US Hourly staff benchmark"/>
      <sheetName val="PlatformLists"/>
      <sheetName val="port97_p_atra1"/>
      <sheetName val="Outdoor_St-Peter_June3"/>
      <sheetName val="Carat_-_Retourpercentages"/>
      <sheetName val="EXPRES_BUSINESS"/>
      <sheetName val="Market_Data"/>
      <sheetName val="Team_Structure"/>
      <sheetName val="TV_spot_supplier3"/>
      <sheetName val="외주현황_wq12"/>
      <sheetName val="2_대외공문2"/>
      <sheetName val="TVP_20093"/>
      <sheetName val="show_of_spot2"/>
      <sheetName val="FX_Rates2"/>
      <sheetName val="Spend_by_Market2"/>
      <sheetName val="CAMPAIGN_AVERAGE_F2"/>
      <sheetName val="Non_Analysed_Definitions1"/>
      <sheetName val="Overview_20131"/>
      <sheetName val="OWNPROD_EST1"/>
      <sheetName val="OWNPROD_LIT1"/>
      <sheetName val="Adserving_Definitions"/>
      <sheetName val="Category_List"/>
      <sheetName val="July_Master_Pivot_Data"/>
      <sheetName val="Drop_down_calculation"/>
      <sheetName val="Data_Validation"/>
      <sheetName val="Print_list"/>
      <sheetName val="OOH_list"/>
      <sheetName val="Digital_list"/>
      <sheetName val="Back_Print"/>
      <sheetName val="Digital_Site_Categories"/>
      <sheetName val="Channel List"/>
      <sheetName val="x"/>
      <sheetName val="Buying Model "/>
      <sheetName val="Лист1"/>
      <sheetName val="RFP-Leaseplan"/>
      <sheetName val="Drop Downs"/>
      <sheetName val="Tendine"/>
      <sheetName val="Team Cost"/>
      <sheetName val="Dictionary"/>
      <sheetName val="port97_p_atra2"/>
      <sheetName val="Outdoor_St-Peter_June4"/>
      <sheetName val="Print list "/>
      <sheetName val="JOHN "/>
      <sheetName val="Key Figures YTD"/>
      <sheetName val="Vallas."/>
      <sheetName val="Auxiliar"/>
      <sheetName val="alapok"/>
      <sheetName val="FINAL"/>
      <sheetName val="Лист4"/>
      <sheetName val="TV_spot_supplier5"/>
      <sheetName val="Outdoor_St-Peter_June5"/>
      <sheetName val="TVP_20095"/>
      <sheetName val="외주현황_wq14"/>
      <sheetName val="show_of_spot4"/>
      <sheetName val="FX_Rates4"/>
      <sheetName val="Spend_by_Market4"/>
      <sheetName val="2_대외공문4"/>
      <sheetName val="CAMPAIGN_AVERAGE_F4"/>
      <sheetName val="port97_p_atra3"/>
      <sheetName val="Non_Analysed_Definitions3"/>
      <sheetName val="Overview_20133"/>
      <sheetName val="Look_up_info2"/>
      <sheetName val="OWNPROD_EST3"/>
      <sheetName val="OWNPROD_LIT3"/>
      <sheetName val="Carat_-_Retourpercentages2"/>
      <sheetName val="EXPRES_BUSINESS2"/>
      <sheetName val="Market_Data2"/>
      <sheetName val="Team_Structure2"/>
      <sheetName val="Adserving_Definitions2"/>
      <sheetName val="Category_List2"/>
      <sheetName val="July_Master_Pivot_Data2"/>
      <sheetName val="Data_Validation2"/>
      <sheetName val="Drop_down_calculation2"/>
      <sheetName val="Print_list2"/>
      <sheetName val="OOH_list2"/>
      <sheetName val="Digital_list2"/>
      <sheetName val="Back_Print2"/>
      <sheetName val="Digital_Site_Categories2"/>
      <sheetName val="TV_spot_supplier4"/>
      <sheetName val="TVP_20094"/>
      <sheetName val="외주현황_wq13"/>
      <sheetName val="show_of_spot3"/>
      <sheetName val="FX_Rates3"/>
      <sheetName val="Spend_by_Market3"/>
      <sheetName val="2_대외공문3"/>
      <sheetName val="CAMPAIGN_AVERAGE_F3"/>
      <sheetName val="Non_Analysed_Definitions2"/>
      <sheetName val="Overview_20132"/>
      <sheetName val="Look_up_info1"/>
      <sheetName val="OWNPROD_EST2"/>
      <sheetName val="OWNPROD_LIT2"/>
      <sheetName val="Carat_-_Retourpercentages1"/>
      <sheetName val="EXPRES_BUSINESS1"/>
      <sheetName val="Market_Data1"/>
      <sheetName val="Team_Structure1"/>
      <sheetName val="Adserving_Definitions1"/>
      <sheetName val="Category_List1"/>
      <sheetName val="July_Master_Pivot_Data1"/>
      <sheetName val="Data_Validation1"/>
      <sheetName val="Drop_down_calculation1"/>
      <sheetName val="Print_list1"/>
      <sheetName val="OOH_list1"/>
      <sheetName val="Digital_list1"/>
      <sheetName val="Back_Print1"/>
      <sheetName val="Digital_Site_Categories1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Aging_Analysis"/>
      <sheetName val="Reference_Picklist"/>
      <sheetName val="1d_-_US_Hourly_staff_benchmark"/>
      <sheetName val="Media_Job_Descriptions"/>
      <sheetName val="Drop_Downs"/>
      <sheetName val="Buying_Model_"/>
      <sheetName val="Team_Cost"/>
      <sheetName val="Print_list_"/>
      <sheetName val="Channel_List"/>
      <sheetName val="JOHN_"/>
      <sheetName val="Aging_Analysis1"/>
      <sheetName val="Channel_List1"/>
      <sheetName val="Arkusz1"/>
      <sheetName val="DIGITAL"/>
      <sheetName val="Dropdowns"/>
      <sheetName val="география"/>
      <sheetName val="Drop Down"/>
      <sheetName val="подрядчики"/>
      <sheetName val="площадка"/>
      <sheetName val="услуги"/>
      <sheetName val="месяц"/>
      <sheetName val="направление"/>
      <sheetName val="клиенты"/>
      <sheetName val="Brief"/>
      <sheetName val="Outdoor_St-Peter_June6"/>
      <sheetName val="port97_p_atra4"/>
      <sheetName val="Reference_Picklist1"/>
      <sheetName val="1d_-_US_Hourly_staff_benchmark1"/>
      <sheetName val="Media_Job_Descriptions1"/>
      <sheetName val="Drop_Downs1"/>
      <sheetName val="Buying_Model_1"/>
      <sheetName val="Team_Cost1"/>
      <sheetName val="Print_list_1"/>
      <sheetName val="JOHN_1"/>
      <sheetName val="Key_Figures_YTD"/>
      <sheetName val="Vallas_"/>
      <sheetName val="TV_spot_supplier6"/>
      <sheetName val="Outdoor_St-Peter_June7"/>
      <sheetName val="TVP_20096"/>
      <sheetName val="FX_Rates5"/>
      <sheetName val="외주현황_wq15"/>
      <sheetName val="show_of_spot5"/>
      <sheetName val="2_대외공문5"/>
      <sheetName val="CAMPAIGN_AVERAGE_F5"/>
      <sheetName val="Spend_by_Market5"/>
      <sheetName val="port97_p_atra5"/>
      <sheetName val="Non_Analysed_Definitions4"/>
      <sheetName val="Overview_20134"/>
      <sheetName val="Look_up_info3"/>
      <sheetName val="OWNPROD_EST4"/>
      <sheetName val="OWNPROD_LIT4"/>
      <sheetName val="Carat_-_Retourpercentages3"/>
      <sheetName val="EXPRES_BUSINESS3"/>
      <sheetName val="Adserving_Definitions3"/>
      <sheetName val="Market_Data3"/>
      <sheetName val="Team_Structure3"/>
      <sheetName val="Category_List3"/>
      <sheetName val="July_Master_Pivot_Data3"/>
      <sheetName val="Print_list3"/>
      <sheetName val="OOH_list3"/>
      <sheetName val="Digital_list3"/>
      <sheetName val="Data_Validation3"/>
      <sheetName val="Back_Print3"/>
      <sheetName val="Drop_down_calculation3"/>
      <sheetName val="Reference_Picklist2"/>
      <sheetName val="1d_-_US_Hourly_staff_benchmark2"/>
      <sheetName val="Aging_Analysis2"/>
      <sheetName val="Digital_Site_Categories3"/>
      <sheetName val="Media_Job_Descriptions2"/>
      <sheetName val="Drop_Downs2"/>
      <sheetName val="Buying_Model_2"/>
      <sheetName val="Team_Cost2"/>
      <sheetName val="Print_list_2"/>
      <sheetName val="Channel_List2"/>
      <sheetName val="JOHN_2"/>
      <sheetName val="Key_Figures_YTD1"/>
      <sheetName val="Vallas_1"/>
      <sheetName val="DropDownList"/>
      <sheetName val="AGENCY DECLARATIONS"/>
      <sheetName val="Drop Down List"/>
      <sheetName val="odaplan_report"/>
      <sheetName val="SCO3"/>
      <sheetName val="비용정리"/>
      <sheetName val="TV 30&quot; BP"/>
      <sheetName val="17.7mln вар 1"/>
      <sheetName val="INTERNET TEASER"/>
      <sheetName val="Dane"/>
      <sheetName val="weight and spots 3 opt"/>
      <sheetName val="B"/>
      <sheetName val="2"/>
      <sheetName val="SATZENBRAU"/>
      <sheetName val="GUINNESS PM"/>
      <sheetName val="GUINNESS GM"/>
      <sheetName val="MALTA"/>
      <sheetName val="larcal"/>
      <sheetName val="SetGraficos"/>
      <sheetName val="TV_spot_supplier7"/>
      <sheetName val="Outdoor_St-Peter_June8"/>
      <sheetName val="TVP_20097"/>
      <sheetName val="FX_Rates6"/>
      <sheetName val="외주현황_wq16"/>
      <sheetName val="show_of_spot6"/>
      <sheetName val="2_대외공문6"/>
      <sheetName val="CAMPAIGN_AVERAGE_F6"/>
      <sheetName val="Spend_by_Market6"/>
      <sheetName val="port97_p_atra6"/>
      <sheetName val="Non_Analysed_Definitions5"/>
      <sheetName val="Overview_20135"/>
      <sheetName val="Look_up_info4"/>
      <sheetName val="OWNPROD_EST5"/>
      <sheetName val="OWNPROD_LIT5"/>
      <sheetName val="Carat_-_Retourpercentages4"/>
      <sheetName val="EXPRES_BUSINESS4"/>
      <sheetName val="Adserving_Definitions4"/>
      <sheetName val="Market_Data4"/>
      <sheetName val="Team_Structure4"/>
      <sheetName val="Category_List4"/>
      <sheetName val="July_Master_Pivot_Data4"/>
      <sheetName val="Print_list4"/>
      <sheetName val="OOH_list4"/>
      <sheetName val="Digital_list4"/>
      <sheetName val="Data_Validation4"/>
      <sheetName val="Back_Print4"/>
      <sheetName val="Drop_down_calculation4"/>
      <sheetName val="Reference_Picklist3"/>
      <sheetName val="1d_-_US_Hourly_staff_benchmark3"/>
      <sheetName val="Aging_Analysis3"/>
      <sheetName val="Digital_Site_Categories4"/>
      <sheetName val="Media_Job_Descriptions3"/>
      <sheetName val="Drop_Downs3"/>
      <sheetName val="Buying_Model_3"/>
      <sheetName val="Team_Cost3"/>
      <sheetName val="Print_list_3"/>
      <sheetName val="Channel_List3"/>
      <sheetName val="JOHN_3"/>
      <sheetName val="Key_Figures_YTD2"/>
      <sheetName val="Vallas_2"/>
      <sheetName val="AGENCY_DECLARATIONS"/>
      <sheetName val="Drop_Down"/>
      <sheetName val="MonthYear Lookup"/>
      <sheetName val="Calendar"/>
      <sheetName val="Country"/>
      <sheetName val="Creative"/>
      <sheetName val="Product"/>
      <sheetName val="Media"/>
      <sheetName val="Mediaplan"/>
      <sheetName val="##"/>
      <sheetName val="dati"/>
      <sheetName val="Discipline - do not edit"/>
      <sheetName val="Date 5"/>
      <sheetName val="01"/>
      <sheetName val="PC"/>
      <sheetName val="Corp"/>
      <sheetName val="IW"/>
      <sheetName val="MBS"/>
      <sheetName val="MED"/>
      <sheetName val="Server"/>
      <sheetName val="Client"/>
      <sheetName val="Market information"/>
      <sheetName val="Digital Dropdowns"/>
      <sheetName val="tv"/>
      <sheetName val="Outdoor_St-Peter_June9"/>
      <sheetName val="TV_spot_supplier8"/>
      <sheetName val="TVP_20098"/>
      <sheetName val="외주현황_wq17"/>
      <sheetName val="show_of_spot7"/>
      <sheetName val="FX_Rates7"/>
      <sheetName val="2_대외공문7"/>
      <sheetName val="CAMPAIGN_AVERAGE_F7"/>
      <sheetName val="Spend_by_Market7"/>
      <sheetName val="port97_p_atra7"/>
      <sheetName val="Non_Analysed_Definitions6"/>
      <sheetName val="Overview_20136"/>
      <sheetName val="Look_up_info5"/>
      <sheetName val="OWNPROD_EST6"/>
      <sheetName val="OWNPROD_LIT6"/>
      <sheetName val="Carat_-_Retourpercentages5"/>
      <sheetName val="EXPRES_BUSINESS5"/>
      <sheetName val="Market_Data5"/>
      <sheetName val="Team_Structure5"/>
      <sheetName val="Adserving_Definitions5"/>
      <sheetName val="Category_List5"/>
      <sheetName val="July_Master_Pivot_Data5"/>
      <sheetName val="Data_Validation5"/>
      <sheetName val="Print_list5"/>
      <sheetName val="OOH_list5"/>
      <sheetName val="Drop_down_calculation5"/>
      <sheetName val="Digital_list5"/>
      <sheetName val="Back_Print5"/>
      <sheetName val="Digital_Site_Categories5"/>
      <sheetName val="Media_Job_Descriptions4"/>
      <sheetName val="Aging_Analysis4"/>
      <sheetName val="Reference_Picklist4"/>
      <sheetName val="1d_-_US_Hourly_staff_benchmark4"/>
      <sheetName val="Drop_Downs4"/>
      <sheetName val="Buying_Model_4"/>
      <sheetName val="Team_Cost4"/>
      <sheetName val="Print_list_4"/>
      <sheetName val="JOHN_4"/>
      <sheetName val="Channel_List4"/>
      <sheetName val="Key_Figures_YTD3"/>
      <sheetName val="Vallas_3"/>
      <sheetName val="AGENCY_DECLARATIONS1"/>
      <sheetName val="Drop_Down1"/>
      <sheetName val="TV_30&quot;_BP"/>
      <sheetName val="Drop_Down_List"/>
      <sheetName val="вводные_20_01"/>
      <sheetName val="Бюджет_100%_ТВ"/>
      <sheetName val="Барни_Fem25-54"/>
      <sheetName val="Oreo_THin_18-39"/>
      <sheetName val="TUC_25-44"/>
      <sheetName val="расчет_весов_2020_mdlz"/>
      <sheetName val="for_flow_2020"/>
      <sheetName val="к-нт_конверсии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INTERNET_TEASER"/>
      <sheetName val="17_7mln_вар_1"/>
      <sheetName val="GUINNESS_PM"/>
      <sheetName val="GUINNESS_GM"/>
      <sheetName val="к-нт_кон_x0000__x0000_Ԁ_x0000_瀀摎"/>
      <sheetName val="basis"/>
      <sheetName val="к-нт_кон_x0000__x0000_Ԁ_x0000_Ꮏ"/>
      <sheetName val="55% and 70%"/>
      <sheetName val="Control"/>
      <sheetName val="vendors_data"/>
      <sheetName val="vendor_calculator"/>
      <sheetName val="PQ data"/>
      <sheetName val="Data_Source"/>
      <sheetName val="weight_and_spots_3_opt"/>
      <sheetName val="Market_information"/>
      <sheetName val="all brands (all media)"/>
      <sheetName val="Жилищные (рубли, сумма)"/>
      <sheetName val="R CURVES"/>
      <sheetName val="DAILY  ACCUMULATED R AND F"/>
      <sheetName val="Input_weekly"/>
      <sheetName val="sanofi grp_2"/>
      <sheetName val="Тех_доп"/>
      <sheetName val="Assumptions"/>
      <sheetName val="к-нт_кон"/>
      <sheetName val="dimension data"/>
      <sheetName val="Расчет по Регионам"/>
      <sheetName val="Discipline_-_do_not_edit"/>
      <sheetName val="Outdoor_St-Peter_June10"/>
      <sheetName val="TV_spot_supplier9"/>
      <sheetName val="TVP_20099"/>
      <sheetName val="외주현황_wq18"/>
      <sheetName val="show_of_spot8"/>
      <sheetName val="FX_Rates8"/>
      <sheetName val="Spend_by_Market8"/>
      <sheetName val="2_대외공문8"/>
      <sheetName val="CAMPAIGN_AVERAGE_F8"/>
      <sheetName val="port97_p_atra8"/>
      <sheetName val="Non_Analysed_Definitions7"/>
      <sheetName val="Overview_20137"/>
      <sheetName val="Look_up_info6"/>
      <sheetName val="OWNPROD_EST7"/>
      <sheetName val="OWNPROD_LIT7"/>
      <sheetName val="Carat_-_Retourpercentages6"/>
      <sheetName val="EXPRES_BUSINESS6"/>
      <sheetName val="Adserving_Definitions6"/>
      <sheetName val="Market_Data6"/>
      <sheetName val="Team_Structure6"/>
      <sheetName val="Category_List6"/>
      <sheetName val="July_Master_Pivot_Data6"/>
      <sheetName val="Data_Validation6"/>
      <sheetName val="Print_list6"/>
      <sheetName val="OOH_list6"/>
      <sheetName val="Drop_down_calculation6"/>
      <sheetName val="Digital_list6"/>
      <sheetName val="Back_Print6"/>
      <sheetName val="Aging_Analysis5"/>
      <sheetName val="Reference_Picklist5"/>
      <sheetName val="Digital_Site_Categories6"/>
      <sheetName val="1d_-_US_Hourly_staff_benchmark5"/>
      <sheetName val="Media_Job_Descriptions5"/>
      <sheetName val="Drop_Downs5"/>
      <sheetName val="Buying_Model_5"/>
      <sheetName val="Team_Cost5"/>
      <sheetName val="Print_list_5"/>
      <sheetName val="Channel_List5"/>
      <sheetName val="JOHN_5"/>
      <sheetName val="Key_Figures_YTD4"/>
      <sheetName val="Vallas_4"/>
      <sheetName val="AGENCY_DECLARATIONS2"/>
      <sheetName val="Drop_Down2"/>
      <sheetName val="TV_30&quot;_BP1"/>
      <sheetName val="Drop_Down_List1"/>
      <sheetName val="вводные_20_011"/>
      <sheetName val="Бюджет_100%_ТВ1"/>
      <sheetName val="Барни_Fem25-541"/>
      <sheetName val="Oreo_THin_18-391"/>
      <sheetName val="TUC_25-441"/>
      <sheetName val="расчет_весов_2020_mdlz1"/>
      <sheetName val="for_flow_20201"/>
      <sheetName val="к-нт_конверсии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INTERNET_TEASER1"/>
      <sheetName val="17_7mln_вар_11"/>
      <sheetName val="GUINNESS_PM1"/>
      <sheetName val="GUINNESS_GM1"/>
      <sheetName val="MonthYear_Lookup"/>
      <sheetName val="Outdoor_St-Peter_June11"/>
      <sheetName val="TV_spot_supplier10"/>
      <sheetName val="TVP_200910"/>
      <sheetName val="외주현황_wq19"/>
      <sheetName val="show_of_spot9"/>
      <sheetName val="FX_Rates9"/>
      <sheetName val="Spend_by_Market9"/>
      <sheetName val="2_대외공문9"/>
      <sheetName val="CAMPAIGN_AVERAGE_F9"/>
      <sheetName val="port97_p_atra9"/>
      <sheetName val="Non_Analysed_Definitions8"/>
      <sheetName val="Overview_20138"/>
      <sheetName val="Look_up_info7"/>
      <sheetName val="OWNPROD_EST8"/>
      <sheetName val="OWNPROD_LIT8"/>
      <sheetName val="Carat_-_Retourpercentages7"/>
      <sheetName val="EXPRES_BUSINESS7"/>
      <sheetName val="Adserving_Definitions7"/>
      <sheetName val="Market_Data7"/>
      <sheetName val="Team_Structure7"/>
      <sheetName val="Category_List7"/>
      <sheetName val="July_Master_Pivot_Data7"/>
      <sheetName val="Data_Validation7"/>
      <sheetName val="Print_list7"/>
      <sheetName val="OOH_list7"/>
      <sheetName val="Drop_down_calculation7"/>
      <sheetName val="Digital_list7"/>
      <sheetName val="Back_Print7"/>
      <sheetName val="Aging_Analysis6"/>
      <sheetName val="Reference_Picklist6"/>
      <sheetName val="Digital_Site_Categories7"/>
      <sheetName val="1d_-_US_Hourly_staff_benchmark6"/>
      <sheetName val="Media_Job_Descriptions6"/>
      <sheetName val="Drop_Downs6"/>
      <sheetName val="Buying_Model_6"/>
      <sheetName val="Team_Cost6"/>
      <sheetName val="Print_list_6"/>
      <sheetName val="Channel_List6"/>
      <sheetName val="JOHN_6"/>
      <sheetName val="Key_Figures_YTD5"/>
      <sheetName val="Vallas_5"/>
      <sheetName val="AGENCY_DECLARATIONS3"/>
      <sheetName val="Drop_Down3"/>
      <sheetName val="TV_30&quot;_BP2"/>
      <sheetName val="Drop_Down_List2"/>
      <sheetName val="вводные_20_012"/>
      <sheetName val="Бюджет_100%_ТВ2"/>
      <sheetName val="Барни_Fem25-542"/>
      <sheetName val="Oreo_THin_18-392"/>
      <sheetName val="TUC_25-442"/>
      <sheetName val="расчет_весов_2020_mdlz2"/>
      <sheetName val="for_flow_20202"/>
      <sheetName val="к-нт_конверсии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INTERNET_TEASER2"/>
      <sheetName val="17_7mln_вар_12"/>
      <sheetName val="GUINNESS_PM2"/>
      <sheetName val="GUINNESS_GM2"/>
      <sheetName val="weight_and_spots_3_opt1"/>
      <sheetName val="Discipline_-_do_not_edit1"/>
      <sheetName val="MonthYear_Lookup1"/>
      <sheetName val="PROD°"/>
      <sheetName val="Ekim"/>
      <sheetName val="Glossar_Cat."/>
      <sheetName val="Staff"/>
      <sheetName val="Lookup"/>
      <sheetName val="Справочник"/>
      <sheetName val="input"/>
      <sheetName val="Summrize Detail"/>
      <sheetName val="чел европа+ от сми"/>
      <sheetName val="OnLine"/>
      <sheetName val="Work Sheet"/>
      <sheetName val="Types"/>
      <sheetName val="пермь"/>
      <sheetName val="Выпадающие значения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лит"/>
      <sheetName val="#Скидки"/>
      <sheetName val="Медиа-Заявка"/>
      <sheetName val="bac4"/>
    </sheetNames>
    <sheetDataSet>
      <sheetData sheetId="0">
        <row r="34">
          <cell r="B34" t="str">
            <v>Berlingo</v>
          </cell>
          <cell r="C34" t="str">
            <v>1,9 D - 600 kg</v>
          </cell>
          <cell r="D34" t="str">
            <v>Fourgon 600 1.9d</v>
          </cell>
          <cell r="E34" t="str">
            <v>1.9d 600DX</v>
          </cell>
          <cell r="F34" t="str">
            <v>1.9 D Cityvan</v>
          </cell>
          <cell r="G34" t="str">
            <v>Industrial Furgón 1,9D 600. Carga util 600k</v>
          </cell>
          <cell r="H34" t="str">
            <v>1.9D Van 800</v>
          </cell>
          <cell r="I34" t="str">
            <v>1.9D 600KG</v>
          </cell>
          <cell r="J34" t="str">
            <v>1.9d MUISPACE X</v>
          </cell>
          <cell r="K34" t="str">
            <v>1.9d 600DX</v>
          </cell>
          <cell r="L34" t="str">
            <v>1,9d</v>
          </cell>
          <cell r="M34" t="str">
            <v>?</v>
          </cell>
          <cell r="N34" t="str">
            <v>Skåp 1,90</v>
          </cell>
          <cell r="O34" t="str">
            <v>1.9D 600X</v>
          </cell>
        </row>
        <row r="35">
          <cell r="B35" t="str">
            <v>Doblo</v>
          </cell>
          <cell r="C35" t="str">
            <v>Cargo 1,9 D Base</v>
          </cell>
          <cell r="D35" t="str">
            <v>Cargo 1.9d</v>
          </cell>
          <cell r="E35" t="str">
            <v>Cargo 1.9D</v>
          </cell>
          <cell r="F35" t="str">
            <v>?</v>
          </cell>
          <cell r="G35" t="str">
            <v>Industrial Dobló Cargo 1,9 Base Ds</v>
          </cell>
          <cell r="H35" t="str">
            <v>?</v>
          </cell>
          <cell r="I35" t="str">
            <v>Cargo 1.9D</v>
          </cell>
          <cell r="J35" t="str">
            <v>Cargo 1.9D</v>
          </cell>
          <cell r="K35" t="str">
            <v>Cargo 1.9D</v>
          </cell>
          <cell r="L35" t="str">
            <v>Cargo 1.2 petrol</v>
          </cell>
          <cell r="M35" t="str">
            <v>?</v>
          </cell>
          <cell r="N35" t="str">
            <v>?</v>
          </cell>
          <cell r="O35" t="str">
            <v>Cargo 1.9D</v>
          </cell>
        </row>
        <row r="36">
          <cell r="B36" t="str">
            <v>Courier</v>
          </cell>
          <cell r="C36" t="str">
            <v>?</v>
          </cell>
          <cell r="D36" t="str">
            <v>Van1.8Di</v>
          </cell>
          <cell r="E36" t="str">
            <v>50 1.8TDi</v>
          </cell>
          <cell r="F36" t="str">
            <v>?</v>
          </cell>
          <cell r="G36" t="str">
            <v>Van 1,8Dsl. 2699 E/E</v>
          </cell>
          <cell r="H36" t="str">
            <v>Express 1.8dsl</v>
          </cell>
          <cell r="I36" t="str">
            <v>Courrier 1.8 TDI Driver</v>
          </cell>
          <cell r="J36" t="str">
            <v>?</v>
          </cell>
          <cell r="K36" t="str">
            <v>50 1.8TDi</v>
          </cell>
          <cell r="L36" t="str">
            <v>50 1.3 petrol</v>
          </cell>
          <cell r="M36" t="str">
            <v>?</v>
          </cell>
          <cell r="N36" t="str">
            <v>1,8 D</v>
          </cell>
          <cell r="O36" t="str">
            <v>50 1.8TD Lynx</v>
          </cell>
        </row>
        <row r="37">
          <cell r="B37" t="str">
            <v>n.a.</v>
          </cell>
          <cell r="C37" t="str">
            <v>n.a.</v>
          </cell>
          <cell r="D37" t="str">
            <v>n.a.</v>
          </cell>
          <cell r="E37" t="str">
            <v>n.a.</v>
          </cell>
          <cell r="F37" t="str">
            <v>n.a.</v>
          </cell>
          <cell r="G37" t="str">
            <v>n.a.</v>
          </cell>
          <cell r="H37" t="str">
            <v>n.a.</v>
          </cell>
          <cell r="I37" t="str">
            <v>n.a.</v>
          </cell>
          <cell r="J37" t="str">
            <v>n.a.</v>
          </cell>
          <cell r="K37" t="str">
            <v>n.a.</v>
          </cell>
          <cell r="L37" t="str">
            <v>n.a.</v>
          </cell>
          <cell r="M37" t="str">
            <v>n.a.</v>
          </cell>
          <cell r="N37" t="str">
            <v>n.a.</v>
          </cell>
          <cell r="O37" t="str">
            <v>n.a.</v>
          </cell>
        </row>
        <row r="38">
          <cell r="B38" t="str">
            <v>Partner</v>
          </cell>
          <cell r="C38" t="str">
            <v>170 C - 600 kg</v>
          </cell>
          <cell r="D38" t="str">
            <v>170C Diesel</v>
          </cell>
          <cell r="E38" t="str">
            <v>1.9d 600L</v>
          </cell>
          <cell r="F38" t="str">
            <v>1.9 D Van</v>
          </cell>
          <cell r="G38" t="str">
            <v>Furgon 1,9D 170C 3,0 M/3</v>
          </cell>
          <cell r="H38" t="str">
            <v>1.9dsl 190C Van</v>
          </cell>
          <cell r="I38" t="str">
            <v>170C1.9D 600KG Standard</v>
          </cell>
          <cell r="J38" t="str">
            <v>RANCH 1.9 D</v>
          </cell>
          <cell r="K38" t="str">
            <v>1.9d 600L</v>
          </cell>
          <cell r="L38" t="str">
            <v>1.9d 600L</v>
          </cell>
          <cell r="M38" t="str">
            <v>?</v>
          </cell>
          <cell r="N38" t="str">
            <v>190C 1,90</v>
          </cell>
          <cell r="O38" t="str">
            <v>1.9D L 600</v>
          </cell>
        </row>
        <row r="39">
          <cell r="B39" t="str">
            <v>Kangoo</v>
          </cell>
          <cell r="C39" t="str">
            <v>Express 1,9 D 55 Confort</v>
          </cell>
          <cell r="D39" t="str">
            <v>Express 1.9D</v>
          </cell>
          <cell r="E39" t="str">
            <v>655 1.9D</v>
          </cell>
          <cell r="F39" t="str">
            <v>?</v>
          </cell>
          <cell r="G39" t="str">
            <v>Express 1,9d confort</v>
          </cell>
          <cell r="H39" t="str">
            <v>RN 1.9 Express</v>
          </cell>
          <cell r="I39" t="str">
            <v>Express Confort D</v>
          </cell>
          <cell r="J39" t="str">
            <v>55 EXPRESS 1.9 D</v>
          </cell>
          <cell r="K39" t="str">
            <v>Express RN 1.9 DTI</v>
          </cell>
          <cell r="L39" t="str">
            <v>655 1.9D</v>
          </cell>
          <cell r="M39" t="str">
            <v>?</v>
          </cell>
          <cell r="N39" t="str">
            <v>Long 1,9D</v>
          </cell>
          <cell r="O39" t="str">
            <v>1.9D 655</v>
          </cell>
        </row>
        <row r="40">
          <cell r="B40" t="str">
            <v>Combo</v>
          </cell>
          <cell r="C40" t="str">
            <v>?</v>
          </cell>
          <cell r="D40" t="str">
            <v>1.7D Van</v>
          </cell>
          <cell r="E40" t="str">
            <v>1.7D Club</v>
          </cell>
          <cell r="F40" t="str">
            <v>?</v>
          </cell>
          <cell r="G40" t="str">
            <v>?</v>
          </cell>
          <cell r="H40" t="str">
            <v>?</v>
          </cell>
          <cell r="I40" t="str">
            <v>1.7D Pack</v>
          </cell>
          <cell r="J40" t="str">
            <v>1.7D</v>
          </cell>
          <cell r="K40" t="str">
            <v>X 1.7D Club</v>
          </cell>
          <cell r="L40" t="str">
            <v>1.7D Club</v>
          </cell>
          <cell r="M40" t="str">
            <v>?</v>
          </cell>
          <cell r="N40" t="str">
            <v>Skåp 1,7D</v>
          </cell>
          <cell r="O40" t="str">
            <v>1.7D Club</v>
          </cell>
        </row>
        <row r="41">
          <cell r="B41" t="str">
            <v>Caddy</v>
          </cell>
          <cell r="C41" t="str">
            <v>1,9 SDI</v>
          </cell>
          <cell r="D41" t="str">
            <v>Van 1.9SDI</v>
          </cell>
          <cell r="E41" t="str">
            <v>Van 1.9SDI</v>
          </cell>
          <cell r="F41" t="str">
            <v>?</v>
          </cell>
          <cell r="G41" t="str">
            <v>?</v>
          </cell>
          <cell r="H41" t="str">
            <v>?</v>
          </cell>
          <cell r="I41" t="str">
            <v>1.9 SDI</v>
          </cell>
          <cell r="J41" t="str">
            <v>?</v>
          </cell>
          <cell r="K41" t="str">
            <v>Van 1.9SDI</v>
          </cell>
          <cell r="L41" t="str">
            <v>Van 1.9SDI</v>
          </cell>
          <cell r="M41" t="str">
            <v>?</v>
          </cell>
          <cell r="N41" t="str">
            <v>Skåp 1,9 SDI</v>
          </cell>
          <cell r="O41" t="str">
            <v>Van 1.9 Sdi</v>
          </cell>
        </row>
        <row r="42">
          <cell r="B42" t="str">
            <v>n.a.</v>
          </cell>
          <cell r="C42" t="str">
            <v>n.a.</v>
          </cell>
          <cell r="D42" t="str">
            <v>n.a.</v>
          </cell>
          <cell r="E42" t="str">
            <v>n.a.</v>
          </cell>
          <cell r="F42" t="str">
            <v>n.a.</v>
          </cell>
          <cell r="G42" t="str">
            <v>n.a.</v>
          </cell>
          <cell r="H42" t="str">
            <v>n.a.</v>
          </cell>
          <cell r="I42" t="str">
            <v>n.a.</v>
          </cell>
          <cell r="J42" t="str">
            <v>n.a.</v>
          </cell>
          <cell r="K42" t="str">
            <v>n.a.</v>
          </cell>
          <cell r="L42" t="str">
            <v>n.a.</v>
          </cell>
          <cell r="M42" t="str">
            <v>n.a.</v>
          </cell>
          <cell r="N42" t="str">
            <v>n.a.</v>
          </cell>
          <cell r="O42" t="str">
            <v>n.a.</v>
          </cell>
        </row>
        <row r="49">
          <cell r="B49" t="str">
            <v>Jumpy</v>
          </cell>
          <cell r="C49" t="str">
            <v>1,9 D Standard</v>
          </cell>
          <cell r="D49" t="str">
            <v>Standart 1.9d</v>
          </cell>
          <cell r="E49" t="str">
            <v>(Dispatch) 1.9D Standard</v>
          </cell>
          <cell r="F49" t="str">
            <v>1.9 D</v>
          </cell>
          <cell r="G49" t="str">
            <v>Industrial Furgón 1,9D Standart</v>
          </cell>
          <cell r="H49" t="str">
            <v>1.9D SX 815 van 2000</v>
          </cell>
          <cell r="I49" t="str">
            <v>1.9D Standard</v>
          </cell>
          <cell r="J49" t="str">
            <v>furgone 2.0 HDI Comfort</v>
          </cell>
          <cell r="K49" t="str">
            <v>Bestel 1.9D Standard</v>
          </cell>
          <cell r="L49" t="str">
            <v>(Dispatch)1.9D Standard</v>
          </cell>
          <cell r="M49" t="str">
            <v>?</v>
          </cell>
          <cell r="N49" t="str">
            <v>1,9D</v>
          </cell>
          <cell r="O49" t="str">
            <v>Dispatch 1.9D</v>
          </cell>
        </row>
        <row r="50">
          <cell r="B50" t="str">
            <v>Scudo</v>
          </cell>
          <cell r="C50" t="str">
            <v>1,9 D Standard</v>
          </cell>
          <cell r="D50" t="str">
            <v>Fiat JTD EL</v>
          </cell>
          <cell r="E50" t="str">
            <v>1.9D</v>
          </cell>
          <cell r="F50" t="str">
            <v>1.9 D</v>
          </cell>
          <cell r="G50" t="str">
            <v>Fiat Furgon EL 1,9 D 69CV</v>
          </cell>
          <cell r="H50" t="str">
            <v>1.9D van 2000</v>
          </cell>
          <cell r="I50" t="str">
            <v>Eco 1.9D</v>
          </cell>
          <cell r="J50" t="str">
            <v>2.0 JTD</v>
          </cell>
          <cell r="K50" t="str">
            <v>1.9D</v>
          </cell>
          <cell r="L50" t="str">
            <v>1.9TD</v>
          </cell>
          <cell r="M50" t="str">
            <v>?</v>
          </cell>
          <cell r="N50" t="str">
            <v>2,0 JTD</v>
          </cell>
          <cell r="O50" t="str">
            <v>1.9D EL PAS</v>
          </cell>
        </row>
        <row r="51">
          <cell r="B51" t="str">
            <v>Ford</v>
          </cell>
          <cell r="C51" t="str">
            <v>300 S</v>
          </cell>
          <cell r="D51" t="str">
            <v>300 S swb</v>
          </cell>
          <cell r="E51" t="str">
            <v>300s swb m/r</v>
          </cell>
          <cell r="F51" t="str">
            <v>300 S</v>
          </cell>
          <cell r="G51" t="str">
            <v>Van FT 300S</v>
          </cell>
          <cell r="H51" t="str">
            <v>FT300 S 2.0Tdi</v>
          </cell>
          <cell r="I51" t="str">
            <v>300C TDDI</v>
          </cell>
          <cell r="J51" t="str">
            <v>CC300S 2.4 90 TD</v>
          </cell>
          <cell r="K51" t="str">
            <v>Bestel 300S 2.0TDDI 63 KW</v>
          </cell>
          <cell r="L51" t="str">
            <v>300s 2.0 TDI</v>
          </cell>
          <cell r="M51" t="str">
            <v>?</v>
          </cell>
          <cell r="N51" t="str">
            <v>300S 2,0 SWB</v>
          </cell>
          <cell r="O51" t="str">
            <v>300S SWB M/R</v>
          </cell>
        </row>
        <row r="52">
          <cell r="B52" t="str">
            <v>Vito</v>
          </cell>
          <cell r="C52" t="str">
            <v>108 CDI</v>
          </cell>
          <cell r="D52" t="str">
            <v>108 CDI</v>
          </cell>
          <cell r="E52" t="str">
            <v>108 CDI</v>
          </cell>
          <cell r="F52" t="str">
            <v>108 CDI</v>
          </cell>
          <cell r="G52" t="str">
            <v>Mercedes Furgon 108CDI</v>
          </cell>
          <cell r="H52" t="str">
            <v>108 CDI</v>
          </cell>
          <cell r="I52" t="str">
            <v>108 CDI</v>
          </cell>
          <cell r="J52" t="str">
            <v>FUR 108 2.2 CDI</v>
          </cell>
          <cell r="K52" t="str">
            <v>108 CDI</v>
          </cell>
          <cell r="L52" t="str">
            <v>108CDI 2,0 TDI</v>
          </cell>
          <cell r="M52" t="str">
            <v>?</v>
          </cell>
          <cell r="N52" t="str">
            <v>108D</v>
          </cell>
          <cell r="O52" t="str">
            <v>108 Cdi 2.2</v>
          </cell>
        </row>
        <row r="53">
          <cell r="B53" t="str">
            <v>Expert</v>
          </cell>
          <cell r="C53" t="str">
            <v>220 C D Standaard</v>
          </cell>
          <cell r="D53" t="str">
            <v>220C Confort Hdi</v>
          </cell>
          <cell r="E53" t="str">
            <v>1.9D 815</v>
          </cell>
          <cell r="F53" t="str">
            <v>1.9 D</v>
          </cell>
          <cell r="G53" t="str">
            <v>Industrial 1,9D 220C Stand 4m/3</v>
          </cell>
          <cell r="H53" t="str">
            <v>Van 220 C 1.9D</v>
          </cell>
          <cell r="I53" t="str">
            <v>220C Standard 800KG</v>
          </cell>
          <cell r="J53" t="str">
            <v>230C 2.0 HDI</v>
          </cell>
          <cell r="K53" t="str">
            <v>1.9D Standaard</v>
          </cell>
          <cell r="L53" t="str">
            <v>1.9D 815</v>
          </cell>
          <cell r="M53" t="str">
            <v>?</v>
          </cell>
          <cell r="N53" t="str">
            <v>230C 2,0 HDI</v>
          </cell>
          <cell r="O53" t="str">
            <v>1.9 D</v>
          </cell>
        </row>
        <row r="54">
          <cell r="B54" t="str">
            <v>Traffic</v>
          </cell>
          <cell r="C54" t="str">
            <v>L1H1 27 DCI</v>
          </cell>
          <cell r="D54" t="str">
            <v>?</v>
          </cell>
          <cell r="E54" t="str">
            <v>1.9 Dci swb</v>
          </cell>
          <cell r="F54" t="str">
            <v>?</v>
          </cell>
          <cell r="G54" t="str">
            <v>?</v>
          </cell>
          <cell r="H54" t="str">
            <v>?</v>
          </cell>
          <cell r="I54" t="str">
            <v>L1H1 1.9 DCI 82CH</v>
          </cell>
          <cell r="J54" t="str">
            <v>?</v>
          </cell>
          <cell r="K54" t="str">
            <v>Trafic Bestel L1H1 1000 KG 1.9Dci 80</v>
          </cell>
          <cell r="L54" t="str">
            <v>?</v>
          </cell>
          <cell r="M54" t="str">
            <v>?</v>
          </cell>
          <cell r="N54" t="str">
            <v>L1H1 1,9 DCI</v>
          </cell>
          <cell r="O54" t="str">
            <v>1.9 Dci 82 SL27 SWB</v>
          </cell>
        </row>
        <row r="55">
          <cell r="B55" t="str">
            <v>Vivaro</v>
          </cell>
          <cell r="C55" t="str">
            <v>27 L1H1 1,9 DI</v>
          </cell>
          <cell r="D55" t="str">
            <v>1.9 Di</v>
          </cell>
          <cell r="E55" t="str">
            <v>1.9 Di swb</v>
          </cell>
          <cell r="F55" t="str">
            <v>?</v>
          </cell>
          <cell r="G55" t="str">
            <v>?</v>
          </cell>
          <cell r="H55" t="str">
            <v>?</v>
          </cell>
          <cell r="I55" t="str">
            <v>C1 1.9DI</v>
          </cell>
          <cell r="J55" t="str">
            <v>?</v>
          </cell>
          <cell r="K55" t="str">
            <v>Panel Van L1H1 1.9DI 2700 KG</v>
          </cell>
          <cell r="L55" t="str">
            <v>?</v>
          </cell>
          <cell r="M55" t="str">
            <v>?</v>
          </cell>
          <cell r="N55" t="str">
            <v>1,9 DTI</v>
          </cell>
          <cell r="O55" t="str">
            <v>1.9 Di SWB</v>
          </cell>
        </row>
        <row r="56">
          <cell r="B56" t="str">
            <v>Transporter</v>
          </cell>
          <cell r="C56" t="str">
            <v>1,9 TD</v>
          </cell>
          <cell r="D56" t="str">
            <v>T4 Swissprofi TD</v>
          </cell>
          <cell r="E56" t="str">
            <v>?</v>
          </cell>
          <cell r="F56" t="str">
            <v>2.5 TDI</v>
          </cell>
          <cell r="G56" t="str">
            <v>Industrial 1,9 TD Furgón 2920 E/E 5,4 M/3</v>
          </cell>
          <cell r="H56" t="str">
            <v>1.9TD Firstline</v>
          </cell>
          <cell r="I56" t="str">
            <v>TDI 102 Court Tolé C</v>
          </cell>
          <cell r="J56" t="str">
            <v>1.9 TD</v>
          </cell>
          <cell r="K56" t="str">
            <v>T4 D1.9 50KW Gesl. WB 2920</v>
          </cell>
          <cell r="L56" t="str">
            <v>1000 2.5tD swb</v>
          </cell>
          <cell r="M56" t="str">
            <v>?</v>
          </cell>
          <cell r="N56" t="str">
            <v>Skåp 2,5 TDI</v>
          </cell>
          <cell r="O56" t="str">
            <v>1200 1.9TD P/Van</v>
          </cell>
        </row>
        <row r="57">
          <cell r="B57" t="str">
            <v>Daily</v>
          </cell>
          <cell r="C57" t="str">
            <v>29L9V H1</v>
          </cell>
          <cell r="D57" t="str">
            <v>?</v>
          </cell>
          <cell r="E57" t="str">
            <v>?</v>
          </cell>
          <cell r="F57" t="str">
            <v>29L9</v>
          </cell>
          <cell r="G57" t="str">
            <v>?</v>
          </cell>
          <cell r="H57" t="str">
            <v>?</v>
          </cell>
          <cell r="I57" t="str">
            <v>29L9 V7 D</v>
          </cell>
          <cell r="J57" t="str">
            <v>29L9 2.8 TD</v>
          </cell>
          <cell r="K57" t="str">
            <v>29L11V Bestel 3200 KG/WB 300</v>
          </cell>
          <cell r="L57" t="str">
            <v>?</v>
          </cell>
          <cell r="M57" t="str">
            <v>?</v>
          </cell>
          <cell r="N57" t="str">
            <v>City Skåp 0,9</v>
          </cell>
          <cell r="O57" t="str">
            <v>29L9V 2.8TD 3000</v>
          </cell>
        </row>
        <row r="58">
          <cell r="B58" t="str">
            <v xml:space="preserve">Sprinter </v>
          </cell>
          <cell r="C58" t="str">
            <v>208 CDI swb HR</v>
          </cell>
          <cell r="D58" t="str">
            <v>208 CDI swb HR</v>
          </cell>
          <cell r="E58" t="str">
            <v>208 CDI swb HR</v>
          </cell>
          <cell r="F58" t="str">
            <v>208 CDI swb HR</v>
          </cell>
          <cell r="G58" t="str">
            <v>208 CDI swb HR</v>
          </cell>
          <cell r="H58" t="str">
            <v>208 CDI swb HR</v>
          </cell>
          <cell r="I58" t="str">
            <v>208 CDI swb HR</v>
          </cell>
          <cell r="J58" t="str">
            <v>208 CDI swb HR</v>
          </cell>
          <cell r="K58" t="str">
            <v>208 CDI swb HR</v>
          </cell>
          <cell r="L58" t="str">
            <v>208 CDI swb HR</v>
          </cell>
          <cell r="M58" t="str">
            <v>208 CDI swb HR</v>
          </cell>
          <cell r="N58" t="str">
            <v>208 CDI swb HR</v>
          </cell>
          <cell r="O58" t="str">
            <v>208 CDI swb HR</v>
          </cell>
        </row>
        <row r="63">
          <cell r="B63" t="str">
            <v>Jumper</v>
          </cell>
          <cell r="C63" t="str">
            <v>31 CH 2,5 D</v>
          </cell>
          <cell r="D63" t="str">
            <v>2.8 Hdi 31M</v>
          </cell>
          <cell r="E63" t="str">
            <v>(Relay) 2.5D swb h/r</v>
          </cell>
          <cell r="F63" t="str">
            <v>32 2.5 D MH</v>
          </cell>
          <cell r="G63" t="str">
            <v>?</v>
          </cell>
          <cell r="H63" t="str">
            <v>3.2MH 2,8 Hdi</v>
          </cell>
          <cell r="I63" t="str">
            <v>27C 2.5D Empt 2.85</v>
          </cell>
          <cell r="J63" t="str">
            <v>furgone 2.5 D</v>
          </cell>
          <cell r="K63" t="str">
            <v>Bestel 2.5D 27C WB 285</v>
          </cell>
          <cell r="L63" t="str">
            <v>1,9Td</v>
          </cell>
          <cell r="M63" t="str">
            <v>?</v>
          </cell>
          <cell r="N63" t="str">
            <v>31M 2,5TDI</v>
          </cell>
          <cell r="O63" t="str">
            <v>Relay 2.5D MWB H/R</v>
          </cell>
        </row>
        <row r="64">
          <cell r="B64" t="str">
            <v>Ducato</v>
          </cell>
          <cell r="C64" t="str">
            <v>1000 1,9 TD</v>
          </cell>
          <cell r="D64" t="str">
            <v>Fiat 10 320</v>
          </cell>
          <cell r="E64" t="str">
            <v>?</v>
          </cell>
          <cell r="F64" t="str">
            <v>14 2.8 TD</v>
          </cell>
          <cell r="G64" t="str">
            <v>?</v>
          </cell>
          <cell r="H64" t="str">
            <v>1.9 TD 10 Van</v>
          </cell>
          <cell r="I64" t="str">
            <v>10 M1A 1.9TD</v>
          </cell>
          <cell r="J64" t="str">
            <v>10 1.9 TD</v>
          </cell>
          <cell r="K64" t="str">
            <v>10 Bestel 1.9D WB 285</v>
          </cell>
          <cell r="L64" t="str">
            <v>Van 2.5 Tdi</v>
          </cell>
          <cell r="M64" t="str">
            <v>?</v>
          </cell>
          <cell r="N64" t="str">
            <v>14 2,8 JTD</v>
          </cell>
          <cell r="O64" t="str">
            <v>1000 1.9 TD SWB H/R</v>
          </cell>
        </row>
        <row r="65">
          <cell r="B65" t="str">
            <v>Transit</v>
          </cell>
          <cell r="C65" t="str">
            <v>350 L 2,4 TCI 90pk</v>
          </cell>
          <cell r="D65" t="str">
            <v>350L</v>
          </cell>
          <cell r="E65" t="str">
            <v>350 2.4 Tdi lwb m/r</v>
          </cell>
          <cell r="F65" t="str">
            <v>350 L 90 HK</v>
          </cell>
          <cell r="G65" t="str">
            <v>Industrial Van FT 330M 3300E/E 7,34M/3</v>
          </cell>
          <cell r="H65" t="str">
            <v>FT350L 2.4TDI</v>
          </cell>
          <cell r="I65" t="str">
            <v>350 L TDDI</v>
          </cell>
          <cell r="J65" t="str">
            <v>CC350 2.4 90 td</v>
          </cell>
          <cell r="K65" t="str">
            <v>Bestel 350L 2.4TDDI 66 KW</v>
          </cell>
          <cell r="L65" t="str">
            <v>2.4 Tdi</v>
          </cell>
          <cell r="M65" t="str">
            <v>?</v>
          </cell>
          <cell r="N65" t="str">
            <v>350L 2,4 LWB</v>
          </cell>
          <cell r="O65" t="str">
            <v>350 2.4 Tdi LWB M/R</v>
          </cell>
        </row>
        <row r="66">
          <cell r="B66" t="str">
            <v>Sprinter</v>
          </cell>
          <cell r="C66" t="str">
            <v>311 D CDI</v>
          </cell>
          <cell r="D66" t="str">
            <v>311 Cdi 3550</v>
          </cell>
          <cell r="E66" t="str">
            <v>311 CDI mwb 3.5t</v>
          </cell>
          <cell r="F66" t="str">
            <v>311 3550/3500</v>
          </cell>
          <cell r="G66" t="str">
            <v>?</v>
          </cell>
          <cell r="H66" t="str">
            <v>311 CDI mwb 3,5t</v>
          </cell>
          <cell r="I66" t="str">
            <v>311CDI 35N</v>
          </cell>
          <cell r="J66" t="str">
            <v>311 2.2 CDI</v>
          </cell>
          <cell r="K66" t="str">
            <v>Bestel 311 CDI 3500/355</v>
          </cell>
          <cell r="L66" t="str">
            <v>313 CDI 2.1</v>
          </cell>
          <cell r="M66" t="str">
            <v>?</v>
          </cell>
          <cell r="N66" t="str">
            <v>311 CDI</v>
          </cell>
          <cell r="O66" t="str">
            <v>311 Cdi MWB 3.5t</v>
          </cell>
        </row>
        <row r="67">
          <cell r="B67" t="str">
            <v>Boxer</v>
          </cell>
          <cell r="C67" t="str">
            <v>320 MH</v>
          </cell>
          <cell r="D67" t="str">
            <v>Peugeot 320M 2.8 Hdi</v>
          </cell>
          <cell r="E67" t="str">
            <v>320M 2.5D swb h/r</v>
          </cell>
          <cell r="F67" t="str">
            <v>320 M D</v>
          </cell>
          <cell r="G67" t="str">
            <v>Industrial Furgón 2,5D 320 M Cerrado 9M/3</v>
          </cell>
          <cell r="H67" t="str">
            <v>320M 2,8Hdi</v>
          </cell>
          <cell r="I67" t="str">
            <v>320M 2.5D Empt 3.20</v>
          </cell>
          <cell r="J67" t="str">
            <v>320M 2.5 D</v>
          </cell>
          <cell r="K67" t="str">
            <v>Bestel 2.5D 320MH WB320 Verhoogd</v>
          </cell>
          <cell r="L67" t="str">
            <v>320M 1.9D swb</v>
          </cell>
          <cell r="M67" t="str">
            <v>?</v>
          </cell>
          <cell r="N67" t="str">
            <v>320M 2,8HDI</v>
          </cell>
          <cell r="O67" t="str">
            <v>320M 2.5D SWB H/R</v>
          </cell>
        </row>
        <row r="68">
          <cell r="B68" t="str">
            <v>Master</v>
          </cell>
          <cell r="C68" t="str">
            <v>33 DCI L1H2</v>
          </cell>
          <cell r="D68" t="str">
            <v>3.3t 2.2dCi swb m/r</v>
          </cell>
          <cell r="E68" t="str">
            <v>3.3t 2.2dCi swb m/r</v>
          </cell>
          <cell r="F68" t="str">
            <v>3.3t 2.2dCi swb m/r</v>
          </cell>
          <cell r="G68" t="str">
            <v>?</v>
          </cell>
          <cell r="H68" t="str">
            <v>?</v>
          </cell>
          <cell r="I68" t="str">
            <v>L1H1 3T3 2.2 DCI</v>
          </cell>
          <cell r="J68" t="str">
            <v>FUR T33 2.2 DCI</v>
          </cell>
          <cell r="K68" t="str">
            <v>Bestel T33 L1H1 2.2DCI</v>
          </cell>
          <cell r="L68" t="str">
            <v>3,5t 2.2 dCi swb l/r (mwb/m/r)</v>
          </cell>
          <cell r="M68" t="str">
            <v>?</v>
          </cell>
          <cell r="N68" t="str">
            <v>3,3T L1H2 2.2 DCI</v>
          </cell>
          <cell r="O68" t="str">
            <v>3.3t 2.2Dci SWB M/R</v>
          </cell>
        </row>
        <row r="69">
          <cell r="B69" t="str">
            <v>Movano</v>
          </cell>
          <cell r="C69" t="str">
            <v>33 L1H2 2,2 DTI</v>
          </cell>
          <cell r="D69" t="str">
            <v>Opel 2.2 Dti</v>
          </cell>
          <cell r="E69" t="str">
            <v>3.3t 2.2DTi swb m/r</v>
          </cell>
          <cell r="F69" t="str">
            <v>?</v>
          </cell>
          <cell r="G69" t="str">
            <v>?</v>
          </cell>
          <cell r="H69" t="str">
            <v>?</v>
          </cell>
          <cell r="I69" t="str">
            <v>C1F3300 2.5D</v>
          </cell>
          <cell r="J69" t="str">
            <v>2.2 DTI</v>
          </cell>
          <cell r="K69" t="str">
            <v>Bestel 2.8TD L1H2 3300 KG</v>
          </cell>
          <cell r="L69" t="str">
            <v>?</v>
          </cell>
          <cell r="M69" t="str">
            <v>?</v>
          </cell>
          <cell r="N69" t="str">
            <v>3,3T L1H2 2,2DTI</v>
          </cell>
          <cell r="O69" t="str">
            <v>3.3t 2.2 Dti SWB M/R</v>
          </cell>
        </row>
        <row r="70">
          <cell r="B70" t="str">
            <v>LT</v>
          </cell>
          <cell r="C70" t="str">
            <v>35 2,5 TDI</v>
          </cell>
          <cell r="D70" t="str">
            <v>VW 35 3550 95 PS Tdi</v>
          </cell>
          <cell r="E70" t="str">
            <v>35 2.5 TDI mwb 109 l/r</v>
          </cell>
          <cell r="F70" t="str">
            <v>35 3550 2.5 Tdi</v>
          </cell>
          <cell r="G70" t="str">
            <v>Industrial -35 Furogn 2,5TDI</v>
          </cell>
          <cell r="H70" t="str">
            <v>35 Tdi 2,5 66kw 3,5/30</v>
          </cell>
          <cell r="I70" t="str">
            <v>35 3550 TDI</v>
          </cell>
          <cell r="J70" t="str">
            <v>35 FUR 2.5 TDI</v>
          </cell>
          <cell r="K70" t="str">
            <v>35A Bestel 2.5TDI 80 KW WB 3550</v>
          </cell>
          <cell r="L70" t="str">
            <v>35 2.5 TDI mwb 109 l/r</v>
          </cell>
          <cell r="M70" t="str">
            <v>?</v>
          </cell>
          <cell r="N70" t="str">
            <v>35 2,5TDI</v>
          </cell>
          <cell r="O70" t="str">
            <v>35 2.5 Tdi MWB 109 L/R</v>
          </cell>
        </row>
        <row r="71">
          <cell r="B71" t="str">
            <v>Daily</v>
          </cell>
          <cell r="C71" t="str">
            <v>35 S 11 V 3000 H2</v>
          </cell>
          <cell r="D71" t="str">
            <v>City Truck 11B swb m/r</v>
          </cell>
          <cell r="E71" t="str">
            <v>City Truck 11B swb m/r</v>
          </cell>
          <cell r="F71" t="str">
            <v>29L11</v>
          </cell>
          <cell r="G71" t="str">
            <v>?</v>
          </cell>
          <cell r="H71" t="str">
            <v>?</v>
          </cell>
          <cell r="I71" t="str">
            <v>35S11 V10 TD</v>
          </cell>
          <cell r="J71" t="str">
            <v>35S11V 2.8 TD</v>
          </cell>
          <cell r="K71" t="str">
            <v>35C 11V Bestel</v>
          </cell>
          <cell r="L71" t="str">
            <v>?</v>
          </cell>
          <cell r="M71" t="str">
            <v>?</v>
          </cell>
          <cell r="N71" t="str">
            <v>City Skåp 0,11</v>
          </cell>
          <cell r="O71" t="str">
            <v>35S11V 2.8TD 3000L M/R</v>
          </cell>
        </row>
        <row r="77">
          <cell r="B77" t="str">
            <v>Xsara</v>
          </cell>
          <cell r="C77" t="str">
            <v>2.0 Hdi</v>
          </cell>
          <cell r="D77" t="str">
            <v>2.0 Hdi</v>
          </cell>
          <cell r="E77" t="str">
            <v>2.0 Hdi</v>
          </cell>
          <cell r="F77" t="str">
            <v>2.0 Hdi</v>
          </cell>
          <cell r="G77" t="str">
            <v>2.0 Hdi</v>
          </cell>
          <cell r="H77" t="str">
            <v>2.0 Hdi</v>
          </cell>
          <cell r="I77" t="str">
            <v>2.0 Hdi</v>
          </cell>
          <cell r="J77" t="str">
            <v>2.0 Hdi</v>
          </cell>
          <cell r="K77" t="str">
            <v>2.0 Hdi</v>
          </cell>
          <cell r="L77" t="str">
            <v>2.0 Hdi</v>
          </cell>
          <cell r="M77" t="str">
            <v>2.0 Hdi</v>
          </cell>
          <cell r="N77" t="str">
            <v>2.0 Hdi</v>
          </cell>
          <cell r="O77" t="str">
            <v>2.0 Hdi</v>
          </cell>
        </row>
        <row r="78">
          <cell r="B78" t="str">
            <v>Brava</v>
          </cell>
          <cell r="C78" t="str">
            <v>1.9 JTD</v>
          </cell>
          <cell r="D78" t="str">
            <v>1.9 JTD</v>
          </cell>
          <cell r="E78" t="str">
            <v>1.9 JTD</v>
          </cell>
          <cell r="F78" t="str">
            <v>1.9 JTD</v>
          </cell>
          <cell r="G78" t="str">
            <v>1.9 JTD</v>
          </cell>
          <cell r="H78" t="str">
            <v>1.9 JTD</v>
          </cell>
          <cell r="I78" t="str">
            <v>1.9 JTD</v>
          </cell>
          <cell r="J78" t="str">
            <v>1.9 JTD</v>
          </cell>
          <cell r="K78" t="str">
            <v>1.9 JTD</v>
          </cell>
          <cell r="L78" t="str">
            <v>1.9 JTD</v>
          </cell>
          <cell r="M78" t="str">
            <v>1.9 JTD</v>
          </cell>
          <cell r="N78" t="str">
            <v>1.9 JTD</v>
          </cell>
          <cell r="O78" t="str">
            <v>1.9 JTD</v>
          </cell>
        </row>
        <row r="79">
          <cell r="B79" t="str">
            <v>Focus</v>
          </cell>
          <cell r="C79" t="str">
            <v>1.8 Tddi</v>
          </cell>
          <cell r="D79" t="str">
            <v>1.8 Tddi</v>
          </cell>
          <cell r="E79" t="str">
            <v>1.8 Tddi</v>
          </cell>
          <cell r="F79" t="str">
            <v>1.8 Tddi</v>
          </cell>
          <cell r="G79" t="str">
            <v>1.8 Tddi</v>
          </cell>
          <cell r="H79" t="str">
            <v>1.8 Tddi</v>
          </cell>
          <cell r="I79" t="str">
            <v>1.8 Tddi</v>
          </cell>
          <cell r="J79" t="str">
            <v>1.8 Tddi</v>
          </cell>
          <cell r="K79" t="str">
            <v>1.8 Tddi</v>
          </cell>
          <cell r="L79" t="str">
            <v>1.8 Tddi</v>
          </cell>
          <cell r="M79" t="str">
            <v>1.8 Tddi</v>
          </cell>
          <cell r="N79" t="str">
            <v>1.8 Tddi</v>
          </cell>
          <cell r="O79" t="str">
            <v>1.8 Tddi</v>
          </cell>
        </row>
        <row r="80">
          <cell r="B80" t="str">
            <v>n.a</v>
          </cell>
          <cell r="C80" t="str">
            <v>n.a</v>
          </cell>
          <cell r="D80" t="str">
            <v>n.a</v>
          </cell>
          <cell r="E80" t="str">
            <v>n.a</v>
          </cell>
          <cell r="F80" t="str">
            <v>n.a</v>
          </cell>
          <cell r="G80" t="str">
            <v>n.a</v>
          </cell>
          <cell r="H80" t="str">
            <v>n.a</v>
          </cell>
          <cell r="I80" t="str">
            <v>n.a</v>
          </cell>
          <cell r="J80" t="str">
            <v>n.a</v>
          </cell>
          <cell r="K80" t="str">
            <v>n.a</v>
          </cell>
          <cell r="L80" t="str">
            <v>n.a</v>
          </cell>
          <cell r="M80" t="str">
            <v>n.a</v>
          </cell>
          <cell r="N80" t="str">
            <v>n.a</v>
          </cell>
          <cell r="O80" t="str">
            <v>n.a</v>
          </cell>
        </row>
        <row r="81">
          <cell r="B81" t="str">
            <v>306</v>
          </cell>
          <cell r="C81" t="str">
            <v>2.0 Hdi</v>
          </cell>
          <cell r="D81" t="str">
            <v>2.0 Hdi</v>
          </cell>
          <cell r="E81" t="str">
            <v>2.0 Hdi</v>
          </cell>
          <cell r="F81" t="str">
            <v>2.0 Hdi</v>
          </cell>
          <cell r="G81" t="str">
            <v>2.0 Hdi</v>
          </cell>
          <cell r="H81" t="str">
            <v>2.0 Hdi</v>
          </cell>
          <cell r="I81" t="str">
            <v>2.0 Hdi</v>
          </cell>
          <cell r="J81" t="str">
            <v>2.0 Hdi</v>
          </cell>
          <cell r="K81" t="str">
            <v>2.0 Hdi</v>
          </cell>
          <cell r="L81" t="str">
            <v>2.0 Hdi</v>
          </cell>
          <cell r="M81" t="str">
            <v>2.0 Hdi</v>
          </cell>
          <cell r="N81" t="str">
            <v>2.0 Hdi</v>
          </cell>
          <cell r="O81" t="str">
            <v>2.0 Hdi</v>
          </cell>
        </row>
        <row r="82">
          <cell r="B82" t="str">
            <v>Megane</v>
          </cell>
          <cell r="C82" t="str">
            <v>1.9 dti</v>
          </cell>
          <cell r="D82" t="str">
            <v>1.9 dti</v>
          </cell>
          <cell r="E82" t="str">
            <v>1.9 dti</v>
          </cell>
          <cell r="F82" t="str">
            <v>1.9 dti</v>
          </cell>
          <cell r="G82" t="str">
            <v>1.9 dti</v>
          </cell>
          <cell r="H82" t="str">
            <v>1.9 dti</v>
          </cell>
          <cell r="I82" t="str">
            <v>1.9 dti</v>
          </cell>
          <cell r="J82" t="str">
            <v>1.9 dti</v>
          </cell>
          <cell r="K82" t="str">
            <v>1.9 dti</v>
          </cell>
          <cell r="L82" t="str">
            <v>1.9 dti</v>
          </cell>
          <cell r="M82" t="str">
            <v>1.9 dti</v>
          </cell>
          <cell r="N82" t="str">
            <v>1.9 dti</v>
          </cell>
          <cell r="O82" t="str">
            <v>1.9 dti</v>
          </cell>
        </row>
        <row r="83">
          <cell r="B83" t="str">
            <v>Astra II</v>
          </cell>
          <cell r="C83" t="str">
            <v>2.0 Dti</v>
          </cell>
          <cell r="D83" t="str">
            <v>2.0 Dti</v>
          </cell>
          <cell r="E83" t="str">
            <v>2.0 Dti</v>
          </cell>
          <cell r="F83" t="str">
            <v>2.0 Dti</v>
          </cell>
          <cell r="G83" t="str">
            <v>2.0 Dti</v>
          </cell>
          <cell r="H83" t="str">
            <v>2.0 Dti</v>
          </cell>
          <cell r="I83" t="str">
            <v>2.0 Dti</v>
          </cell>
          <cell r="J83" t="str">
            <v>2.0 Dti</v>
          </cell>
          <cell r="K83" t="str">
            <v>2.0 Dti</v>
          </cell>
          <cell r="L83" t="str">
            <v>2.0 Dti</v>
          </cell>
          <cell r="M83" t="str">
            <v>2.0 Dti</v>
          </cell>
          <cell r="N83" t="str">
            <v>2.0 Dti</v>
          </cell>
          <cell r="O83" t="str">
            <v>2.0 Dti</v>
          </cell>
        </row>
        <row r="84">
          <cell r="B84" t="str">
            <v xml:space="preserve">Golf </v>
          </cell>
          <cell r="C84" t="str">
            <v>1.9 Tdi</v>
          </cell>
          <cell r="D84" t="str">
            <v>1.9 Tdi</v>
          </cell>
          <cell r="E84" t="str">
            <v>1.9 Tdi</v>
          </cell>
          <cell r="F84" t="str">
            <v>1.9 Tdi</v>
          </cell>
          <cell r="G84" t="str">
            <v>1.9 Tdi</v>
          </cell>
          <cell r="H84" t="str">
            <v>1.9 Tdi</v>
          </cell>
          <cell r="I84" t="str">
            <v>1.9 Tdi</v>
          </cell>
          <cell r="J84" t="str">
            <v>1.9 Tdi</v>
          </cell>
          <cell r="K84" t="str">
            <v>1.9 Tdi</v>
          </cell>
          <cell r="L84" t="str">
            <v>1.9 Tdi</v>
          </cell>
          <cell r="M84" t="str">
            <v>1.9 Tdi</v>
          </cell>
          <cell r="N84" t="str">
            <v>1.9 Tdi</v>
          </cell>
          <cell r="O84" t="str">
            <v>1.9 Tdi</v>
          </cell>
        </row>
        <row r="85">
          <cell r="B85" t="str">
            <v>n.a</v>
          </cell>
          <cell r="C85" t="str">
            <v>n.a</v>
          </cell>
          <cell r="D85" t="str">
            <v>n.a</v>
          </cell>
          <cell r="E85" t="str">
            <v>n.a</v>
          </cell>
          <cell r="F85" t="str">
            <v>n.a</v>
          </cell>
          <cell r="G85" t="str">
            <v>n.a</v>
          </cell>
          <cell r="H85" t="str">
            <v>n.a</v>
          </cell>
          <cell r="I85" t="str">
            <v>n.a</v>
          </cell>
          <cell r="J85" t="str">
            <v>n.a</v>
          </cell>
          <cell r="K85" t="str">
            <v>n.a</v>
          </cell>
          <cell r="L85" t="str">
            <v>n.a</v>
          </cell>
          <cell r="M85" t="str">
            <v>n.a</v>
          </cell>
          <cell r="N85" t="str">
            <v>n.a</v>
          </cell>
          <cell r="O85" t="str">
            <v>n.a</v>
          </cell>
        </row>
        <row r="91">
          <cell r="B91" t="str">
            <v>Xantia</v>
          </cell>
          <cell r="C91" t="str">
            <v>2.0 Hdi</v>
          </cell>
          <cell r="D91" t="str">
            <v>2.0 Hdi</v>
          </cell>
          <cell r="E91" t="str">
            <v>2.0 Hdi</v>
          </cell>
          <cell r="F91" t="str">
            <v>2.0 Hdi</v>
          </cell>
          <cell r="G91" t="str">
            <v>2.0 Hdi</v>
          </cell>
          <cell r="H91" t="str">
            <v>2.0 Hdi</v>
          </cell>
          <cell r="I91" t="str">
            <v>2.0 Hdi</v>
          </cell>
          <cell r="J91" t="str">
            <v>2.0 Hdi</v>
          </cell>
          <cell r="K91" t="str">
            <v>2.0 Hdi</v>
          </cell>
          <cell r="L91" t="str">
            <v>2.0 Hdi</v>
          </cell>
          <cell r="M91" t="str">
            <v>2.0 Hdi</v>
          </cell>
          <cell r="N91" t="str">
            <v>2.0 Hdi</v>
          </cell>
          <cell r="O91" t="str">
            <v>2.0 Hdi</v>
          </cell>
        </row>
        <row r="92">
          <cell r="B92" t="str">
            <v>Marea</v>
          </cell>
          <cell r="C92" t="str">
            <v>1.9 JTD</v>
          </cell>
          <cell r="D92" t="str">
            <v>1.9 JTD</v>
          </cell>
          <cell r="E92" t="str">
            <v>1.9 JTD</v>
          </cell>
          <cell r="F92" t="str">
            <v>1.9 JTD</v>
          </cell>
          <cell r="G92" t="str">
            <v>1.9 JTD</v>
          </cell>
          <cell r="H92" t="str">
            <v>1.9 JTD</v>
          </cell>
          <cell r="I92" t="str">
            <v>1.9 JTD</v>
          </cell>
          <cell r="J92" t="str">
            <v>1.9 JTD</v>
          </cell>
          <cell r="K92" t="str">
            <v>1.9 JTD</v>
          </cell>
          <cell r="L92" t="str">
            <v>1.9 JTD</v>
          </cell>
          <cell r="M92" t="str">
            <v>1.9 JTD</v>
          </cell>
          <cell r="N92" t="str">
            <v>1.9 JTD</v>
          </cell>
          <cell r="O92" t="str">
            <v>1.9 JTD</v>
          </cell>
        </row>
        <row r="93">
          <cell r="B93" t="str">
            <v>Mondeo</v>
          </cell>
          <cell r="C93" t="str">
            <v>2.0 DI</v>
          </cell>
          <cell r="D93" t="str">
            <v>2.0 DI</v>
          </cell>
          <cell r="E93" t="str">
            <v>2.0 DI</v>
          </cell>
          <cell r="F93" t="str">
            <v>2.0 DI</v>
          </cell>
          <cell r="G93" t="str">
            <v>2.0 DI</v>
          </cell>
          <cell r="H93" t="str">
            <v>2.0 DI</v>
          </cell>
          <cell r="I93" t="str">
            <v>2.0 DI</v>
          </cell>
          <cell r="J93" t="str">
            <v>2.0 DI</v>
          </cell>
          <cell r="K93" t="str">
            <v>2.0 DI</v>
          </cell>
          <cell r="L93" t="str">
            <v>2.0 DI</v>
          </cell>
          <cell r="M93" t="str">
            <v>2.0 DI</v>
          </cell>
          <cell r="N93" t="str">
            <v>2.0 DI</v>
          </cell>
          <cell r="O93" t="str">
            <v>2.0 DI</v>
          </cell>
        </row>
        <row r="94">
          <cell r="B94" t="str">
            <v>n.a</v>
          </cell>
          <cell r="C94" t="str">
            <v>n.a.</v>
          </cell>
          <cell r="D94" t="str">
            <v>n.a.</v>
          </cell>
          <cell r="E94" t="str">
            <v>n.a.</v>
          </cell>
          <cell r="F94" t="str">
            <v>n.a.</v>
          </cell>
          <cell r="G94" t="str">
            <v>n.a.</v>
          </cell>
          <cell r="H94" t="str">
            <v>n.a.</v>
          </cell>
          <cell r="I94" t="str">
            <v>n.a.</v>
          </cell>
          <cell r="J94" t="str">
            <v>n.a.</v>
          </cell>
          <cell r="K94" t="str">
            <v>n.a.</v>
          </cell>
          <cell r="L94" t="str">
            <v>n.a.</v>
          </cell>
          <cell r="M94" t="str">
            <v>n.a.</v>
          </cell>
          <cell r="N94" t="str">
            <v>n.a.</v>
          </cell>
          <cell r="O94" t="str">
            <v>n.a.</v>
          </cell>
        </row>
        <row r="95">
          <cell r="B95" t="str">
            <v>406</v>
          </cell>
          <cell r="C95" t="str">
            <v>2.0 Hdi</v>
          </cell>
          <cell r="D95" t="str">
            <v>2.0 Hdi</v>
          </cell>
          <cell r="E95" t="str">
            <v>2.0 Hdi</v>
          </cell>
          <cell r="F95" t="str">
            <v>2.0 Hdi</v>
          </cell>
          <cell r="G95" t="str">
            <v>2.0 Hdi</v>
          </cell>
          <cell r="H95" t="str">
            <v>2.0 Hdi</v>
          </cell>
          <cell r="I95" t="str">
            <v>2.0 Hdi</v>
          </cell>
          <cell r="J95" t="str">
            <v>2.0 Hdi</v>
          </cell>
          <cell r="K95" t="str">
            <v>2.0 Hdi</v>
          </cell>
          <cell r="L95" t="str">
            <v>2.0 Hdi</v>
          </cell>
          <cell r="M95" t="str">
            <v>2.0 Hdi</v>
          </cell>
          <cell r="N95" t="str">
            <v>2.0 Hdi</v>
          </cell>
          <cell r="O95" t="str">
            <v>2.0 Hdi</v>
          </cell>
        </row>
        <row r="96">
          <cell r="B96" t="str">
            <v>Laguna</v>
          </cell>
          <cell r="C96" t="str">
            <v>1.9 dci</v>
          </cell>
          <cell r="D96" t="str">
            <v>1.9 dci</v>
          </cell>
          <cell r="E96" t="str">
            <v>1.9 dci</v>
          </cell>
          <cell r="F96" t="str">
            <v>1.9 dci</v>
          </cell>
          <cell r="G96" t="str">
            <v>1.9 dci</v>
          </cell>
          <cell r="H96" t="str">
            <v>1.9 dci</v>
          </cell>
          <cell r="I96" t="str">
            <v>1.9 dci</v>
          </cell>
          <cell r="J96" t="str">
            <v>1.9 dci</v>
          </cell>
          <cell r="K96" t="str">
            <v>1.9 dci</v>
          </cell>
          <cell r="L96" t="str">
            <v>1.9 dci</v>
          </cell>
          <cell r="M96" t="str">
            <v>1.9 dci</v>
          </cell>
          <cell r="N96" t="str">
            <v>1.9 dci</v>
          </cell>
          <cell r="O96" t="str">
            <v>1.9 dci</v>
          </cell>
        </row>
        <row r="97">
          <cell r="B97" t="str">
            <v>Vectra</v>
          </cell>
          <cell r="C97" t="str">
            <v>2.0 dti</v>
          </cell>
          <cell r="D97" t="str">
            <v>2.0 dti</v>
          </cell>
          <cell r="E97" t="str">
            <v>2.0 dti</v>
          </cell>
          <cell r="F97" t="str">
            <v>2.0 dti</v>
          </cell>
          <cell r="G97" t="str">
            <v>2.0 dti</v>
          </cell>
          <cell r="H97" t="str">
            <v>2.0 dti</v>
          </cell>
          <cell r="I97" t="str">
            <v>2.0 dti</v>
          </cell>
          <cell r="J97" t="str">
            <v>2.0 dti</v>
          </cell>
          <cell r="K97" t="str">
            <v>2.0 dti</v>
          </cell>
          <cell r="L97" t="str">
            <v>2.0 dti</v>
          </cell>
          <cell r="M97" t="str">
            <v>2.0 dti</v>
          </cell>
          <cell r="N97" t="str">
            <v>2.0 dti</v>
          </cell>
          <cell r="O97" t="str">
            <v>2.0 dti</v>
          </cell>
        </row>
        <row r="98">
          <cell r="B98" t="str">
            <v>Passat</v>
          </cell>
          <cell r="C98" t="str">
            <v>1.9Tdi</v>
          </cell>
          <cell r="D98" t="str">
            <v>1.9Tdi</v>
          </cell>
          <cell r="E98" t="str">
            <v>1.9Tdi</v>
          </cell>
          <cell r="F98" t="str">
            <v>1.9Tdi</v>
          </cell>
          <cell r="G98" t="str">
            <v>1.9Tdi</v>
          </cell>
          <cell r="H98" t="str">
            <v>1.9Tdi</v>
          </cell>
          <cell r="I98" t="str">
            <v>1.9Tdi</v>
          </cell>
          <cell r="J98" t="str">
            <v>1.9Tdi</v>
          </cell>
          <cell r="K98" t="str">
            <v>1.9Tdi</v>
          </cell>
          <cell r="L98" t="str">
            <v>1.9Tdi</v>
          </cell>
          <cell r="M98" t="str">
            <v>1.9Tdi</v>
          </cell>
          <cell r="N98" t="str">
            <v>1.9Tdi</v>
          </cell>
          <cell r="O98" t="str">
            <v>1.9Tdi</v>
          </cell>
        </row>
        <row r="99">
          <cell r="B99" t="str">
            <v>n.a</v>
          </cell>
          <cell r="C99" t="str">
            <v>n.a.</v>
          </cell>
          <cell r="D99" t="str">
            <v>n.a.</v>
          </cell>
          <cell r="E99" t="str">
            <v>n.a.</v>
          </cell>
          <cell r="F99" t="str">
            <v>n.a.</v>
          </cell>
          <cell r="G99" t="str">
            <v>n.a.</v>
          </cell>
          <cell r="H99" t="str">
            <v>n.a.</v>
          </cell>
          <cell r="I99" t="str">
            <v>n.a.</v>
          </cell>
          <cell r="J99" t="str">
            <v>n.a.</v>
          </cell>
          <cell r="K99" t="str">
            <v>n.a.</v>
          </cell>
          <cell r="L99" t="str">
            <v>n.a.</v>
          </cell>
          <cell r="M99" t="str">
            <v>n.a.</v>
          </cell>
          <cell r="N99" t="str">
            <v>n.a.</v>
          </cell>
          <cell r="O99" t="str">
            <v>n.a.</v>
          </cell>
        </row>
      </sheetData>
      <sheetData sheetId="1">
        <row r="34">
          <cell r="B34" t="str">
            <v>Berlingo</v>
          </cell>
        </row>
      </sheetData>
      <sheetData sheetId="2" refreshError="1"/>
      <sheetData sheetId="3">
        <row r="34">
          <cell r="B34" t="str">
            <v>Berlingo</v>
          </cell>
        </row>
      </sheetData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CpGRP"/>
      <sheetName val="Data Sender-ZS"/>
      <sheetName val="Briefing"/>
      <sheetName val="Planung lt. S+P (keine Eingabe)"/>
      <sheetName val="Planung Brutto bez. "/>
      <sheetName val="Einkaufsvorlagen"/>
      <sheetName val="Hilfstabelle"/>
      <sheetName val="MP NEON 2007"/>
      <sheetName val="DropDown Listen"/>
      <sheetName val="Dropdowns"/>
      <sheetName val="Data_Sender-ZS"/>
      <sheetName val="Data_CpGRP"/>
      <sheetName val="Planung_lt__S+P_(keine_Eingabe)"/>
      <sheetName val="Planung_Brutto_bez__"/>
      <sheetName val="MP_NEON_2007"/>
      <sheetName val="Data_Sender-ZS1"/>
      <sheetName val="Tabelle2"/>
      <sheetName val="MP NEON 2008"/>
      <sheetName val="Lists"/>
      <sheetName val="apendix"/>
      <sheetName val="Services"/>
      <sheetName val="Drop Down"/>
      <sheetName val="Dropdown menu"/>
      <sheetName val="MP 2007"/>
      <sheetName val="вводные 20.01"/>
      <sheetName val="Бюджет 100% ТВ"/>
      <sheetName val="TOTAL"/>
      <sheetName val="BRANDS"/>
      <sheetName val="Барни Fem25-54"/>
      <sheetName val="Milka"/>
      <sheetName val="Oreo THin 18-39"/>
      <sheetName val="расчет весов 2020_mdlz"/>
      <sheetName val="for flow 2020"/>
      <sheetName val="Halls"/>
      <sheetName val="AlpenGold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A-BL"/>
      <sheetName val="Data_Sender-ZS2"/>
      <sheetName val="Data_CpGRP1"/>
      <sheetName val="Planung_lt__S+P_(keine_Eingabe1"/>
      <sheetName val="Planung_Brutto_bez__1"/>
      <sheetName val="MP_NEON_20071"/>
      <sheetName val="DropDown_Listen"/>
      <sheetName val="Data_Sender-ZS3"/>
      <sheetName val="Data_CpGRP2"/>
      <sheetName val="Planung_lt__S+P_(keine_Eingabe2"/>
      <sheetName val="Planung_Brutto_bez__2"/>
      <sheetName val="MP_NEON_20072"/>
      <sheetName val="DropDown_Listen1"/>
      <sheetName val="MP_NEON_2008"/>
      <sheetName val="MP_NEON_20081"/>
      <sheetName val="Kostenplan"/>
      <sheetName val="PIANO GENERALE"/>
      <sheetName val="Drop_Down"/>
      <sheetName val="Dropdown_menu"/>
      <sheetName val="MP_2007"/>
      <sheetName val="Team"/>
      <sheetName val="paramètres"/>
      <sheetName val="Data_Sender-ZS6"/>
      <sheetName val="Data_CpGRP5"/>
      <sheetName val="Planung_lt__S+P_(keine_Eingabe5"/>
      <sheetName val="Planung_Brutto_bez__5"/>
      <sheetName val="MP_NEON_20075"/>
      <sheetName val="DropDown_Listen4"/>
      <sheetName val="Data_Sender-ZS5"/>
      <sheetName val="Data_CpGRP4"/>
      <sheetName val="Planung_lt__S+P_(keine_Eingabe4"/>
      <sheetName val="Planung_Brutto_bez__4"/>
      <sheetName val="MP_NEON_20074"/>
      <sheetName val="DropDown_Listen3"/>
      <sheetName val="Data_Sender-ZS4"/>
      <sheetName val="Data_CpGRP3"/>
      <sheetName val="Planung_lt__S+P_(keine_Eingabe3"/>
      <sheetName val="Planung_Brutto_bez__3"/>
      <sheetName val="MP_NEON_20073"/>
      <sheetName val="DropDown_Listen2"/>
      <sheetName val="MP_NEON_20082"/>
      <sheetName val="Drop_Down1"/>
      <sheetName val="Dropdown_menu1"/>
      <sheetName val="MP_20071"/>
      <sheetName val="PIANO_GENERALE"/>
      <sheetName val="MP_NEON_20083"/>
      <sheetName val="Dropdown_menu2"/>
      <sheetName val="Drop_Down2"/>
      <sheetName val="MP_20072"/>
      <sheetName val="PIANO_GENERALE1"/>
      <sheetName val="вводные_20_01"/>
      <sheetName val="Бюджет_100%_ТВ"/>
      <sheetName val="Барни_Fem25-54"/>
      <sheetName val="Oreo_THin_18-39"/>
      <sheetName val="расчет_весов_2020_mdlz"/>
      <sheetName val="for_flow_2020"/>
      <sheetName val="к-нт_конверсии"/>
      <sheetName val="TUC_25-44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вводные_20_011"/>
      <sheetName val="Бюджет_100%_ТВ1"/>
      <sheetName val="Барни_Fem25-541"/>
      <sheetName val="Oreo_THin_18-391"/>
      <sheetName val="расчет_весов_2020_mdlz1"/>
      <sheetName val="for_flow_20201"/>
      <sheetName val="к-нт_конверсии1"/>
      <sheetName val="TUC_25-44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Drop_Downs"/>
      <sheetName val="Zadání (Brief)"/>
      <sheetName val="tv"/>
      <sheetName val="Affinity"/>
      <sheetName val="Brands CPP"/>
      <sheetName val="Splits"/>
      <sheetName val="расчет бюджетов"/>
      <sheetName val="media plan_darbinis"/>
      <sheetName val="ownprod est"/>
      <sheetName val="FX-Rate"/>
      <sheetName val="ownprod lit"/>
      <sheetName val="Nastavení (Setting)"/>
      <sheetName val="Forecast Drivers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Listes déroulantes"/>
      <sheetName val="Growth"/>
      <sheetName val="3.2 - Digital Fixed 2014 "/>
    </sheetNames>
    <sheetDataSet>
      <sheetData sheetId="0">
        <row r="2">
          <cell r="B2" t="str">
            <v>fehlt !</v>
          </cell>
        </row>
        <row r="3">
          <cell r="B3" t="str">
            <v>fehlt !</v>
          </cell>
        </row>
        <row r="4">
          <cell r="B4" t="str">
            <v>fehlt !</v>
          </cell>
        </row>
        <row r="5">
          <cell r="B5" t="str">
            <v>fehlt !</v>
          </cell>
        </row>
        <row r="6">
          <cell r="B6" t="str">
            <v>fehlt !</v>
          </cell>
        </row>
        <row r="10">
          <cell r="B10" t="str">
            <v>fehlt !</v>
          </cell>
        </row>
        <row r="11">
          <cell r="B11" t="str">
            <v>fehlt !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60">
          <cell r="A60" t="str">
            <v>DATEN &amp; FORMAT FEHLEN !</v>
          </cell>
        </row>
        <row r="61">
          <cell r="A61" t="str">
            <v>FORMAT FEHLT !</v>
          </cell>
        </row>
        <row r="62">
          <cell r="A62" t="str">
            <v>DATEN FEHLEN !</v>
          </cell>
        </row>
      </sheetData>
      <sheetData sheetId="1">
        <row r="2">
          <cell r="B2" t="str">
            <v>fehlt !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</sheetData>
      <sheetData sheetId="2">
        <row r="2">
          <cell r="B2" t="str">
            <v>fehlt 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B2" t="str">
            <v>fehlt !</v>
          </cell>
        </row>
      </sheetData>
      <sheetData sheetId="11">
        <row r="2">
          <cell r="B2" t="str">
            <v>fehlt !</v>
          </cell>
        </row>
      </sheetData>
      <sheetData sheetId="12">
        <row r="2">
          <cell r="B2" t="str">
            <v>fehlt !</v>
          </cell>
        </row>
      </sheetData>
      <sheetData sheetId="13">
        <row r="2">
          <cell r="B2" t="str">
            <v>fehlt !</v>
          </cell>
        </row>
      </sheetData>
      <sheetData sheetId="14">
        <row r="2">
          <cell r="B2" t="str">
            <v>fehlt !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25">
        <row r="2">
          <cell r="B2" t="str">
            <v>fehlt !</v>
          </cell>
        </row>
      </sheetData>
      <sheetData sheetId="26">
        <row r="2">
          <cell r="B2" t="str">
            <v>fehlt !</v>
          </cell>
        </row>
      </sheetData>
      <sheetData sheetId="27">
        <row r="2">
          <cell r="B2" t="str">
            <v>fehlt !</v>
          </cell>
        </row>
      </sheetData>
      <sheetData sheetId="28">
        <row r="2">
          <cell r="B2" t="str">
            <v>fehlt !</v>
          </cell>
        </row>
      </sheetData>
      <sheetData sheetId="2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2">
        <row r="2">
          <cell r="B2" t="str">
            <v>fehlt !</v>
          </cell>
        </row>
      </sheetData>
      <sheetData sheetId="33">
        <row r="2">
          <cell r="B2" t="str">
            <v>fehlt !</v>
          </cell>
        </row>
      </sheetData>
      <sheetData sheetId="34"/>
      <sheetData sheetId="35"/>
      <sheetData sheetId="3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7">
        <row r="2">
          <cell r="B2" t="str">
            <v>fehlt !</v>
          </cell>
        </row>
      </sheetData>
      <sheetData sheetId="38">
        <row r="2">
          <cell r="B2" t="str">
            <v>fehlt !</v>
          </cell>
        </row>
      </sheetData>
      <sheetData sheetId="39">
        <row r="2">
          <cell r="B2" t="str">
            <v>fehlt !</v>
          </cell>
        </row>
      </sheetData>
      <sheetData sheetId="40">
        <row r="2">
          <cell r="B2" t="str">
            <v>fehlt !</v>
          </cell>
        </row>
      </sheetData>
      <sheetData sheetId="4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2"/>
      <sheetData sheetId="4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4">
        <row r="2">
          <cell r="B2" t="str">
            <v>fehlt !</v>
          </cell>
        </row>
      </sheetData>
      <sheetData sheetId="45">
        <row r="2">
          <cell r="B2" t="str">
            <v>fehlt !</v>
          </cell>
        </row>
      </sheetData>
      <sheetData sheetId="4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8">
        <row r="2">
          <cell r="B2" t="str">
            <v>fehlt !</v>
          </cell>
        </row>
      </sheetData>
      <sheetData sheetId="49">
        <row r="2">
          <cell r="B2" t="str">
            <v>fehlt !</v>
          </cell>
        </row>
      </sheetData>
      <sheetData sheetId="50">
        <row r="2">
          <cell r="B2" t="str">
            <v>fehlt !</v>
          </cell>
        </row>
      </sheetData>
      <sheetData sheetId="5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2"/>
      <sheetData sheetId="53" refreshError="1"/>
      <sheetData sheetId="54">
        <row r="2">
          <cell r="B2" t="str">
            <v>fehlt !</v>
          </cell>
        </row>
      </sheetData>
      <sheetData sheetId="55">
        <row r="2">
          <cell r="B2" t="str">
            <v>fehlt !</v>
          </cell>
        </row>
      </sheetData>
      <sheetData sheetId="56">
        <row r="2">
          <cell r="B2" t="str">
            <v>fehlt !</v>
          </cell>
        </row>
      </sheetData>
      <sheetData sheetId="57">
        <row r="2">
          <cell r="B2" t="str">
            <v>fehlt !</v>
          </cell>
        </row>
      </sheetData>
      <sheetData sheetId="5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9">
        <row r="2">
          <cell r="B2" t="str">
            <v>fehlt !</v>
          </cell>
        </row>
      </sheetData>
      <sheetData sheetId="60">
        <row r="2">
          <cell r="B2" t="str">
            <v>fehlt !</v>
          </cell>
        </row>
      </sheetData>
      <sheetData sheetId="61">
        <row r="2">
          <cell r="B2" t="str">
            <v>fehlt !</v>
          </cell>
        </row>
      </sheetData>
      <sheetData sheetId="62">
        <row r="2">
          <cell r="B2" t="str">
            <v>fehlt !</v>
          </cell>
        </row>
      </sheetData>
      <sheetData sheetId="63"/>
      <sheetData sheetId="64"/>
      <sheetData sheetId="6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6">
        <row r="2">
          <cell r="B2" t="str">
            <v>fehlt !</v>
          </cell>
        </row>
      </sheetData>
      <sheetData sheetId="67">
        <row r="2">
          <cell r="B2" t="str">
            <v>fehlt !</v>
          </cell>
        </row>
      </sheetData>
      <sheetData sheetId="68" refreshError="1"/>
      <sheetData sheetId="69" refreshError="1"/>
      <sheetData sheetId="7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1"/>
      <sheetData sheetId="72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3" refreshError="1"/>
      <sheetData sheetId="74" refreshError="1"/>
      <sheetData sheetId="75">
        <row r="15">
          <cell r="C15">
            <v>0</v>
          </cell>
        </row>
      </sheetData>
      <sheetData sheetId="76">
        <row r="2">
          <cell r="B2" t="str">
            <v>fehlt !</v>
          </cell>
        </row>
      </sheetData>
      <sheetData sheetId="77"/>
      <sheetData sheetId="78"/>
      <sheetData sheetId="79"/>
      <sheetData sheetId="80"/>
      <sheetData sheetId="81">
        <row r="2">
          <cell r="B2" t="str">
            <v>fehlt !</v>
          </cell>
        </row>
      </sheetData>
      <sheetData sheetId="82">
        <row r="2">
          <cell r="B2" t="str">
            <v>fehlt !</v>
          </cell>
        </row>
      </sheetData>
      <sheetData sheetId="83"/>
      <sheetData sheetId="84"/>
      <sheetData sheetId="85"/>
      <sheetData sheetId="86"/>
      <sheetData sheetId="87">
        <row r="2">
          <cell r="B2" t="str">
            <v>fehlt !</v>
          </cell>
        </row>
      </sheetData>
      <sheetData sheetId="88">
        <row r="2">
          <cell r="B2" t="str">
            <v>fehlt !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 22-9 - 26-10"/>
      <sheetName val="GRP"/>
      <sheetName val="RA 31.3-4.5 CIC"/>
      <sheetName val="RA 31.3-4.5 ORO"/>
      <sheetName val="RA 31.3-4.5 TOP"/>
      <sheetName val="RA 31.3-4.5 FOCUS"/>
      <sheetName val="MEDRA3APR"/>
      <sheetName val="RA3-30.3FOC"/>
      <sheetName val="RA5.5-8.6ORO"/>
      <sheetName val="RA5.5-8.6CIC"/>
      <sheetName val="ratop5.5-8.6"/>
      <sheetName val="RA5.5-8.6FOCUS"/>
      <sheetName val="MED3.30-MARORO"/>
      <sheetName val="MED3.30MARTOP"/>
      <sheetName val="MED3-30MARCIC"/>
      <sheetName val="MED3-30MARFOC"/>
      <sheetName val="MEDRA1APR"/>
      <sheetName val="MEDRAI2APR"/>
      <sheetName val="MEDRARAPR"/>
      <sheetName val="MED31.3-4.5 ORO"/>
      <sheetName val="MED31.3-4.5TOP"/>
      <sheetName val="MED31.3-4.5CIC"/>
      <sheetName val="MED31.3-4.5FOC"/>
      <sheetName val="MEDMAGRA1"/>
      <sheetName val="MEDMAGRA2"/>
      <sheetName val="MEDMAGRA3"/>
      <sheetName val="MEDMAGRAR"/>
      <sheetName val="MEDMAGORO"/>
      <sheetName val="MEDMAGTOP"/>
      <sheetName val="MEDMAGCIC"/>
      <sheetName val="MEDMAGFOC"/>
      <sheetName val="TOPGIU"/>
      <sheetName val="MODPTGIU"/>
      <sheetName val="MODDTGIU"/>
      <sheetName val="MODEURGIU"/>
      <sheetName val="spec9-29giu"/>
      <sheetName val="oro 22-9 - 26-10"/>
      <sheetName val="top 22-9 - 26-10"/>
      <sheetName val="spec 22-9 26-10"/>
      <sheetName val="cic 22_9 _ 26_10"/>
      <sheetName val="Programlar"/>
      <sheetName val="Kategoriler"/>
      <sheetName val="1"/>
      <sheetName val="PIANO GENERALE"/>
      <sheetName val="BJ"/>
      <sheetName val="cic_22-9_-_26-10"/>
      <sheetName val="RA_31_3-4_5_CIC"/>
      <sheetName val="RA_31_3-4_5_ORO"/>
      <sheetName val="RA_31_3-4_5_TOP"/>
      <sheetName val="RA_31_3-4_5_FOCUS"/>
      <sheetName val="RA3-30_3FOC"/>
      <sheetName val="RA5_5-8_6ORO"/>
      <sheetName val="RA5_5-8_6CIC"/>
      <sheetName val="ratop5_5-8_6"/>
      <sheetName val="RA5_5-8_6FOCUS"/>
      <sheetName val="MED3_30-MARORO"/>
      <sheetName val="MED3_30MARTOP"/>
      <sheetName val="MED31_3-4_5_ORO"/>
      <sheetName val="MED31_3-4_5TOP"/>
      <sheetName val="MED31_3-4_5CIC"/>
      <sheetName val="MED31_3-4_5FOC"/>
      <sheetName val="oro_22-9_-_26-10"/>
      <sheetName val="top_22-9_-_26-10"/>
      <sheetName val="spec_22-9_26-10"/>
      <sheetName val="cic_22_9___26_10"/>
      <sheetName val="BIGINI96"/>
      <sheetName val="DATI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</sheetNames>
    <sheetDataSet>
      <sheetData sheetId="0" refreshError="1">
        <row r="11">
          <cell r="D11">
            <v>486.48</v>
          </cell>
        </row>
      </sheetData>
      <sheetData sheetId="1" refreshError="1"/>
      <sheetData sheetId="2">
        <row r="11">
          <cell r="D11">
            <v>486.48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1">
          <cell r="D11">
            <v>486.48</v>
          </cell>
        </row>
      </sheetData>
      <sheetData sheetId="37">
        <row r="11">
          <cell r="D11">
            <v>486.48</v>
          </cell>
        </row>
      </sheetData>
      <sheetData sheetId="38">
        <row r="11">
          <cell r="D11">
            <v>486.48</v>
          </cell>
        </row>
      </sheetData>
      <sheetData sheetId="39"/>
      <sheetData sheetId="40"/>
      <sheetData sheetId="41"/>
      <sheetData sheetId="42" refreshError="1"/>
      <sheetData sheetId="43" refreshError="1"/>
      <sheetData sheetId="44" refreshError="1"/>
      <sheetData sheetId="45">
        <row r="11">
          <cell r="D11">
            <v>486.48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Specs"/>
      <sheetName val="Basisdaten"/>
      <sheetName val="SitesVermarkter"/>
      <sheetName val="Mediakostenplan"/>
      <sheetName val="Mediastreuplan"/>
      <sheetName val="ProducerPivot"/>
      <sheetName val="BudgetPivot"/>
      <sheetName val="ReportPivot"/>
      <sheetName val="OnlineURLs"/>
      <sheetName val="OnlineContacts"/>
      <sheetName val="LOGOS"/>
      <sheetName val="cic 22-9 - 26-10"/>
      <sheetName val="SUMMARY_Brazil w Hub"/>
      <sheetName val="SUMMARY_Brazil NO Hub"/>
      <sheetName val="Current Agency Total FTEs"/>
      <sheetName val="Our Proposal Total FTEs"/>
      <sheetName val="Brazil_No Digital Activiation"/>
      <sheetName val="Colombia_Full Service"/>
      <sheetName val="Mexico_Hybrid In House"/>
      <sheetName val="LATAM_HUB_All Markets"/>
      <sheetName val="Brazil Summary vs Current"/>
      <sheetName val="Brazil_All Media_Hybrid"/>
      <sheetName val="Brazil_All Media_In Agency"/>
      <sheetName val="Mexico_All in Agency"/>
      <sheetName val="LATAM_HUB_No Brazil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sVermarkter"/>
      <sheetName val="Basisdaten"/>
      <sheetName val="Mediakostenplan"/>
      <sheetName val="Mediastreuplan"/>
      <sheetName val="1P-Report"/>
      <sheetName val="ProducerPivot"/>
      <sheetName val="BudgetPivot"/>
      <sheetName val="ReportPivot"/>
      <sheetName val="FormatSpecs"/>
      <sheetName val="OnlineURLs"/>
      <sheetName val="OnlineContacts"/>
      <sheetName val="LO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  <sheetName val="##"/>
      <sheetName val="MAIL.RU"/>
      <sheetName val="YANDEX.RU"/>
      <sheetName val="VZGLYAD.RU"/>
      <sheetName val="GAZETA.RU"/>
      <sheetName val="KOMMERSANT.RU"/>
      <sheetName val="NEWSRU.COM"/>
      <sheetName val="AFISHA.RU"/>
      <sheetName val="SUBSCRIBE.RU"/>
      <sheetName val="EXPERT.RU"/>
      <sheetName val="AVTO.RU"/>
      <sheetName val="AUTO.RU"/>
      <sheetName val="RIAN.RU"/>
      <sheetName val="AMEDIA.RU"/>
      <sheetName val="VOKRUGSVETA.RU"/>
      <sheetName val="MTV.RU"/>
      <sheetName val="LIVEINTERNET.RU"/>
      <sheetName val="FASHIONTIME.RU"/>
      <sheetName val="ECHO.MSK.RU"/>
      <sheetName val="SUPERSTYLE.RU"/>
      <sheetName val="INOPRESSA.RU"/>
      <sheetName val="3DNEWS.RU"/>
      <sheetName val="SPORTS.RU"/>
      <sheetName val="24OPEN.RU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Print-forms"/>
      <sheetName val="XLRpt_TempSheet"/>
      <sheetName val="Affinity"/>
      <sheetName val="Flowchart_Nat"/>
      <sheetName val="E2 Brands"/>
      <sheetName val="Главный"/>
      <sheetName val="WEIGHT AND SPOTS 3 OPT"/>
      <sheetName val="all brands (all media)"/>
      <sheetName val="Vehicles"/>
      <sheetName val="Evaluation2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Stru.xls"/>
      <sheetName val="Basis"/>
      <sheetName val="Zadání (Brief)"/>
      <sheetName val="Nastavení (Setting)"/>
      <sheetName val="Владивосток_ОРТ_(наш)"/>
      <sheetName val="E2_Brands"/>
      <sheetName val="WEIGHT_AND_SPOTS_3_OPT"/>
      <sheetName val="all_brands_(all_media)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MAP cf"/>
      <sheetName val="Legend"/>
      <sheetName val="dropdown_lists"/>
      <sheetName val="Stru_xls"/>
      <sheetName val="Evaluation"/>
      <sheetName val="17.7mln вар 1"/>
      <sheetName val="Brief"/>
      <sheetName val="Deal 2017"/>
      <sheetName val="CPP base"/>
      <sheetName val="Quality"/>
      <sheetName val="НРА бюджет"/>
      <sheetName val="НРА цена"/>
      <sheetName val="Setup"/>
      <sheetName val="Template"/>
      <sheetName val="Status"/>
      <sheetName val="Интернет"/>
      <sheetName val="TV spot_supplier"/>
      <sheetName val="Channel mix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организации"/>
      <sheetName val="Var2003 BU-P1"/>
      <sheetName val="campaign average f"/>
      <sheetName val="LIST"/>
      <sheetName val="Constants"/>
      <sheetName val="NIUs"/>
      <sheetName val="ОРТ"/>
      <sheetName val="РТР"/>
      <sheetName val="Digital_table"/>
      <sheetName val="МП MI"/>
      <sheetName val="2021"/>
      <sheetName val="Креон"/>
      <sheetName val="Дюфалак"/>
      <sheetName val="Дюспаталин"/>
      <sheetName val="ОРВИ Актив"/>
      <sheetName val="Var2003_BU-P1"/>
      <sheetName val="Zolla_на_70_(мар+май!)"/>
      <sheetName val="Ростов_на_Дону"/>
      <sheetName val="Нижний_Новгород"/>
      <sheetName val="Наб_Челны"/>
      <sheetName val="report"/>
      <sheetName val="MP"/>
      <sheetName val="Аудитория и ТТ"/>
      <sheetName val="WL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MAIL_RU3"/>
      <sheetName val="YANDEX_RU3"/>
      <sheetName val="VZGLYAD_RU3"/>
      <sheetName val="GAZETA_RU3"/>
      <sheetName val="KOMMERSANT_RU3"/>
      <sheetName val="NEWSRU_COM3"/>
      <sheetName val="AFISHA_RU3"/>
      <sheetName val="SUBSCRIBE_RU3"/>
      <sheetName val="EXPERT_RU3"/>
      <sheetName val="AVTO_RU3"/>
      <sheetName val="AUTO_RU3"/>
      <sheetName val="RIAN_RU3"/>
      <sheetName val="AMEDIA_RU3"/>
      <sheetName val="VOKRUGSVETA_RU3"/>
      <sheetName val="MTV_RU3"/>
      <sheetName val="LIVEINTERNET_RU3"/>
      <sheetName val="FASHIONTIME_RU3"/>
      <sheetName val="ECHO_MSK_RU3"/>
      <sheetName val="SUPERSTYLE_RU3"/>
      <sheetName val="INOPRESSA_RU3"/>
      <sheetName val="3DNEWS_RU3"/>
      <sheetName val="SPORTS_RU3"/>
      <sheetName val="24OPEN_RU3"/>
      <sheetName val="Владивосток_ОРТ_(наш)3"/>
      <sheetName val="E2_Brands3"/>
      <sheetName val="WEIGHT_AND_SPOTS_3_OPT3"/>
      <sheetName val="all_brands_(all_media)3"/>
      <sheetName val="Stru_xls2"/>
      <sheetName val="Zadání_(Brief)2"/>
      <sheetName val="Nastavení_(Setting)2"/>
      <sheetName val="Net_CPP2"/>
      <sheetName val="Channel_Selection2"/>
      <sheetName val="MAP_cf1"/>
      <sheetName val="TV_spot_supplier1"/>
      <sheetName val="17_7mln_вар_11"/>
      <sheetName val="Deal_20171"/>
      <sheetName val="CPP_base1"/>
      <sheetName val="НРА_бюджет1"/>
      <sheetName val="НРА_цена1"/>
      <sheetName val="Channel_mix1"/>
      <sheetName val="Intro_-_market_data1"/>
      <sheetName val="Digital_data_sheet"/>
      <sheetName val="ОРВИ_Актив"/>
      <sheetName val="Сводный_файл"/>
      <sheetName val="How_to"/>
      <sheetName val="Deal_2019"/>
      <sheetName val="Deal_2020"/>
      <sheetName val="investments_in_TV_deal_2020"/>
      <sheetName val="Фед__ТВ_стар_(2)"/>
      <sheetName val="Media Plan"/>
      <sheetName val="Digital"/>
      <sheetName val="Bloggers"/>
      <sheetName val="ООН"/>
      <sheetName val="Radio "/>
      <sheetName val="Алматы"/>
      <sheetName val="Нур-Султан"/>
      <sheetName val="Актобе"/>
      <sheetName val="Шымкент"/>
      <sheetName val="Караганда"/>
      <sheetName val="Актау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Data CpGRP"/>
      <sheetName val="Data Sender-ZS"/>
      <sheetName val="Типы"/>
      <sheetName val="bel"/>
      <sheetName val="MediaAreas"/>
      <sheetName val="Otherlists"/>
      <sheetName val="Cities"/>
      <sheetName val="MediaMarkers"/>
      <sheetName val="PlacementCategories"/>
      <sheetName val="Control"/>
      <sheetName val="HBU_Modern"/>
      <sheetName val="HBU_Trad"/>
      <sheetName val="ConstantsANDSettings"/>
      <sheetName val="Codes"/>
      <sheetName val="kz budget 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">
          <cell r="B3">
            <v>79042863.029660702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3">
          <cell r="B3" t="str">
            <v>Product #2</v>
          </cell>
        </row>
      </sheetData>
      <sheetData sheetId="92">
        <row r="3">
          <cell r="B3" t="str">
            <v>Product #2</v>
          </cell>
        </row>
      </sheetData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>
        <row r="3">
          <cell r="B3" t="str">
            <v>Product #2</v>
          </cell>
        </row>
      </sheetData>
      <sheetData sheetId="125" refreshError="1"/>
      <sheetData sheetId="126" refreshError="1"/>
      <sheetData sheetId="127" refreshError="1"/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>
        <row r="3">
          <cell r="B3" t="str">
            <v>Product #2</v>
          </cell>
        </row>
      </sheetData>
      <sheetData sheetId="133">
        <row r="3">
          <cell r="B3" t="str">
            <v>Product #2</v>
          </cell>
        </row>
      </sheetData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/>
      <sheetData sheetId="141">
        <row r="3">
          <cell r="B3">
            <v>0</v>
          </cell>
        </row>
      </sheetData>
      <sheetData sheetId="142" refreshError="1"/>
      <sheetData sheetId="143">
        <row r="3">
          <cell r="B3">
            <v>0</v>
          </cell>
        </row>
      </sheetData>
      <sheetData sheetId="144">
        <row r="3">
          <cell r="B3">
            <v>0</v>
          </cell>
        </row>
      </sheetData>
      <sheetData sheetId="145">
        <row r="3">
          <cell r="B3">
            <v>0</v>
          </cell>
        </row>
      </sheetData>
      <sheetData sheetId="146">
        <row r="3">
          <cell r="B3">
            <v>0</v>
          </cell>
        </row>
      </sheetData>
      <sheetData sheetId="147">
        <row r="3">
          <cell r="B3">
            <v>0</v>
          </cell>
        </row>
      </sheetData>
      <sheetData sheetId="148"/>
      <sheetData sheetId="149">
        <row r="3">
          <cell r="B3">
            <v>0</v>
          </cell>
        </row>
      </sheetData>
      <sheetData sheetId="150">
        <row r="3">
          <cell r="B3" t="str">
            <v>Product #2</v>
          </cell>
        </row>
      </sheetData>
      <sheetData sheetId="151">
        <row r="3">
          <cell r="B3">
            <v>0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>
            <v>0</v>
          </cell>
        </row>
      </sheetData>
      <sheetData sheetId="154"/>
      <sheetData sheetId="155"/>
      <sheetData sheetId="156"/>
      <sheetData sheetId="157">
        <row r="3">
          <cell r="B3">
            <v>0</v>
          </cell>
        </row>
      </sheetData>
      <sheetData sheetId="158"/>
      <sheetData sheetId="159">
        <row r="3">
          <cell r="B3">
            <v>0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 t="str">
            <v>Бренд: Premier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 t="str">
            <v>Бренд: Premier</v>
          </cell>
        </row>
      </sheetData>
      <sheetData sheetId="164"/>
      <sheetData sheetId="165">
        <row r="3">
          <cell r="B3" t="str">
            <v>Бренд: Premier</v>
          </cell>
        </row>
      </sheetData>
      <sheetData sheetId="166" refreshError="1"/>
      <sheetData sheetId="167" refreshError="1"/>
      <sheetData sheetId="168"/>
      <sheetData sheetId="169">
        <row r="3">
          <cell r="B3">
            <v>0</v>
          </cell>
        </row>
      </sheetData>
      <sheetData sheetId="170"/>
      <sheetData sheetId="171">
        <row r="3">
          <cell r="B3">
            <v>0</v>
          </cell>
        </row>
      </sheetData>
      <sheetData sheetId="172"/>
      <sheetData sheetId="173">
        <row r="4">
          <cell r="B4" t="str">
            <v>January</v>
          </cell>
        </row>
      </sheetData>
      <sheetData sheetId="174"/>
      <sheetData sheetId="175"/>
      <sheetData sheetId="176"/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Product #2</v>
          </cell>
        </row>
      </sheetData>
      <sheetData sheetId="181">
        <row r="3">
          <cell r="B3" t="str">
            <v>Бренд: Premier</v>
          </cell>
        </row>
      </sheetData>
      <sheetData sheetId="182"/>
      <sheetData sheetId="183"/>
      <sheetData sheetId="184"/>
      <sheetData sheetId="185">
        <row r="3">
          <cell r="B3">
            <v>0</v>
          </cell>
        </row>
      </sheetData>
      <sheetData sheetId="186"/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>
        <row r="3">
          <cell r="B3">
            <v>0</v>
          </cell>
        </row>
      </sheetData>
      <sheetData sheetId="192"/>
      <sheetData sheetId="193">
        <row r="3">
          <cell r="B3">
            <v>0</v>
          </cell>
        </row>
      </sheetData>
      <sheetData sheetId="194"/>
      <sheetData sheetId="195">
        <row r="3">
          <cell r="B3">
            <v>0</v>
          </cell>
        </row>
      </sheetData>
      <sheetData sheetId="196"/>
      <sheetData sheetId="197">
        <row r="3">
          <cell r="B3">
            <v>0</v>
          </cell>
        </row>
      </sheetData>
      <sheetData sheetId="198"/>
      <sheetData sheetId="199"/>
      <sheetData sheetId="200"/>
      <sheetData sheetId="201"/>
      <sheetData sheetId="202"/>
      <sheetData sheetId="203">
        <row r="3">
          <cell r="B3" t="str">
            <v>Product #2</v>
          </cell>
        </row>
      </sheetData>
      <sheetData sheetId="204">
        <row r="3">
          <cell r="B3" t="str">
            <v>Product #2</v>
          </cell>
        </row>
      </sheetData>
      <sheetData sheetId="205">
        <row r="3">
          <cell r="B3" t="str">
            <v>Product #2</v>
          </cell>
        </row>
      </sheetData>
      <sheetData sheetId="206">
        <row r="3">
          <cell r="B3" t="str">
            <v>Product #2</v>
          </cell>
        </row>
      </sheetData>
      <sheetData sheetId="207">
        <row r="3">
          <cell r="B3" t="str">
            <v>Бренд: Premier</v>
          </cell>
        </row>
      </sheetData>
      <sheetData sheetId="208"/>
      <sheetData sheetId="209" refreshError="1"/>
      <sheetData sheetId="210"/>
      <sheetData sheetId="211"/>
      <sheetData sheetId="212"/>
      <sheetData sheetId="213">
        <row r="4">
          <cell r="B4" t="str">
            <v>January</v>
          </cell>
        </row>
      </sheetData>
      <sheetData sheetId="214">
        <row r="3">
          <cell r="B3" t="str">
            <v>NRA form</v>
          </cell>
        </row>
      </sheetData>
      <sheetData sheetId="215">
        <row r="3">
          <cell r="B3" t="str">
            <v>NRA form</v>
          </cell>
        </row>
      </sheetData>
      <sheetData sheetId="216">
        <row r="3">
          <cell r="B3" t="str">
            <v>NRA form</v>
          </cell>
        </row>
      </sheetData>
      <sheetData sheetId="217">
        <row r="3">
          <cell r="B3" t="str">
            <v>NRA form</v>
          </cell>
        </row>
      </sheetData>
      <sheetData sheetId="218">
        <row r="3">
          <cell r="B3" t="str">
            <v>NRA form</v>
          </cell>
        </row>
      </sheetData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3">
          <cell r="B3" t="str">
            <v>Бренд: Premier</v>
          </cell>
        </row>
      </sheetData>
      <sheetData sheetId="232">
        <row r="3">
          <cell r="B3">
            <v>0</v>
          </cell>
        </row>
      </sheetData>
      <sheetData sheetId="233"/>
      <sheetData sheetId="234"/>
      <sheetData sheetId="235">
        <row r="1">
          <cell r="BO1">
            <v>0</v>
          </cell>
        </row>
      </sheetData>
      <sheetData sheetId="236">
        <row r="1">
          <cell r="BO1">
            <v>0</v>
          </cell>
        </row>
      </sheetData>
      <sheetData sheetId="237">
        <row r="3">
          <cell r="B3">
            <v>0</v>
          </cell>
        </row>
      </sheetData>
      <sheetData sheetId="238">
        <row r="1">
          <cell r="BO1">
            <v>0</v>
          </cell>
        </row>
      </sheetData>
      <sheetData sheetId="239">
        <row r="1">
          <cell r="BO1">
            <v>0</v>
          </cell>
        </row>
      </sheetData>
      <sheetData sheetId="240">
        <row r="1">
          <cell r="BO1">
            <v>0</v>
          </cell>
        </row>
      </sheetData>
      <sheetData sheetId="241">
        <row r="1">
          <cell r="BO1">
            <v>0</v>
          </cell>
        </row>
      </sheetData>
      <sheetData sheetId="242" refreshError="1"/>
      <sheetData sheetId="243">
        <row r="1">
          <cell r="BO1">
            <v>0</v>
          </cell>
        </row>
      </sheetData>
      <sheetData sheetId="244">
        <row r="1">
          <cell r="BO1">
            <v>0</v>
          </cell>
        </row>
      </sheetData>
      <sheetData sheetId="245">
        <row r="3">
          <cell r="B3">
            <v>0</v>
          </cell>
        </row>
      </sheetData>
      <sheetData sheetId="246">
        <row r="3">
          <cell r="B3" t="str">
            <v>ЗАПОЛНИТЬ</v>
          </cell>
        </row>
      </sheetData>
      <sheetData sheetId="247"/>
      <sheetData sheetId="248">
        <row r="1">
          <cell r="BO1">
            <v>0</v>
          </cell>
        </row>
      </sheetData>
      <sheetData sheetId="249">
        <row r="1">
          <cell r="BO1">
            <v>0</v>
          </cell>
        </row>
      </sheetData>
      <sheetData sheetId="250">
        <row r="3">
          <cell r="B3">
            <v>0</v>
          </cell>
        </row>
      </sheetData>
      <sheetData sheetId="251">
        <row r="3">
          <cell r="B3" t="str">
            <v>ЗАПОЛНИТЬ</v>
          </cell>
        </row>
      </sheetData>
      <sheetData sheetId="252"/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1">
          <cell r="C21">
            <v>0</v>
          </cell>
        </row>
      </sheetData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>
        <row r="1">
          <cell r="BO1">
            <v>0</v>
          </cell>
        </row>
      </sheetData>
      <sheetData sheetId="316">
        <row r="1">
          <cell r="BO1">
            <v>0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97QUAR"/>
      <sheetName val="DATI"/>
      <sheetName val="OT97QUAR.XLS"/>
      <sheetName val="Grafici Prodotto"/>
      <sheetName val="Grafici Prodotto GRP Alti"/>
      <sheetName val="Modulo1"/>
      <sheetName val="TITOLO"/>
      <sheetName val="TARGET  "/>
      <sheetName val="planning"/>
      <sheetName val="radio comm.li"/>
      <sheetName val="Report Resume"/>
      <sheetName val="Planning Mobile cpm"/>
      <sheetName val="Planning Display cpc"/>
      <sheetName val="Planning SEM"/>
      <sheetName val="Planning Display cpv"/>
      <sheetName val="Planning Videoseeding"/>
      <sheetName val="Planning DEM cpl"/>
      <sheetName val="Foglio1"/>
      <sheetName val="Foglio2"/>
      <sheetName val="Foglio3"/>
      <sheetName val="Foglio4"/>
      <sheetName val="Foglio5"/>
      <sheetName val="radioa rai"/>
      <sheetName val="Form per RDA"/>
      <sheetName val="\@\CIA_ROME_NT_1\DATA\BLU_RM\A-"/>
      <sheetName val="\C\@\CIA_ROME_NT_1\DATA\BLU_RM\"/>
      <sheetName val="Grafici_Prodotto"/>
      <sheetName val="Grafici_Prodotto_GRP_Alti"/>
      <sheetName val="\\CIA_ROME_NT_1\DATA\BLU_RM\A-B"/>
      <sheetName val="\Users\ccojoc01\AppData\Local\M"/>
      <sheetName val="InputSheet"/>
      <sheetName val="\\server.umg\Users\Emes\Downloa"/>
      <sheetName val="madre"/>
      <sheetName val="Società"/>
      <sheetName val="Peer"/>
      <sheetName val="28.9"/>
      <sheetName val="Grafici_Prodotto1"/>
      <sheetName val="Grafici_Prodotto_GRP_Alti1"/>
      <sheetName val="OT97QUAR_XLS"/>
      <sheetName val="TARGET__"/>
      <sheetName val="radio_comm_li"/>
      <sheetName val="Report_Resume"/>
      <sheetName val="Planning_Mobile_cpm"/>
      <sheetName val="Planning_Display_cpc"/>
      <sheetName val="Planning_SEM"/>
      <sheetName val="Planning_Display_cpv"/>
      <sheetName val="Planning_Videoseeding"/>
      <sheetName val="Planning_DEM_cpl"/>
      <sheetName val="radioa_rai"/>
      <sheetName val="Form_per_RDA"/>
      <sheetName val="Grafici_Prodotto2"/>
      <sheetName val="Grafici_Prodotto_GRP_Alti2"/>
      <sheetName val="OT97QUAR_XLS1"/>
      <sheetName val="TARGET__1"/>
      <sheetName val="radio_comm_li1"/>
      <sheetName val="Report_Resume1"/>
      <sheetName val="Planning_Mobile_cpm1"/>
      <sheetName val="Planning_Display_cpc1"/>
      <sheetName val="Planning_SEM1"/>
      <sheetName val="Planning_Display_cpv1"/>
      <sheetName val="Planning_Videoseeding1"/>
      <sheetName val="Planning_DEM_cpl1"/>
      <sheetName val="radioa_rai1"/>
      <sheetName val="Form_per_RDA1"/>
      <sheetName val="Grafici_Prodotto3"/>
      <sheetName val="Grafici_Prodotto_GRP_Alti3"/>
      <sheetName val="OT97QUAR_XLS2"/>
      <sheetName val="TARGET__2"/>
      <sheetName val="radio_comm_li2"/>
      <sheetName val="Report_Resume2"/>
      <sheetName val="Planning_Mobile_cpm2"/>
      <sheetName val="Planning_Display_cpc2"/>
      <sheetName val="Planning_SEM2"/>
      <sheetName val="Planning_Display_cpv2"/>
      <sheetName val="Planning_Videoseeding2"/>
      <sheetName val="Planning_DEM_cpl2"/>
      <sheetName val="radioa_rai2"/>
      <sheetName val="Form_per_RDA2"/>
      <sheetName val="Grafici_Prodotto5"/>
      <sheetName val="Grafici_Prodotto_GRP_Alti5"/>
      <sheetName val="OT97QUAR_XLS4"/>
      <sheetName val="TARGET__4"/>
      <sheetName val="radio_comm_li4"/>
      <sheetName val="Report_Resume4"/>
      <sheetName val="Planning_Mobile_cpm4"/>
      <sheetName val="Planning_Display_cpc4"/>
      <sheetName val="Planning_SEM4"/>
      <sheetName val="Planning_Display_cpv4"/>
      <sheetName val="Planning_Videoseeding4"/>
      <sheetName val="Planning_DEM_cpl4"/>
      <sheetName val="radioa_rai4"/>
      <sheetName val="Form_per_RDA4"/>
      <sheetName val="Grafici_Prodotto4"/>
      <sheetName val="Grafici_Prodotto_GRP_Alti4"/>
      <sheetName val="OT97QUAR_XLS3"/>
      <sheetName val="TARGET__3"/>
      <sheetName val="radio_comm_li3"/>
      <sheetName val="Report_Resume3"/>
      <sheetName val="Planning_Mobile_cpm3"/>
      <sheetName val="Planning_Display_cpc3"/>
      <sheetName val="Planning_SEM3"/>
      <sheetName val="Planning_Display_cpv3"/>
      <sheetName val="Planning_Videoseeding3"/>
      <sheetName val="Planning_DEM_cpl3"/>
      <sheetName val="radioa_rai3"/>
      <sheetName val="Form_per_RDA3"/>
      <sheetName val="Grafici_Prodotto6"/>
      <sheetName val="Grafici_Prodotto_GRP_Alti6"/>
      <sheetName val="OT97QUAR_XLS5"/>
      <sheetName val="TARGET__5"/>
      <sheetName val="radio_comm_li5"/>
      <sheetName val="Report_Resume5"/>
      <sheetName val="Planning_Mobile_cpm5"/>
      <sheetName val="Planning_Display_cpc5"/>
      <sheetName val="Planning_SEM5"/>
      <sheetName val="Planning_Display_cpv5"/>
      <sheetName val="Planning_Videoseeding5"/>
      <sheetName val="Planning_DEM_cpl5"/>
      <sheetName val="radioa_rai5"/>
      <sheetName val="Form_per_RDA5"/>
      <sheetName val="Grafici_Prodotto7"/>
      <sheetName val="Grafici_Prodotto_GRP_Alti7"/>
      <sheetName val="OT97QUAR_XLS6"/>
      <sheetName val="TARGET__6"/>
      <sheetName val="radio_comm_li6"/>
      <sheetName val="Report_Resume6"/>
      <sheetName val="Planning_Mobile_cpm6"/>
      <sheetName val="Planning_Display_cpc6"/>
      <sheetName val="Planning_SEM6"/>
      <sheetName val="Planning_Display_cpv6"/>
      <sheetName val="Planning_Videoseeding6"/>
      <sheetName val="Planning_DEM_cpl6"/>
      <sheetName val="radioa_rai6"/>
      <sheetName val="Form_per_RDA6"/>
      <sheetName val="Grafici_Prodotto8"/>
      <sheetName val="Grafici_Prodotto_GRP_Alti8"/>
      <sheetName val="OT97QUAR_XLS7"/>
      <sheetName val="TARGET__7"/>
      <sheetName val="radio_comm_li7"/>
      <sheetName val="Report_Resume7"/>
      <sheetName val="Planning_Mobile_cpm7"/>
      <sheetName val="Planning_Display_cpc7"/>
      <sheetName val="Planning_SEM7"/>
      <sheetName val="Planning_Display_cpv7"/>
      <sheetName val="Planning_Videoseeding7"/>
      <sheetName val="Planning_DEM_cpl7"/>
      <sheetName val="radioa_rai7"/>
      <sheetName val="Form_per_RDA7"/>
      <sheetName val="Grafici_Prodotto9"/>
      <sheetName val="Grafici_Prodotto_GRP_Alti9"/>
      <sheetName val="OT97QUAR_XLS8"/>
      <sheetName val="TARGET__8"/>
      <sheetName val="radio_comm_li8"/>
      <sheetName val="Report_Resume8"/>
      <sheetName val="Planning_Mobile_cpm8"/>
      <sheetName val="Planning_Display_cpc8"/>
      <sheetName val="Planning_SEM8"/>
      <sheetName val="Planning_Display_cpv8"/>
      <sheetName val="Planning_Videoseeding8"/>
      <sheetName val="Planning_DEM_cpl8"/>
      <sheetName val="radioa_rai8"/>
      <sheetName val="Form_per_RDA8"/>
      <sheetName val="\\APSGAPFS02\Public$\Users\ccoj"/>
      <sheetName val="Grafici_Prodotto10"/>
      <sheetName val="Grafici_Prodotto_GRP_Alti10"/>
      <sheetName val="OT97QUAR_XLS9"/>
      <sheetName val="TARGET__9"/>
      <sheetName val="radio_comm_li9"/>
      <sheetName val="Report_Resume9"/>
      <sheetName val="Planning_Mobile_cpm9"/>
      <sheetName val="Planning_Display_cpc9"/>
      <sheetName val="Planning_SEM9"/>
      <sheetName val="Planning_Display_cpv9"/>
      <sheetName val="Planning_Videoseeding9"/>
      <sheetName val="Planning_DEM_cpl9"/>
      <sheetName val="radioa_rai9"/>
      <sheetName val="Form_per_RDA9"/>
      <sheetName val="Grafici_Prodotto11"/>
      <sheetName val="Grafici_Prodotto_GRP_Alti11"/>
      <sheetName val="OT97QUAR_XLS10"/>
      <sheetName val="TARGET__10"/>
      <sheetName val="radio_comm_li10"/>
      <sheetName val="Report_Resume10"/>
      <sheetName val="Planning_Mobile_cpm10"/>
      <sheetName val="Planning_Display_cpc10"/>
      <sheetName val="Planning_SEM10"/>
      <sheetName val="Planning_Display_cpv10"/>
      <sheetName val="Planning_Videoseeding10"/>
      <sheetName val="Planning_DEM_cpl10"/>
      <sheetName val="radioa_rai10"/>
      <sheetName val="Form_per_RDA10"/>
      <sheetName val="\\etno03\condivisa vittoria\BLU"/>
      <sheetName val="Grafici_Prodotto12"/>
      <sheetName val="Grafici_Prodotto_GRP_Alti12"/>
      <sheetName val="OT97QUAR_XLS11"/>
      <sheetName val="TARGET__11"/>
      <sheetName val="radio_comm_li11"/>
      <sheetName val="Report_Resume11"/>
      <sheetName val="Planning_Mobile_cpm11"/>
      <sheetName val="Planning_Display_cpc11"/>
      <sheetName val="Planning_SEM11"/>
      <sheetName val="Planning_Display_cpv11"/>
      <sheetName val="Planning_Videoseeding11"/>
      <sheetName val="Planning_DEM_cpl11"/>
      <sheetName val="radioa_rai11"/>
      <sheetName val="Form_per_RDA11"/>
      <sheetName val="Grafici_Prodotto13"/>
      <sheetName val="Grafici_Prodotto_GRP_Alti13"/>
      <sheetName val="OT97QUAR_XLS12"/>
      <sheetName val="TARGET__12"/>
      <sheetName val="radio_comm_li12"/>
      <sheetName val="Report_Resume12"/>
      <sheetName val="Planning_Mobile_cpm12"/>
      <sheetName val="Planning_Display_cpc12"/>
      <sheetName val="Planning_SEM12"/>
      <sheetName val="Planning_Display_cpv12"/>
      <sheetName val="Planning_Videoseeding12"/>
      <sheetName val="Planning_DEM_cpl12"/>
      <sheetName val="radioa_rai12"/>
      <sheetName val="Form_per_RDA12"/>
      <sheetName val="Grafici_Prodotto14"/>
      <sheetName val="Grafici_Prodotto_GRP_Alti14"/>
      <sheetName val="OT97QUAR_XLS13"/>
      <sheetName val="TARGET__13"/>
      <sheetName val="radio_comm_li13"/>
      <sheetName val="Report_Resume13"/>
      <sheetName val="Planning_Mobile_cpm13"/>
      <sheetName val="Planning_Display_cpc13"/>
      <sheetName val="Planning_SEM13"/>
      <sheetName val="Planning_Display_cpv13"/>
      <sheetName val="Planning_Videoseeding13"/>
      <sheetName val="Planning_DEM_cpl13"/>
      <sheetName val="radioa_rai13"/>
      <sheetName val="Form_per_RDA13"/>
      <sheetName val="Grafici_Prodotto15"/>
      <sheetName val="Grafici_Prodotto_GRP_Alti15"/>
      <sheetName val="OT97QUAR_XLS14"/>
      <sheetName val="TARGET__14"/>
      <sheetName val="radio_comm_li14"/>
      <sheetName val="Report_Resume14"/>
      <sheetName val="Planning_Mobile_cpm14"/>
      <sheetName val="Planning_Display_cpc14"/>
      <sheetName val="Planning_SEM14"/>
      <sheetName val="Planning_Display_cpv14"/>
      <sheetName val="Planning_Videoseeding14"/>
      <sheetName val="Planning_DEM_cpl14"/>
      <sheetName val="radioa_rai14"/>
      <sheetName val="Form_per_RDA14"/>
      <sheetName val="\\etno03\condivisa_vittoria\BLU"/>
      <sheetName val="Grafici_Prodotto16"/>
      <sheetName val="Grafici_Prodotto_GRP_Alti16"/>
      <sheetName val="OT97QUAR_XLS15"/>
      <sheetName val="TARGET__15"/>
      <sheetName val="radio_comm_li15"/>
      <sheetName val="Report_Resume15"/>
      <sheetName val="Planning_Mobile_cpm15"/>
      <sheetName val="Planning_Display_cpc15"/>
      <sheetName val="Planning_SEM15"/>
      <sheetName val="Planning_Display_cpv15"/>
      <sheetName val="Planning_Videoseeding15"/>
      <sheetName val="Planning_DEM_cpl15"/>
      <sheetName val="radioa_rai15"/>
      <sheetName val="Form_per_RDA15"/>
      <sheetName val="\\etno03\condivisa_vittoria\BL1"/>
      <sheetName val="\\MIL-FPS39\clientimec$\Users\s"/>
      <sheetName val="\Users\bruno.baty\AppData\Local"/>
      <sheetName val="[OT97QUAR.XLS][OT97QUAR.XLS]\@\"/>
      <sheetName val="[OT97QUAR.XLS][OT97QUAR.XLS]\C\"/>
      <sheetName val="[OT97QUAR.XLS][OT97QUAR.XLS]\\C"/>
      <sheetName val="[OT97QUAR.XLS][OT97QUAR.XLS]\Us"/>
      <sheetName val="[OT97QUAR.XLS][OT97QUAR.XLS]\\A"/>
      <sheetName val="[OT97QUAR.XLS][OT97QUAR.XLS]\\s"/>
      <sheetName val="[OT97QUAR.XLS][OT97QUAR.XLS]\\e"/>
      <sheetName val="[OT97QUAR.XLS][OT97QUAR.XLS]\\M"/>
      <sheetName val="[OT97QUAR.XLS][OT97QUAR.XLS][OT"/>
      <sheetName val="\Users\kunleAdebayo\Downloads\C"/>
      <sheetName val="Grafici_Prodotto17"/>
      <sheetName val="Grafici_Prodotto_GRP_Alti17"/>
      <sheetName val="OT97QUAR_XLS16"/>
      <sheetName val="TARGET__16"/>
      <sheetName val="radio_comm_li16"/>
      <sheetName val="Report_Resume16"/>
      <sheetName val="Planning_Mobile_cpm16"/>
      <sheetName val="Planning_Display_cpc16"/>
      <sheetName val="Planning_SEM16"/>
      <sheetName val="Planning_Display_cpv16"/>
      <sheetName val="Planning_Videoseeding16"/>
      <sheetName val="Planning_DEM_cpl16"/>
      <sheetName val="radioa_rai16"/>
      <sheetName val="Form_per_RDA16"/>
      <sheetName val="28_9"/>
      <sheetName val="\\etno03\condivisa_vittoria\BL2"/>
      <sheetName val="[OT97QUAR.XLS]__myoffice_acce_2"/>
      <sheetName val="SitesVermarkter"/>
      <sheetName val="\BLU_RM\A-BLU_RM\SAGIT\QFF\QFF_"/>
      <sheetName val="[OT97QUAR.XLS]\@\CIA_ROME_NT_1\"/>
      <sheetName val="[OT97QUAR.XLS]\C\@\CIA_ROME_NT_"/>
      <sheetName val="[OT97QUAR.XLS]\\CIA_ROME_NT_1\D"/>
      <sheetName val="[OT97QUAR.XLS]\Users\ccojoc01\A"/>
      <sheetName val="[OT97QUAR.XLS]\\APSGAPFS02\Publ"/>
      <sheetName val="[OT97QUAR.XLS]\\server.umg\User"/>
      <sheetName val="[OT97QUAR.XLS]\\etno03\condivis"/>
      <sheetName val="[OT97QUAR.XLS]\\MIL-FPS39\clien"/>
      <sheetName val="[OT97QUAR.XLS]\Users\bruno.baty"/>
      <sheetName val="[OT97QUAR.XLS]\Users\kunleAdeba"/>
      <sheetName val="[OT97QUAR.XLS]//myoffice.accent"/>
      <sheetName val="[OT97QUAR.XLS]\BLU_RM\A-BLU_RM\"/>
      <sheetName val="[OT97QUAR.XLS]__myoffice_acce_3"/>
      <sheetName val="[OT97QUAR.XLS]__myoffice_acce_4"/>
      <sheetName val="[OT97QUAR.XLS]__myoffice_acce_5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[OT97QUAR.XLS]__myoffice_acce_6"/>
      <sheetName val="[OT97QUAR.XLS]__myoffice_acce_7"/>
      <sheetName val="[OT97QUAR.XLS]__myoffice_acc_21"/>
      <sheetName val="[OT97QUAR.XLS]__myoffice_acce_8"/>
      <sheetName val="[OT97QUAR.XLS]__myoffice_acc_13"/>
      <sheetName val="[OT97QUAR.XLS]__myoffice_acc_11"/>
      <sheetName val="[OT97QUAR.XLS]__myoffice_acce_9"/>
      <sheetName val="[OT97QUAR.XLS]__myoffice_acc_10"/>
      <sheetName val="[OT97QUAR.XLS]__myoffice_acc_12"/>
      <sheetName val="[OT97QUAR.XLS]__myoffice_acc_14"/>
      <sheetName val="[OT97QUAR.XLS]__myoffice_acc_17"/>
      <sheetName val="[OT97QUAR.XLS]__myoffice_acc_15"/>
      <sheetName val="[OT97QUAR.XLS]__myoffice_acc_16"/>
      <sheetName val="[OT97QUAR.XLS]__myoffice_acc_18"/>
      <sheetName val="[OT97QUAR.XLS]__myoffice_acc_19"/>
      <sheetName val="[OT97QUAR.XLS]__myoffice_acc_20"/>
      <sheetName val="[OT97QUAR.XLS]__myoffice_acc_23"/>
      <sheetName val="[OT97QUAR.XLS]__myoffice_acc_22"/>
      <sheetName val="[OT97QUAR.XLS]__myoffice_acc_25"/>
      <sheetName val="[OT97QUAR.XLS]__myoffice_acc_24"/>
      <sheetName val="[OT97QUAR.XLS]__myoffice_acc_28"/>
      <sheetName val="[OT97QUAR.XLS]__myoffice_acc_26"/>
      <sheetName val="[OT97QUAR.XLS]__myoffice_acc_27"/>
      <sheetName val="[OT97QUAR.XLS]__myoffice_acc_29"/>
      <sheetName val="[OT97QUAR.XLS]__myoffice_acc_31"/>
      <sheetName val="[OT97QUAR.XLS]__myoffice_acc_30"/>
      <sheetName val="[OT97QUAR.XLS]__myoffice_acc_32"/>
      <sheetName val="[OT97QUAR.XLS]__myoffice_acc_33"/>
      <sheetName val="[OT97QUAR.XLS]__myoffice_acc_34"/>
      <sheetName val="[OT97QUAR.XLS]__myoffice_acc_35"/>
      <sheetName val="[OT97QUAR.XLS]__myoffice_acc_36"/>
      <sheetName val="[OT97QUAR.XLS]__myoffice_acc_37"/>
      <sheetName val="[OT97QUAR.XLS]__myoffice_acc_39"/>
      <sheetName val="[OT97QUAR.XLS]__myoffice_acc_38"/>
      <sheetName val="[OT97QUAR.XLS]__myoffice_acc_40"/>
      <sheetName val="[OT97QUAR.XLS]__myoffice_acc_41"/>
      <sheetName val="[OT97QUAR.XLS]__myoffice_acc_42"/>
      <sheetName val="[OT97QUAR.XLS]__myoffice_acc_43"/>
      <sheetName val="[OT97QUAR.XLS]__myoffice_acc_44"/>
      <sheetName val="[OT97QUAR.XLS]__myoffice_acc_45"/>
      <sheetName val="[OT97QUAR.XLS]__myoffice_acc_46"/>
      <sheetName val="[OT97QUAR.XLS]__myoffice_acc_47"/>
      <sheetName val="[OT97QUAR.XLS]__myoffice_acc_48"/>
      <sheetName val="Grafici_Prodotto18"/>
      <sheetName val="Grafici_Prodotto_GRP_Alti18"/>
      <sheetName val="OT97QUAR_XLS17"/>
      <sheetName val="TARGET__17"/>
      <sheetName val="radio_comm_li17"/>
      <sheetName val="Report_Resume17"/>
      <sheetName val="Planning_Mobile_cpm17"/>
      <sheetName val="Planning_Display_cpc17"/>
      <sheetName val="Planning_SEM17"/>
      <sheetName val="Planning_Display_cpv17"/>
      <sheetName val="Planning_Videoseeding17"/>
      <sheetName val="Planning_DEM_cpl17"/>
      <sheetName val="radioa_rai17"/>
      <sheetName val="Form_per_RDA17"/>
      <sheetName val="\\etno03\condivisa_vittoria\BL3"/>
      <sheetName val="28_91"/>
      <sheetName val="\\server_umg\Users\Emes\Downloa"/>
      <sheetName val="\Users\bruno_baty\AppData\Local"/>
      <sheetName val="[OT97QUAR_XLS][OT97QUAR_XLS]\@\"/>
      <sheetName val="[OT97QUAR_XLS][OT97QUAR_XLS]\C\"/>
      <sheetName val="[OT97QUAR_XLS][OT97QUAR_XLS]\\C"/>
      <sheetName val="[OT97QUAR_XLS][OT97QUAR_XLS]\Us"/>
      <sheetName val="[OT97QUAR_XLS][OT97QUAR_XLS]\\A"/>
      <sheetName val="[OT97QUAR_XLS][OT97QUAR_XLS]\\s"/>
      <sheetName val="[OT97QUAR_XLS][OT97QUAR_XLS]\\e"/>
      <sheetName val="[OT97QUAR_XLS][OT97QUAR_XLS]\\M"/>
      <sheetName val="[OT97QUAR_XLS][OT97QUAR_XLS][OT"/>
      <sheetName val="//myoffice_accenture_com/Users/"/>
      <sheetName val="Grafici_Prodotto19"/>
      <sheetName val="Grafici_Prodotto_GRP_Alti19"/>
      <sheetName val="OT97QUAR_XLS18"/>
      <sheetName val="TARGET__18"/>
      <sheetName val="radio_comm_li18"/>
      <sheetName val="Report_Resume18"/>
      <sheetName val="Planning_Mobile_cpm18"/>
      <sheetName val="Planning_Display_cpc18"/>
      <sheetName val="Planning_SEM18"/>
      <sheetName val="Planning_Display_cpv18"/>
      <sheetName val="Planning_Videoseeding18"/>
      <sheetName val="Planning_DEM_cpl18"/>
      <sheetName val="radioa_rai18"/>
      <sheetName val="Form_per_RDA18"/>
      <sheetName val="\\etno03\condivisa_vittoria\BL4"/>
      <sheetName val="28_92"/>
      <sheetName val="\\server_umg\Users\Emes\Downlo1"/>
      <sheetName val="\Users\bruno_baty\AppData\Loca1"/>
      <sheetName val="[OT97QUAR_XLS][OT97QUAR_XLS]\@1"/>
      <sheetName val="[OT97QUAR_XLS][OT97QUAR_XLS]\C1"/>
      <sheetName val="[OT97QUAR_XLS][OT97QUAR_XLS]\\1"/>
      <sheetName val="[OT97QUAR_XLS][OT97QUAR_XLS]\U1"/>
      <sheetName val="[OT97QUAR_XLS][OT97QUAR_XLS]\\2"/>
      <sheetName val="[OT97QUAR_XLS][OT97QUAR_XLS]\\3"/>
      <sheetName val="[OT97QUAR_XLS][OT97QUAR_XLS]\\4"/>
      <sheetName val="[OT97QUAR_XLS][OT97QUAR_XLS]\\5"/>
      <sheetName val="[OT97QUAR_XLS][OT97QUAR_XLS][O1"/>
      <sheetName val="//myoffice_accenture_com/Users1"/>
      <sheetName val="COPERTINA"/>
      <sheetName val="[OT97QUAR.XLS]__myoffice_acc_49"/>
      <sheetName val="[OT97QUAR.XLS]__myoffice_acc_73"/>
      <sheetName val="MediaPlan Naming Convention"/>
      <sheetName val="MEDIAMOB WHISTELIST"/>
      <sheetName val="PBU WHITELIST VOL"/>
      <sheetName val="PBU WITHELIST DISPLAY"/>
      <sheetName val="PBU VOL"/>
      <sheetName val="TDominio"/>
      <sheetName val="[OT97QUAR.XLS]__unilever_my__31"/>
      <sheetName val="[OT97QUAR.XLS][OT97QUAR.XLS]\BL"/>
      <sheetName val=" FOCUS"/>
      <sheetName val="DONNE"/>
      <sheetName val="PUB"/>
      <sheetName val="RAI"/>
      <sheetName val="[OT97QUAR.XLS]__unilever_my_s_2"/>
      <sheetName val="[OT97QUAR.XLS]__unilever_my_s_3"/>
      <sheetName val="[OT97QUAR.XLS]__unilever_my_s_4"/>
      <sheetName val="[OT97QUAR.XLS]__myoffice_acc_59"/>
      <sheetName val="[OT97QUAR.XLS]__unilever_my__22"/>
      <sheetName val="[OT97QUAR.XLS]__unilever_my_s_5"/>
      <sheetName val="[OT97QUAR.XLS]__unilever_my_s_6"/>
      <sheetName val="[OT97QUAR.XLS]__unilever_my__10"/>
      <sheetName val="[OT97QUAR.XLS]__unilever_my_s_7"/>
      <sheetName val="[OT97QUAR.XLS]__unilever_my_s_8"/>
      <sheetName val="[OT97QUAR.XLS]__unilever_my_s_9"/>
      <sheetName val="[OT97QUAR.XLS]__unilever_my__16"/>
      <sheetName val="[OT97QUAR.XLS]__unilever_my__15"/>
      <sheetName val="[OT97QUAR.XLS]__unilever_my__14"/>
      <sheetName val="[OT97QUAR.XLS]__unilever_my__13"/>
      <sheetName val="[OT97QUAR.XLS]__unilever_my__11"/>
      <sheetName val="[OT97QUAR.XLS]__unilever_my__12"/>
      <sheetName val="[OT97QUAR.XLS]__unilever_my__17"/>
      <sheetName val="[OT97QUAR.XLS]__myoffice_acc_50"/>
      <sheetName val="[OT97QUAR.XLS]__myoffice_acc_53"/>
      <sheetName val="[OT97QUAR.XLS]__myoffice_acc_51"/>
      <sheetName val="[OT97QUAR.XLS]__myoffice_acc_52"/>
      <sheetName val="[OT97QUAR.XLS]__myoffice_acc_54"/>
      <sheetName val="[OT97QUAR.XLS]__myoffice_acc_57"/>
      <sheetName val="[OT97QUAR.XLS]__unilever_my__20"/>
      <sheetName val="[OT97QUAR.XLS]__myoffice_acc_55"/>
      <sheetName val="[OT97QUAR.XLS]__unilever_my__18"/>
      <sheetName val="[OT97QUAR.XLS]__myoffice_acc_56"/>
      <sheetName val="[OT97QUAR.XLS]__unilever_my__19"/>
      <sheetName val="[OT97QUAR.XLS]__myoffice_acc_58"/>
      <sheetName val="[OT97QUAR.XLS]__unilever_my__21"/>
      <sheetName val="[OT97QUAR.XLS]__myoffice_acc_60"/>
      <sheetName val="[OT97QUAR.XLS]__unilever_my__23"/>
      <sheetName val="[OT97QUAR.XLS]__myoffice_acc_61"/>
      <sheetName val="[OT97QUAR.XLS]__myoffice_acc_62"/>
      <sheetName val="[OT97QUAR.XLS]__unilever_my__25"/>
      <sheetName val="[OT97QUAR.XLS]__unilever_my__24"/>
      <sheetName val="[OT97QUAR.XLS]__myoffice_acc_63"/>
      <sheetName val="[OT97QUAR.XLS]__unilever_my__26"/>
      <sheetName val="[OT97QUAR.XLS]__myoffice_acc_64"/>
      <sheetName val="[OT97QUAR.XLS]__unilever_my__27"/>
      <sheetName val="[OT97QUAR.XLS]__myoffice_acc_66"/>
      <sheetName val="[OT97QUAR.XLS]__myoffice_acc_65"/>
      <sheetName val="[OT97QUAR.XLS]__myoffice_acc_67"/>
      <sheetName val="[OT97QUAR.XLS]__myoffice_acc_68"/>
      <sheetName val="[OT97QUAR.XLS]__myoffice_acc_69"/>
      <sheetName val="[OT97QUAR.XLS]__myoffice_acc_71"/>
      <sheetName val="[OT97QUAR.XLS]__unilever_my__29"/>
      <sheetName val="[OT97QUAR.XLS]__myoffice_acc_70"/>
      <sheetName val="[OT97QUAR.XLS]__unilever_my__28"/>
      <sheetName val="[OT97QUAR.XLS]__myoffice_acc_72"/>
      <sheetName val="[OT97QUAR.XLS]__unilever_my__30"/>
      <sheetName val="[OT97QUAR.XLS]__myoffice_acc_74"/>
      <sheetName val="[OT97QUAR.XLS]__unilever_my__32"/>
      <sheetName val="[OT97QUAR.XLS]__myoffice_acc_78"/>
      <sheetName val="[OT97QUAR.XLS]__myoffice_acc_75"/>
      <sheetName val="[OT97QUAR.XLS]__unilever_my__33"/>
      <sheetName val="[OT97QUAR.XLS]__myoffice_acc_76"/>
      <sheetName val="[OT97QUAR.XLS]__myoffice_acc_77"/>
      <sheetName val="[OT97QUAR.XLS]__unilever_my__34"/>
      <sheetName val="[OT97QUAR.XLS]__myoffice_acc_80"/>
      <sheetName val="[OT97QUAR.XLS]__myoffice_acc_79"/>
      <sheetName val="[OT97QUAR.XLS]__myoffice_acc_81"/>
      <sheetName val="[OT97QUAR.XLS]__unilever_my__36"/>
      <sheetName val="[OT97QUAR.XLS]__unilever_my__35"/>
      <sheetName val="[OT97QUAR.XLS]__myoffice_acc_82"/>
      <sheetName val="[OT97QUAR.XLS]__unilever_my__38"/>
      <sheetName val="[OT97QUAR.XLS]__unilever_my__37"/>
      <sheetName val="[OT97QUAR.XLS]__myoffice_acc_83"/>
      <sheetName val="[OT97QUAR.XLS]__unilever_my__39"/>
      <sheetName val="[OT97QUAR.XLS]__myoffice_acc_86"/>
      <sheetName val="[OT97QUAR.XLS]__myoffice_acc_84"/>
      <sheetName val="[OT97QUAR.XLS]__myoffice_acc_85"/>
      <sheetName val="[OT97QUAR.XLS]__myoffice_acc_87"/>
      <sheetName val="[OT97QUAR.XLS]__unilever_my__40"/>
      <sheetName val="[OT97QUAR.XLS]__myoffice_acc_92"/>
      <sheetName val="[OT97QUAR.XLS]__unilever_my__48"/>
      <sheetName val="[OT97QUAR.XLS]__unilever_my__41"/>
      <sheetName val="[OT97QUAR.XLS]__myoffice_acc_88"/>
      <sheetName val="[OT97QUAR.XLS]__unilever_my__44"/>
      <sheetName val="[OT97QUAR.XLS]__unilever_my__42"/>
      <sheetName val="[OT97QUAR.XLS]__unilever_my__43"/>
      <sheetName val="[OT97QUAR.XLS]__myoffice_acc_89"/>
      <sheetName val="[OT97QUAR.XLS]__unilever_my__45"/>
      <sheetName val="[OT97QUAR.XLS]__myoffice_acc_90"/>
      <sheetName val="[OT97QUAR.XLS]__unilever_my__46"/>
      <sheetName val="[OT97QUAR.XLS]__myoffice_acc_91"/>
      <sheetName val="[OT97QUAR.XLS]__unilever_my__47"/>
      <sheetName val="[OT97QUAR.XLS]__myoffice_acc_93"/>
      <sheetName val="[OT97QUAR.XLS]__myoffice_acc_94"/>
      <sheetName val="[OT97QUAR.XLS]__myoffice_acc_96"/>
      <sheetName val="[OT97QUAR.XLS]__myoffice_acc_95"/>
      <sheetName val="[OT97QUAR.XLS]__myoffice_acc_97"/>
      <sheetName val="[OT97QUAR.XLS]__myoffice_acc_99"/>
      <sheetName val="[OT97QUAR.XLS]__myoffice_acc_98"/>
      <sheetName val="[OT97QUAR.XLS]__myoffice_ac_100"/>
      <sheetName val="[OT97QUAR.XLS]__myoffice_ac_101"/>
      <sheetName val="[OT97QUAR.XLS]__myoffice_ac_102"/>
      <sheetName val="[OT97QUAR.XLS]__myoffice_ac_103"/>
      <sheetName val="[OT97QUAR.XLS]__myoffice_ac_131"/>
      <sheetName val="[OT97QUAR.XLS]__unilever_my__85"/>
      <sheetName val="[OT97QUAR.XLS]__unilever_my__49"/>
      <sheetName val="[OT97QUAR.XLS]__unilever_my__51"/>
      <sheetName val="[OT97QUAR.XLS]__unilever_my__50"/>
      <sheetName val="[OT97QUAR.XLS]__unilever_my__53"/>
      <sheetName val="[OT97QUAR.XLS]__unilever_my__52"/>
      <sheetName val="[OT97QUAR.XLS]__unilever_my__54"/>
      <sheetName val="[OT97QUAR.XLS]__unilever_my__57"/>
      <sheetName val="[OT97QUAR.XLS]__unilever_my__56"/>
      <sheetName val="[OT97QUAR.XLS]__unilever_my__55"/>
      <sheetName val="[OT97QUAR.XLS]__myoffice_ac_104"/>
      <sheetName val="[OT97QUAR.XLS]__unilever_my__59"/>
      <sheetName val="[OT97QUAR.XLS]__unilever_my__58"/>
      <sheetName val="[OT97QUAR.XLS]__myoffice_ac_105"/>
      <sheetName val="[OT97QUAR.XLS]__unilever_my__60"/>
      <sheetName val="[OT97QUAR.XLS]__myoffice_ac_107"/>
      <sheetName val="[OT97QUAR.XLS]__unilever_my__62"/>
      <sheetName val="[OT97QUAR.XLS]__myoffice_ac_106"/>
      <sheetName val="[OT97QUAR.XLS]__unilever_my__61"/>
      <sheetName val="[OT97QUAR.XLS]__myoffice_ac_110"/>
      <sheetName val="[OT97QUAR.XLS]__unilever_my__64"/>
      <sheetName val="[OT97QUAR.XLS]__myoffice_ac_108"/>
      <sheetName val="[OT97QUAR.XLS]__unilever_my__63"/>
      <sheetName val="[OT97QUAR.XLS]__myoffice_ac_109"/>
      <sheetName val="[OT97QUAR.XLS]__myoffice_ac_111"/>
      <sheetName val="[OT97QUAR.XLS]__myoffice_ac_118"/>
      <sheetName val="[OT97QUAR.XLS]__unilever_my__65"/>
      <sheetName val="[OT97QUAR.XLS]__myoffice_ac_113"/>
      <sheetName val="[OT97QUAR.XLS]__unilever_my__67"/>
      <sheetName val="[OT97QUAR.XLS]__myoffice_ac_112"/>
      <sheetName val="[OT97QUAR.XLS]__unilever_my__66"/>
      <sheetName val="[OT97QUAR.XLS]__myoffice_ac_114"/>
      <sheetName val="[OT97QUAR.XLS]__unilever_my__68"/>
      <sheetName val="[OT97QUAR.XLS]__myoffice_ac_115"/>
      <sheetName val="[OT97QUAR.XLS]__unilever_my__69"/>
      <sheetName val="[OT97QUAR.XLS]__myoffice_ac_116"/>
      <sheetName val="[OT97QUAR.XLS]__myoffice_ac_117"/>
      <sheetName val="[OT97QUAR.XLS]__myoffice_ac_119"/>
      <sheetName val="[OT97QUAR.XLS]__unilever_my__70"/>
      <sheetName val="[OT97QUAR.XLS]__myoffice_ac_121"/>
      <sheetName val="[OT97QUAR.XLS]__unilever_my__72"/>
      <sheetName val="[OT97QUAR.XLS]__myoffice_ac_120"/>
      <sheetName val="[OT97QUAR.XLS]__unilever_my__71"/>
      <sheetName val="[OT97QUAR.XLS]__unilever_my__73"/>
      <sheetName val="[OT97QUAR.XLS]__unilever_my__74"/>
      <sheetName val="[OT97QUAR.XLS]__unilever_my__75"/>
      <sheetName val="[OT97QUAR.XLS]__myoffice_ac_124"/>
      <sheetName val="[OT97QUAR.XLS]__unilever_my__78"/>
      <sheetName val="[OT97QUAR.XLS]__myoffice_ac_122"/>
      <sheetName val="[OT97QUAR.XLS]__unilever_my__76"/>
      <sheetName val="[OT97QUAR.XLS]__myoffice_ac_123"/>
      <sheetName val="[OT97QUAR.XLS]__unilever_my__77"/>
      <sheetName val="[OT97QUAR.XLS]__myoffice_ac_125"/>
      <sheetName val="[OT97QUAR.XLS]__unilever_my__79"/>
      <sheetName val="[OT97QUAR.XLS]__myoffice_ac_126"/>
      <sheetName val="[OT97QUAR.XLS]__unilever_my__80"/>
      <sheetName val="[OT97QUAR.XLS]__myoffice_ac_127"/>
      <sheetName val="[OT97QUAR.XLS]__unilever_my__81"/>
      <sheetName val="[OT97QUAR.XLS]__myoffice_ac_130"/>
      <sheetName val="[OT97QUAR.XLS]__unilever_my__84"/>
      <sheetName val="[OT97QUAR.XLS]__myoffice_ac_129"/>
      <sheetName val="[OT97QUAR.XLS]__unilever_my__83"/>
      <sheetName val="[OT97QUAR.XLS]__myoffice_ac_128"/>
      <sheetName val="[OT97QUAR.XLS]__unilever_my__82"/>
      <sheetName val="[OT97QUAR.XLS]__myoffice_ac_132"/>
      <sheetName val="[OT97QUAR.XLS]__unilever_my__86"/>
      <sheetName val="[OT97QUAR.XLS]__myoffice_ac_133"/>
      <sheetName val="[OT97QUAR.XLS]__unilever_my__87"/>
      <sheetName val="[OT97QUAR.XLS]__myoffice_ac_134"/>
      <sheetName val="[OT97QUAR.XLS]__unilever_my__88"/>
      <sheetName val="[OT97QUAR.XLS]__myoffice_ac_135"/>
      <sheetName val="[OT97QUAR.XLS]__unilever_my__89"/>
      <sheetName val="[OT97QUAR.XLS]__myoffice_ac_137"/>
      <sheetName val="[OT97QUAR.XLS]__unilever_my__91"/>
      <sheetName val="[OT97QUAR.XLS]__myoffice_ac_136"/>
      <sheetName val="[OT97QUAR.XLS]__unilever_my__90"/>
      <sheetName val="[OT97QUAR.XLS]__myoffice_ac_138"/>
      <sheetName val="[OT97QUAR.XLS]__unilever_my__92"/>
      <sheetName val="[OT97QUAR.XLS]__myoffice_ac_141"/>
      <sheetName val="[OT97QUAR.XLS]__unilever_my__95"/>
      <sheetName val="[OT97QUAR.XLS]__myoffice_ac_140"/>
      <sheetName val="[OT97QUAR.XLS]__unilever_my__94"/>
      <sheetName val="[OT97QUAR.XLS]__myoffice_ac_139"/>
      <sheetName val="[OT97QUAR.XLS]__unilever_my__93"/>
      <sheetName val="[OT97QUAR.XLS]__myoffice_ac_142"/>
      <sheetName val="[OT97QUAR.XLS]__unilever_my__96"/>
      <sheetName val="[OT97QUAR.XLS]__myoffice_ac_147"/>
      <sheetName val="[OT97QUAR.XLS]__unilever_my_101"/>
      <sheetName val="[OT97QUAR.XLS]__myoffice_ac_143"/>
      <sheetName val="[OT97QUAR.XLS]__unilever_my__97"/>
      <sheetName val="[OT97QUAR.XLS]__myoffice_ac_144"/>
      <sheetName val="[OT97QUAR.XLS]__unilever_my__98"/>
      <sheetName val="[OT97QUAR.XLS]__myoffice_ac_145"/>
      <sheetName val="[OT97QUAR.XLS]__unilever_my__99"/>
      <sheetName val="[OT97QUAR.XLS]__myoffice_ac_146"/>
      <sheetName val="[OT97QUAR.XLS]__unilever_my_100"/>
      <sheetName val="[OT97QUAR.XLS]__myoffice_ac_148"/>
      <sheetName val="[OT97QUAR.XLS]__myoffice_ac_149"/>
      <sheetName val="//globalappsportal-my.sharepoin"/>
      <sheetName val="[OT97QUAR.XLS]__myoffice_ac_150"/>
      <sheetName val="[OT97QUAR.XLS]__myoffice_ac_163"/>
      <sheetName val="[OT97QUAR.XLS]__unilever_my_133"/>
      <sheetName val="[OT97QUAR.XLS]__unilever_my_102"/>
      <sheetName val="[OT97QUAR.XLS]__unilever_my_103"/>
      <sheetName val="[OT97QUAR.XLS]__myoffice_ac_151"/>
      <sheetName val="[OT97QUAR.XLS]__unilever_my_105"/>
      <sheetName val="[OT97QUAR.XLS]__unilever_my_104"/>
      <sheetName val="[OT97QUAR.XLS]__myoffice_ac_152"/>
      <sheetName val="[OT97QUAR.XLS]__unilever_my_106"/>
      <sheetName val="[OT97QUAR.XLS]__myoffice_ac_155"/>
      <sheetName val="[OT97QUAR.XLS]__unilever_my_109"/>
      <sheetName val="[OT97QUAR.XLS]__myoffice_ac_154"/>
      <sheetName val="[OT97QUAR.XLS]__unilever_my_108"/>
      <sheetName val="[OT97QUAR.XLS]__myoffice_ac_153"/>
      <sheetName val="[OT97QUAR.XLS]__unilever_my_107"/>
      <sheetName val="[OT97QUAR.XLS]__unilever_my_125"/>
      <sheetName val="/CIA_ROME_NT_1/DATA/BLU_RM/A-BL"/>
      <sheetName val="[OT97QUAR.XLS]__unilever_my_110"/>
      <sheetName val="[OT97QUAR.XLS]__unilever_my_112"/>
      <sheetName val="[OT97QUAR.XLS]__unilever_my_111"/>
      <sheetName val="[OT97QUAR.XLS]__unilever_my_113"/>
      <sheetName val="[OT97QUAR.XLS]__unilever_my_117"/>
      <sheetName val="[OT97QUAR.XLS]__unilever_my_114"/>
      <sheetName val="[OT97QUAR.XLS]__unilever_my_115"/>
      <sheetName val="[OT97QUAR.XLS]__unilever_my_116"/>
      <sheetName val="[OT97QUAR.XLS]__unilever_my_118"/>
      <sheetName val="[OT97QUAR.XLS]__unilever_my_119"/>
      <sheetName val="[OT97QUAR.XLS]__unilever_my_120"/>
      <sheetName val="[OT97QUAR.XLS]__unilever_my_121"/>
      <sheetName val="[OT97QUAR.XLS]__unilever_my_123"/>
      <sheetName val="[OT97QUAR.XLS]__unilever_my_122"/>
      <sheetName val="[OT97QUAR.XLS]__unilever_my_124"/>
      <sheetName val="[OT97QUAR.XLS]__myoffice_ac_156"/>
      <sheetName val="[OT97QUAR.XLS]__unilever_my_126"/>
      <sheetName val="[OT97QUAR.XLS]__myoffice_ac_157"/>
      <sheetName val="[OT97QUAR.XLS]__unilever_my_127"/>
      <sheetName val="[OT97QUAR.XLS]__myoffice_ac_159"/>
      <sheetName val="[OT97QUAR.XLS]__unilever_my_129"/>
      <sheetName val="[OT97QUAR.XLS]__myoffice_ac_158"/>
      <sheetName val="[OT97QUAR.XLS]__unilever_my_128"/>
      <sheetName val="[OT97QUAR.XLS]__myoffice_ac_161"/>
      <sheetName val="[OT97QUAR.XLS]__unilever_my_131"/>
      <sheetName val="[OT97QUAR.XLS]__myoffice_ac_160"/>
      <sheetName val="[OT97QUAR.XLS]__unilever_my_130"/>
      <sheetName val="[OT97QUAR.XLS]__myoffice_ac_162"/>
      <sheetName val="[OT97QUAR.XLS]__unilever_my_132"/>
      <sheetName val="_@_CIA_ROME_NT_1_DATA_BLU_RM_A-"/>
      <sheetName val="_C_@_CIA_ROME_NT_1_DATA_BLU_RM_"/>
      <sheetName val="__CIA_ROME_NT_1_DATA_BLU_RM_A-B"/>
      <sheetName val="_Users_ccojoc01_AppData_Local_M"/>
      <sheetName val="__APSGAPFS02_Public$_Users_ccoj"/>
      <sheetName val="__etno03_condivisa vittoria_BLU"/>
      <sheetName val="[OT97QUAR.XLS]__myoffice_ac_164"/>
      <sheetName val="[OT97QUAR.XLS]__unilever_my_134"/>
      <sheetName val="[OT97QUAR.XLS]__myoffice_ac_173"/>
      <sheetName val="[OT97QUAR.XLS]__unilever_my_143"/>
      <sheetName val="[OT97QUAR.XLS]__myoffice_ac_172"/>
      <sheetName val="[OT97QUAR.XLS]__unilever_my_142"/>
      <sheetName val="[OT97QUAR.XLS]__myoffice_ac_165"/>
      <sheetName val="[OT97QUAR.XLS]__unilever_my_135"/>
      <sheetName val="[OT97QUAR.XLS]__myoffice_ac_166"/>
      <sheetName val="[OT97QUAR.XLS]__unilever_my_136"/>
      <sheetName val="[OT97QUAR.XLS]__myoffice_ac_167"/>
      <sheetName val="[OT97QUAR.XLS]__unilever_my_137"/>
      <sheetName val="[OT97QUAR.XLS]__myoffice_ac_168"/>
      <sheetName val="[OT97QUAR.XLS]__unilever_my_138"/>
      <sheetName val="[OT97QUAR.XLS]__myoffice_ac_169"/>
      <sheetName val="[OT97QUAR.XLS]__unilever_my_139"/>
      <sheetName val="[OT97QUAR.XLS]__myoffice_ac_170"/>
      <sheetName val="[OT97QUAR.XLS]__unilever_my_140"/>
      <sheetName val="[OT97QUAR.XLS]__myoffice_ac_171"/>
      <sheetName val="[OT97QUAR.XLS]__unilever_my_141"/>
      <sheetName val="[OT97QUAR.XLS]__myoffice_ac_174"/>
      <sheetName val="[OT97QUAR.XLS]__unilever_my_144"/>
      <sheetName val="[OT97QUAR.XLS]__myoffice_ac_175"/>
      <sheetName val="[OT97QUAR.XLS]__unilever_my_145"/>
      <sheetName val="[OT97QUAR.XLS]__myoffice_ac_189"/>
      <sheetName val="[OT97QUAR.XLS]__unilever_my_159"/>
      <sheetName val="[OT97QUAR.XLS]__myoffice_ac_176"/>
      <sheetName val="[OT97QUAR.XLS]__unilever_my_146"/>
      <sheetName val="[OT97QUAR.XLS]__myoffice_ac_177"/>
      <sheetName val="[OT97QUAR.XLS]__unilever_my_147"/>
      <sheetName val="[OT97QUAR.XLS]__myoffice_ac_178"/>
      <sheetName val="[OT97QUAR.XLS]__unilever_my_148"/>
      <sheetName val="[OT97QUAR.XLS]__myoffice_ac_179"/>
      <sheetName val="[OT97QUAR.XLS]__unilever_my_149"/>
      <sheetName val="[OT97QUAR.XLS]__myoffice_ac_180"/>
      <sheetName val="[OT97QUAR.XLS]__unilever_my_150"/>
      <sheetName val="[OT97QUAR.XLS]__myoffice_ac_181"/>
      <sheetName val="[OT97QUAR.XLS]__unilever_my_151"/>
      <sheetName val="[OT97QUAR.XLS]__myoffice_ac_182"/>
      <sheetName val="[OT97QUAR.XLS]__unilever_my_152"/>
      <sheetName val="[OT97QUAR.XLS]__myoffice_ac_183"/>
      <sheetName val="[OT97QUAR.XLS]__unilever_my_153"/>
      <sheetName val="[OT97QUAR.XLS]__myoffice_ac_185"/>
      <sheetName val="[OT97QUAR.XLS]__unilever_my_155"/>
      <sheetName val="[OT97QUAR.XLS]__myoffice_ac_184"/>
      <sheetName val="[OT97QUAR.XLS]__unilever_my_154"/>
      <sheetName val="[OT97QUAR.XLS]__myoffice_ac_187"/>
      <sheetName val="[OT97QUAR.XLS]__unilever_my_157"/>
      <sheetName val="[OT97QUAR.XLS]__myoffice_ac_186"/>
      <sheetName val="[OT97QUAR.XLS]__unilever_my_156"/>
      <sheetName val="[OT97QUAR.XLS]__myoffice_ac_188"/>
      <sheetName val="[OT97QUAR.XLS]__unilever_my_158"/>
      <sheetName val="[OT97QUAR.XLS]__myoffice_ac_191"/>
      <sheetName val="[OT97QUAR.XLS]__unilever_my_161"/>
      <sheetName val="[OT97QUAR.XLS]__myoffice_ac_190"/>
      <sheetName val="[OT97QUAR.XLS]__unilever_my_160"/>
      <sheetName val="[OT97QUAR.XLS]__myoffice_ac_192"/>
      <sheetName val="[OT97QUAR.XLS]__unilever_my_162"/>
      <sheetName val="[OT97QUAR.XLS]__myoffice_ac_193"/>
      <sheetName val="[OT97QUAR.XLS]__unilever_my_163"/>
      <sheetName val="[OT97QUAR.XLS]__myoffice_ac_194"/>
      <sheetName val="[OT97QUAR.XLS]__unilever_my_164"/>
      <sheetName val="[OT97QUAR.XLS]__myoffice_ac_195"/>
      <sheetName val="[OT97QUAR.XLS]__unilever_my_165"/>
      <sheetName val="[OT97QUAR.XLS]__myoffice_ac_196"/>
      <sheetName val="[OT97QUAR.XLS]__unilever_my_166"/>
      <sheetName val="[OT97QUAR.XLS]__myoffice_ac_197"/>
      <sheetName val="[OT97QUAR.XLS]__unilever_my_167"/>
      <sheetName val="[OT97QUAR.XLS]__myoffice_ac_198"/>
      <sheetName val="__server.umg_Users_Emes_Downloa"/>
      <sheetName val="[OT97QUAR.XLS]__myoffice_ac_199"/>
      <sheetName val="[OT97QUAR.XLS]__myoffice_ac_200"/>
      <sheetName val="[OT97QUAR.XLS]__myoffice_ac_201"/>
      <sheetName val="[OT97QUAR.XLS]__myoffice_ac_202"/>
    </sheetNames>
    <definedNames>
      <definedName name="Alti"/>
      <definedName name="normal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EMA RMB"/>
      <sheetName val="TOTALE CINEMA"/>
      <sheetName val="CINEMA SIPRA"/>
      <sheetName val="CINEMA OPUS"/>
      <sheetName val="lettera superato"/>
      <sheetName val="lettera conferma SIPRA"/>
      <sheetName val="Cinema solo listino"/>
      <sheetName val="Conto Economico.xls"/>
      <sheetName val="OT97QUAR"/>
      <sheetName val="Conto Economico"/>
      <sheetName val="DATI"/>
      <sheetName val="Conto%20Economico.xls"/>
      <sheetName val="CY2017 AOP Rates "/>
      <sheetName val="anarev"/>
      <sheetName val="l_Oreal 2008"/>
      <sheetName val="TOTALE_CINEMA"/>
      <sheetName val="CINEMA_RMB"/>
      <sheetName val="CINEMA_SIPRA"/>
      <sheetName val="CINEMA_OPUS"/>
      <sheetName val="lettera_superato"/>
      <sheetName val="lettera_conferma_SIPRA"/>
      <sheetName val="Cinema_solo_listino"/>
      <sheetName val="SitesVermarkter"/>
      <sheetName val="cic 22-9 - 26-10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%20Economico_xls"/>
      <sheetName val="Conto_Economico"/>
      <sheetName val="l_Oreal_2008"/>
      <sheetName val="TOTALE_CINEMA1"/>
      <sheetName val="CINEMA_RMB1"/>
      <sheetName val="CINEMA_SIPRA1"/>
      <sheetName val="CINEMA_OPUS1"/>
      <sheetName val="lettera_superato1"/>
      <sheetName val="lettera_conferma_SIPRA1"/>
      <sheetName val="Cinema_solo_listino1"/>
      <sheetName val="Conto%20Economico_xls1"/>
      <sheetName val="Conto_Economico1"/>
      <sheetName val="l_Oreal_20081"/>
      <sheetName val="Market information"/>
      <sheetName val="PIANO GENERALE"/>
      <sheetName val="Conto Sipra"/>
      <sheetName val="Print admin"/>
      <sheetName val="R Print10"/>
      <sheetName val="R Print11"/>
      <sheetName val="R OOH10"/>
      <sheetName val="R OOH11"/>
      <sheetName val="R rad10"/>
      <sheetName val="R rad11"/>
      <sheetName val="R TV10"/>
      <sheetName val="R TV11"/>
      <sheetName val="PF RADIO "/>
      <sheetName val="08"/>
      <sheetName val="Last Year"/>
      <sheetName val="BcoDados"/>
      <sheetName val="CashFlow"/>
      <sheetName val="price list"/>
      <sheetName val="Exec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 Sipra"/>
      <sheetName val="riepilogo tv"/>
      <sheetName val="Sipra"/>
      <sheetName val="Publitalia"/>
      <sheetName val="Conto Publitalia"/>
      <sheetName val="Tmc"/>
      <sheetName val="Conto tmc"/>
      <sheetName val="Conto MTV"/>
      <sheetName val="Conto TELE+"/>
      <sheetName val="Conto STREAM"/>
      <sheetName val="Foglio1"/>
      <sheetName val="KUBIK TOTALE"/>
      <sheetName val="Prenot.Publitalia"/>
      <sheetName val="Prenot. MTV"/>
      <sheetName val="CALENDARIO"/>
      <sheetName val="Prenot.stream"/>
      <sheetName val="Prenot.TELE+"/>
      <sheetName val="ADULTI 28 - 3"/>
      <sheetName val="Focus 28 - 3"/>
      <sheetName val="kubik adulti"/>
      <sheetName val="kubik focus"/>
      <sheetName val="CINEMA RMB"/>
      <sheetName val="TV 21Gen-3Feb"/>
      <sheetName val="DATI"/>
      <sheetName val="riepilogo_tv"/>
      <sheetName val="Conto_Sipra"/>
      <sheetName val="Conto_Publitalia"/>
      <sheetName val="Conto_tmc"/>
      <sheetName val="Conto_MTV"/>
      <sheetName val="Conto_TELE+"/>
      <sheetName val="Conto_STREAM"/>
      <sheetName val="KUBIK_TOTALE"/>
      <sheetName val="Prenot_Publitalia"/>
      <sheetName val="Prenot__MTV"/>
      <sheetName val="Prenot_stream"/>
      <sheetName val="Prenot_TELE+"/>
      <sheetName val="ADULTI_28_-_3"/>
      <sheetName val="Focus_28_-_3"/>
      <sheetName val="kubik_adulti"/>
      <sheetName val="kubik_focus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GRP"/>
      <sheetName val="PIANO GENERALE"/>
      <sheetName val="Market information"/>
      <sheetName val="CINEMA_RMB"/>
      <sheetName val="TV_21Gen-3Feb"/>
      <sheetName val="riepilogo_tv1"/>
      <sheetName val="Conto_Sipra1"/>
      <sheetName val="Conto_Publitalia1"/>
      <sheetName val="Conto_tmc1"/>
      <sheetName val="Conto_MTV1"/>
      <sheetName val="Conto_TELE+1"/>
      <sheetName val="Conto_STREAM1"/>
      <sheetName val="KUBIK_TOTALE1"/>
      <sheetName val="Prenot_Publitalia1"/>
      <sheetName val="Prenot__MTV1"/>
      <sheetName val="Prenot_stream1"/>
      <sheetName val="Prenot_TELE+1"/>
      <sheetName val="ADULTI_28_-_31"/>
      <sheetName val="Focus_28_-_31"/>
      <sheetName val="kubik_adulti1"/>
      <sheetName val="kubik_focus1"/>
      <sheetName val="CINEMA_RMB1"/>
      <sheetName val="TV_21Gen-3Feb1"/>
      <sheetName val="Last Year"/>
      <sheetName val="08"/>
      <sheetName val="price list"/>
      <sheetName val="Bos"/>
      <sheetName val="Bul"/>
      <sheetName val="Rom-Ship"/>
      <sheetName val="媒体"/>
      <sheetName val="PF RADIO 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MAP"/>
      <sheetName val="CAMPAIGN RESULTS"/>
      <sheetName val="R CURVES"/>
      <sheetName val="Campaign Accumulated  R and F"/>
      <sheetName val="CAMPAIGN AVERAGE F"/>
      <sheetName val="Client CPP"/>
      <sheetName val="Splits"/>
      <sheetName val="Evaluation2"/>
      <sheetName val="TV spot_supplier"/>
      <sheetName val="Питер_Эспар2_30-05_07_04"/>
      <sheetName val="MediaMix"/>
      <sheetName val="Input"/>
      <sheetName val="CTC"/>
      <sheetName val="NTV"/>
      <sheetName val="ORT"/>
      <sheetName val="RenTV"/>
      <sheetName val="RTR"/>
      <sheetName val="TV6"/>
      <sheetName val="ODAPLAN_REPORT"/>
      <sheetName val="MAIL.RU"/>
      <sheetName val="Laikai rad"/>
      <sheetName val="OWNPROD LAT"/>
      <sheetName val="От Юли"/>
      <sheetName val="Payment"/>
      <sheetName val="РТР"/>
      <sheetName val="B"/>
      <sheetName val="Регионы"/>
      <sheetName val="Конфигурация"/>
      <sheetName val="Прайс 2007 (Тренд)"/>
      <sheetName val="Главный"/>
      <sheetName val="ОРТ"/>
      <sheetName val="СТС"/>
      <sheetName val="basic_data"/>
      <sheetName val="Macro1"/>
      <sheetName val="Интернет"/>
      <sheetName val="International"/>
      <sheetName val="1 flight"/>
      <sheetName val="Campaign Budget Summary"/>
      <sheetName val="Vehicles"/>
      <sheetName val="Прайс"/>
      <sheetName val="Print-forms"/>
      <sheetName val="PG"/>
      <sheetName val="SAD"/>
      <sheetName val="CCS"/>
      <sheetName val="\\storage\Non-Broadcast\Documen"/>
      <sheetName val="##"/>
      <sheetName val="МАКРОС1"/>
      <sheetName val="Чел Европа+ от сми"/>
      <sheetName val="UKR-1"/>
      <sheetName val="Коммерческое предложение"/>
      <sheetName val="Питер_Эспар2_30-05_07_04.xls"/>
      <sheetName val="ChanGr_cfg"/>
      <sheetName val="Cities_cfg"/>
      <sheetName val="CAMPAIGN_RESULTS"/>
      <sheetName val="R_CURVES"/>
      <sheetName val="Campaign_Accumulated__R_and_F"/>
      <sheetName val="CAMPAIGN_AVERAGE_F"/>
      <sheetName val="JEUDI 24 DÉCEMBRE 1998"/>
      <sheetName val="55% and 70%"/>
      <sheetName val="55%_and_70%"/>
      <sheetName val="TV_spot_supplier"/>
      <sheetName val="TIME_SLOT,PLAN_CHANNEL_TRAIL"/>
      <sheetName val="Feuil1"/>
      <sheetName val="%D0%9F%D0%B8%D1%82%D0%B5%D1%80_"/>
      <sheetName val="100"/>
      <sheetName val="G2TempSheet"/>
      <sheetName val="Codes"/>
      <sheetName val="USD Consolidation"/>
      <sheetName val="CAMPAIGN_RESULTS1"/>
      <sheetName val="R_CURVES1"/>
      <sheetName val="Campaign_Accumulated__R_and_F1"/>
      <sheetName val="CAMPAIGN_AVERAGE_F1"/>
      <sheetName val="TV_spot_supplier1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Sheet1"/>
      <sheetName val="Прайс_2007_(Тренд)"/>
      <sheetName val="Прайс_2007_(Тренд)1"/>
      <sheetName val="NIT_GRP_1.9"/>
      <sheetName val="СТС_GRP_1.9"/>
      <sheetName val="Первый_GRP_1.9"/>
      <sheetName val="Итоги по каналам"/>
      <sheetName val="XLRpt_TempSheet"/>
      <sheetName val="NIT_GRP_1_9"/>
      <sheetName val="Первый_GRP_1_9"/>
      <sheetName val="СТС_GRP_1_9"/>
      <sheetName val="Estimate"/>
      <sheetName val="ntv-fiyat"/>
      <sheetName val="Hidden"/>
      <sheetName val="LIST"/>
      <sheetName val="Сводная"/>
      <sheetName val="Самара-график"/>
      <sheetName val="Расчет по Регионам"/>
      <sheetName val="Расчет"/>
      <sheetName val="Сезонка"/>
      <sheetName val="Data"/>
      <sheetName val="Направления затрат+группа"/>
      <sheetName val="PlanSheet"/>
      <sheetName val="CAMPAIGN_RESULTS3"/>
      <sheetName val="R_CURVES3"/>
      <sheetName val="Campaign_Accumulated__R_and_F3"/>
      <sheetName val="CAMPAIGN_AVERAGE_F3"/>
      <sheetName val="Client_CPP"/>
      <sheetName val="MAIL_RU"/>
      <sheetName val="Laikai_rad"/>
      <sheetName val="OWNPROD_LAT"/>
      <sheetName val="От_Юли"/>
      <sheetName val="Прайс_2007_(Тренд)2"/>
      <sheetName val="CHECK-LIST"/>
      <sheetName val="PL_Vladik"/>
      <sheetName val="E2 Brands"/>
      <sheetName val="Клипы (2)"/>
      <sheetName val=""/>
      <sheetName val="Hasar Hattı"/>
      <sheetName val="шкала расчет"/>
      <sheetName val="все отчёты рук. ТМ в дирекции"/>
      <sheetName val="справочники"/>
      <sheetName val="OpslagsArk"/>
      <sheetName val="Radio"/>
      <sheetName val="PL_B"/>
      <sheetName val="Прайс 2005"/>
      <sheetName val="Скидки"/>
      <sheetName val="tv spot list"/>
      <sheetName val="PLANNED"/>
      <sheetName val="plan"/>
      <sheetName val="Ref"/>
      <sheetName val="Kaynak"/>
      <sheetName val="Cinema"/>
      <sheetName val="100% ВИ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справочник"/>
      <sheetName val="const"/>
      <sheetName val="[Питер_Эспар2_30-05_07_04.xls]["/>
      <sheetName val="Master Data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  <sheetName val="Optimization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Считалка"/>
      <sheetName val="условия на Алма ТВ"/>
      <sheetName val="modell"/>
      <sheetName val="2 спец затраты-себестоимость"/>
      <sheetName val="____________2_30_05_07_04_xls_2"/>
      <sheetName val="Zadání (Brief)"/>
      <sheetName val="Nastavení (Setting)"/>
      <sheetName val="Списки"/>
      <sheetName val="bp"/>
      <sheetName val="Affinity"/>
      <sheetName val="Brands CPP"/>
      <sheetName val="Adserving Definitions"/>
      <sheetName val="шаблон помесячно"/>
      <sheetName val="tv"/>
      <sheetName val="Лист2"/>
    </sheetNames>
    <sheetDataSet>
      <sheetData sheetId="0" refreshError="1">
        <row r="5">
          <cell r="A5" t="str">
            <v>4.2, Developer  (build 121-D5)</v>
          </cell>
          <cell r="B5" t="e">
            <v>#NAME?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5">
          <cell r="A5" t="str">
            <v>4.2, Developer  (build 121-D5)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"/>
      <sheetName val="INIZIO"/>
      <sheetName val="Macro1"/>
      <sheetName val="RIS COM"/>
      <sheetName val="Conto Sipra"/>
      <sheetName val="CINEMA RMB"/>
      <sheetName val="RIS_COM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_Sipra"/>
      <sheetName val="CINEMA_RMB"/>
      <sheetName val="RIS_COM1"/>
      <sheetName val="Conto_Sipra1"/>
      <sheetName val="CINEMA_RMB1"/>
      <sheetName val="Table"/>
      <sheetName val="PIANO GENERALE"/>
      <sheetName val="Market information"/>
      <sheetName val="N TV09"/>
      <sheetName val="R TV09"/>
      <sheetName val="R TV11"/>
      <sheetName val="I nat+reg10"/>
      <sheetName val="N nat10"/>
      <sheetName val="R nat10"/>
      <sheetName val="TV sum"/>
      <sheetName val="Rus TV MP"/>
      <sheetName val="INF keywords"/>
      <sheetName val="Calcul IC"/>
      <sheetName val="PRS Hachette"/>
      <sheetName val="DATI"/>
      <sheetName val="Labels"/>
      <sheetName val="Creative"/>
      <sheetName val="Sites"/>
      <sheetName val="Bos"/>
      <sheetName val="Bul"/>
      <sheetName val="Rom-Ship"/>
      <sheetName val="媒体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ANO GENERALE"/>
      <sheetName val="MENU"/>
      <sheetName val="RIEPILOGO"/>
      <sheetName val="Target Srl"/>
      <sheetName val="Smafer"/>
      <sheetName val="SMA SpA."/>
      <sheetName val="S.C.I."/>
      <sheetName val="Publionda"/>
      <sheetName val="Publiflor"/>
      <sheetName val="PES Pub.Est.Spec"/>
      <sheetName val="O.P.E. Olcese P."/>
      <sheetName val="Jolly Pubblicita"/>
      <sheetName val="Ipas SpA"/>
      <sheetName val="I.M.A. SpA"/>
      <sheetName val="I.L.L.P.A. Srl"/>
      <sheetName val="Giengi Pubblic."/>
      <sheetName val="Ettore Sibilia"/>
      <sheetName val="Esotas"/>
      <sheetName val="Avip Spa"/>
      <sheetName val="Avenir Italia"/>
      <sheetName val="Alma Media It."/>
      <sheetName val="Alessi SpA"/>
      <sheetName val="Affitalia Srl"/>
      <sheetName val="A&amp;P Srl"/>
      <sheetName val="piano excel BLU 22.5 SPA"/>
      <sheetName val="piano excel BLU 22.5 SPA.XLS"/>
      <sheetName val="piano%20excel%20BLU%2022.5%20SP"/>
      <sheetName val="Conto Sipra"/>
      <sheetName val=""/>
      <sheetName val="GRP"/>
      <sheetName val="Radio 30&quot;Q1 (2)"/>
      <sheetName val="Signature"/>
      <sheetName val="Calc"/>
      <sheetName val="M_S"/>
      <sheetName val="Bos"/>
      <sheetName val="Bul"/>
      <sheetName val="Rom-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7"/>
      <sheetName val="KP_Print"/>
      <sheetName val="cost per month"/>
      <sheetName val="Kostenplan"/>
      <sheetName val="Brazil"/>
      <sheetName val="PIANO GENERALE"/>
      <sheetName val="GRP"/>
      <sheetName val="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l Mega"/>
      <sheetName val="Persil Gel"/>
      <sheetName val="Weißer Riese"/>
      <sheetName val="Spee"/>
      <sheetName val="Master Data"/>
      <sheetName val="Database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DI"/>
      <sheetName val="titolo"/>
      <sheetName val="NOTE"/>
      <sheetName val="budget"/>
      <sheetName val="CREMONA"/>
      <sheetName val="CREMA"/>
      <sheetName val="MP 2007"/>
      <sheetName val="Cover Estimator"/>
      <sheetName val="Control"/>
      <sheetName val="Variables"/>
      <sheetName val="P3"/>
      <sheetName val="STATYSTYKI"/>
      <sheetName val="Kostenplan"/>
      <sheetName val="MP 2008"/>
      <sheetName val="Display Format Definitions"/>
      <sheetName val="Instructions"/>
      <sheetName val="EmpInfo"/>
      <sheetName val="MP_2007"/>
      <sheetName val="Cover_Estimator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P NEON 2008"/>
      <sheetName val="MP NEON 2007"/>
      <sheetName val="Data CpGRP"/>
      <sheetName val="PIANO GENERALE"/>
      <sheetName val="R nat09"/>
      <sheetName val="R nat10"/>
      <sheetName val="R reg09"/>
      <sheetName val="Display_Format_Definitions"/>
      <sheetName val="MP_20071"/>
      <sheetName val="Cover_Estimator1"/>
      <sheetName val="Display_Format_Definitions1"/>
      <sheetName val="GRP"/>
      <sheetName val="R TV11"/>
      <sheetName val="drop downs"/>
      <sheetName val="Strat 1H 2008"/>
      <sheetName val="CEEMEA"/>
      <sheetName val="F&amp;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8"/>
      <sheetName val="KP_Print"/>
      <sheetName val="KP_pro Ausgabe"/>
      <sheetName val="KP_pro Monat"/>
      <sheetName val="Themenübersicht"/>
      <sheetName val="LODI"/>
      <sheetName val="MP 2007"/>
      <sheetName val="SitesVermark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XLR_NoRangeSheet"/>
      <sheetName val="E2 Brands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Самара-график"/>
      <sheetName val="Сводная"/>
      <sheetName val="Итоги по каналам"/>
      <sheetName val="XLRpt_TempSheet"/>
      <sheetName val="Главный"/>
      <sheetName val="Input"/>
      <sheetName val="For ALL brands (Fed TV)"/>
      <sheetName val="For ALL brands (Reg TV)"/>
      <sheetName val="For ALL Beer brands (Tem TV)"/>
      <sheetName val="Скидки"/>
      <sheetName val="Направления затрат+группа"/>
      <sheetName val="Фед. ТВ (-)"/>
      <sheetName val="International"/>
      <sheetName val="Фед. ТВ (+)"/>
      <sheetName val="MediaMix"/>
      <sheetName val=" Самара Россия"/>
      <sheetName val="Самара СТС"/>
      <sheetName val="Strat 1H 2008"/>
      <sheetName val="FRECEFECBAILEYS"/>
      <sheetName val="TV"/>
      <sheetName val="Hidden"/>
      <sheetName val="Sample"/>
      <sheetName val="Свод за 2008г"/>
      <sheetName val="JEUDI 24 DÉCEMBRE 1998"/>
      <sheetName val="__"/>
      <sheetName val="January"/>
      <sheetName val="counter (4).xls"/>
      <sheetName val=" 40000035261  ТРК &quot;Петербург&quot; ("/>
      <sheetName val="schren"/>
      <sheetName val="schtv6"/>
      <sheetName val="schsts"/>
      <sheetName val="2009 сезонки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ODAPLAN_REPORT"/>
      <sheetName val="Екатеринбург"/>
      <sheetName val=""/>
      <sheetName val="EMPL_TYPE"/>
      <sheetName val="counter%20(4).xls"/>
      <sheetName val="Data Sheet"/>
      <sheetName val="6х3"/>
      <sheetName val="Города_каналы"/>
      <sheetName val="5 Канал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Sheet1"/>
      <sheetName val="Shadow"/>
      <sheetName val="Расчёт"/>
      <sheetName val="counter%20(4)"/>
      <sheetName val="Справочник"/>
      <sheetName val="tech2"/>
      <sheetName val="Тематическое ТВ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Flowchart"/>
      <sheetName val="Sum"/>
      <sheetName val="words begun"/>
      <sheetName val="Лист3"/>
      <sheetName val="списки"/>
      <sheetName val="MP NEON 2008"/>
      <sheetName val="Client CPP"/>
      <sheetName val="Splits"/>
      <sheetName val="Affinity"/>
      <sheetName val="link"/>
      <sheetName val="обобщение"/>
      <sheetName val="Master Data"/>
      <sheetName val="Share Price 2002"/>
      <sheetName val="Список"/>
      <sheetName val="const"/>
      <sheetName val="MP_NEON_2008"/>
      <sheetName val="Client_CPP"/>
      <sheetName val="details"/>
      <sheetName val="B"/>
      <sheetName val="ВИМБ"/>
      <sheetName val="piano generale"/>
      <sheetName val="Лист1"/>
      <sheetName val="Лист2"/>
      <sheetName val="kz budget lc"/>
      <sheetName val="Codes"/>
    </sheetNames>
    <sheetDataSet>
      <sheetData sheetId="0">
        <row r="20">
          <cell r="I20" t="b">
            <v>0</v>
          </cell>
        </row>
      </sheetData>
      <sheetData sheetId="1" refreshError="1"/>
      <sheetData sheetId="2">
        <row r="20">
          <cell r="I20" t="b">
            <v>0</v>
          </cell>
        </row>
      </sheetData>
      <sheetData sheetId="3">
        <row r="20">
          <cell r="I20" t="b">
            <v>0</v>
          </cell>
        </row>
        <row r="21">
          <cell r="I21" t="b">
            <v>0</v>
          </cell>
        </row>
        <row r="22">
          <cell r="I22" t="b">
            <v>0</v>
          </cell>
        </row>
        <row r="23">
          <cell r="I23" t="b">
            <v>0</v>
          </cell>
        </row>
        <row r="24">
          <cell r="I24" t="b">
            <v>0</v>
          </cell>
        </row>
        <row r="25">
          <cell r="I25" t="b">
            <v>0</v>
          </cell>
        </row>
        <row r="26">
          <cell r="I26" t="b">
            <v>0</v>
          </cell>
        </row>
        <row r="27">
          <cell r="I27" t="b">
            <v>0</v>
          </cell>
        </row>
        <row r="28">
          <cell r="I28" t="b">
            <v>0</v>
          </cell>
        </row>
        <row r="29">
          <cell r="I29" t="b">
            <v>0</v>
          </cell>
        </row>
        <row r="30">
          <cell r="I30" t="b">
            <v>0</v>
          </cell>
        </row>
        <row r="31">
          <cell r="I31" t="b">
            <v>0</v>
          </cell>
        </row>
        <row r="32">
          <cell r="I32" t="b">
            <v>0</v>
          </cell>
        </row>
        <row r="33">
          <cell r="I33" t="b">
            <v>0</v>
          </cell>
        </row>
        <row r="34">
          <cell r="I34" t="b">
            <v>0</v>
          </cell>
        </row>
        <row r="35">
          <cell r="I35" t="b">
            <v>0</v>
          </cell>
        </row>
        <row r="36">
          <cell r="I36" t="b">
            <v>0</v>
          </cell>
        </row>
        <row r="37">
          <cell r="I37" t="b">
            <v>0</v>
          </cell>
        </row>
        <row r="38">
          <cell r="I38" t="b">
            <v>0</v>
          </cell>
        </row>
        <row r="39">
          <cell r="I39" t="b">
            <v>0</v>
          </cell>
        </row>
        <row r="40">
          <cell r="I40" t="b">
            <v>0</v>
          </cell>
        </row>
        <row r="41">
          <cell r="I41" t="b">
            <v>0</v>
          </cell>
        </row>
        <row r="42">
          <cell r="I42" t="b">
            <v>0</v>
          </cell>
        </row>
      </sheetData>
      <sheetData sheetId="4" refreshError="1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20">
          <cell r="I20" t="b">
            <v>0</v>
          </cell>
        </row>
      </sheetData>
      <sheetData sheetId="152">
        <row r="20">
          <cell r="I20" t="b">
            <v>0</v>
          </cell>
        </row>
      </sheetData>
      <sheetData sheetId="153">
        <row r="20">
          <cell r="I20" t="b">
            <v>0</v>
          </cell>
        </row>
      </sheetData>
      <sheetData sheetId="154"/>
      <sheetData sheetId="155">
        <row r="20">
          <cell r="I20" t="b">
            <v>0</v>
          </cell>
        </row>
      </sheetData>
      <sheetData sheetId="156"/>
      <sheetData sheetId="157">
        <row r="20">
          <cell r="I20" t="b">
            <v>0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pt_TempSheet"/>
      <sheetName val="MAP"/>
      <sheetName val="##"/>
      <sheetName val="XLR_NoRangeSheet"/>
      <sheetName val="Map_May_94_FSU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Скидки"/>
      <sheetName val="B"/>
      <sheetName val="PLANNED"/>
      <sheetName val="Самара-график"/>
      <sheetName val="E2 Brands"/>
      <sheetName val="Timeline (2)"/>
      <sheetName val="5 Канал"/>
      <sheetName val="ODAPLAN_REPORT"/>
      <sheetName val="Расчет по Регионам"/>
      <sheetName val="Расчет"/>
      <sheetName val="Сезонка"/>
      <sheetName val="Регионы"/>
      <sheetName val="Конфигурация"/>
      <sheetName val="Прайс 2007 (Тренд)"/>
      <sheetName val="Print-forms"/>
      <sheetName val="Evaluation2"/>
      <sheetName val="MAP cf"/>
      <sheetName val="schren"/>
      <sheetName val="schtv6"/>
      <sheetName val="schsts"/>
      <sheetName val="\2003\Epson\PhotoPrinters\Map_M"/>
      <sheetName val="Map_May_94_FSU.xls"/>
      <sheetName val="basic_data"/>
      <sheetName val="Macro1"/>
      <sheetName val="справочники"/>
      <sheetName val="Estimate"/>
      <sheetName val="STS"/>
      <sheetName val="hiddenА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TV"/>
      <sheetName val="Главный"/>
      <sheetName val="January"/>
      <sheetName val="1 flight"/>
      <sheetName val=" 105445  ТРК &quot;Петербург&quot; (03 ка"/>
      <sheetName val="\\storage\TV$\SIvanov\2011\Конд"/>
      <sheetName val="\F\2003\Epson\PhotoPrinters\Map"/>
      <sheetName val="formule - table"/>
      <sheetName val="DD"/>
      <sheetName val=""/>
      <sheetName val="Client CPP"/>
      <sheetName val="Splits"/>
      <sheetName val="GRAM расчеты"/>
      <sheetName val="обобщение"/>
      <sheetName val="расчет бюджетов"/>
      <sheetName val="Sayfa2"/>
      <sheetName val="MediaMix"/>
      <sheetName val="TV spot_supplie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Исходные данные по прогнозу"/>
      <sheetName val="FY04 fx"/>
      <sheetName val="Optionen"/>
      <sheetName val="Фед. ТВ (-)"/>
      <sheetName val="International"/>
      <sheetName val="Фед. ТВ (+)"/>
      <sheetName val="Table"/>
      <sheetName val="UKR-1"/>
      <sheetName val="campaign average f"/>
      <sheetName val="Input"/>
      <sheetName val="Прайс"/>
      <sheetName val="[Map_May_94_FSU.xls]\2003\Epson"/>
      <sheetName val="Лист2"/>
      <sheetName val="Выбор функций"/>
      <sheetName val="[Map_May_94_FSU.xls][Map_May_94"/>
      <sheetName val="[Map_May_94_FSU.xls]\\storage\T"/>
      <sheetName val="[Map_May_94_FSU.xls]\F\2003\Eps"/>
      <sheetName val="_2003_Epson_PhotoPrinters_Map_M"/>
      <sheetName val="__storage_TV$_SIvanov_2011_Конд"/>
      <sheetName val="_F_2003_Epson_PhotoPrinters_Map"/>
      <sheetName val="_Map_May_94_FSU.xls__2003_Epson"/>
      <sheetName val="Control"/>
      <sheetName val="Sheet2"/>
      <sheetName val="Tabelle1"/>
      <sheetName val="СПИСОК КАТЕГОРИЙ"/>
      <sheetName val="Sheet1"/>
      <sheetName val="Pivot"/>
      <sheetName val="Фильтр"/>
      <sheetName val="01.2011-12.2019"/>
      <sheetName val="[Map_May_94_FSU.xls]_2003_Eps_2"/>
      <sheetName val="[Map_May_94_FSU.xls]__storage_2"/>
      <sheetName val="[Map_May_94_FSU.xls]_F_2003_E_2"/>
      <sheetName val="5_Канал1"/>
      <sheetName val="DIMANCHE_28_MAI_2000_COND1"/>
      <sheetName val="Расчет_по_Регионам1"/>
      <sheetName val="Итоги_по_каналам1"/>
      <sheetName val="Прайс_2007_(Тренд)1"/>
      <sheetName val="E2_Brands2"/>
      <sheetName val="MAP_cf1"/>
      <sheetName val="Map_May_94_FSU_xls1"/>
      <sheetName val="Исходные_данные_по_прогнозу"/>
      <sheetName val="Data_Sheet1"/>
      <sheetName val="_105445__ТРК_&quot;Петербург&quot;_(03_к1"/>
      <sheetName val="formule_-_table1"/>
      <sheetName val="1_flight1"/>
      <sheetName val="Client_CPP"/>
      <sheetName val="TV_spot_supplier"/>
      <sheetName val="ОСНОВНАЯ_ТАБЛИЦА"/>
      <sheetName val="Направления_затрат+группа"/>
      <sheetName val="Monitor_Q2"/>
      <sheetName val="Timeline_(2)"/>
      <sheetName val="GRAM_расчеты"/>
      <sheetName val="расчет_бюджетов"/>
      <sheetName val="FY04_fx"/>
      <sheetName val="campaign_average_f"/>
      <sheetName val="[Map_May_94_FSU_xls]\2003\Epson"/>
      <sheetName val="Фед__ТВ_(-)"/>
      <sheetName val="Фед__ТВ_(+)"/>
      <sheetName val="Справочник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Список площадок"/>
      <sheetName val="Media plan"/>
      <sheetName val="[Map_May_94_FSU.xls]_Map_May__2"/>
      <sheetName val="[Map_May_94_FSU.xls]_Map_May__3"/>
      <sheetName val="[Map_May_94_FSU.xls]_Map_May__4"/>
      <sheetName val="Base"/>
      <sheetName val="TNS2"/>
      <sheetName val="Month"/>
      <sheetName val="Sum"/>
    </sheetNames>
    <sheetDataSet>
      <sheetData sheetId="0" refreshError="1">
        <row r="6">
          <cell r="B6" t="str">
            <v>C:\EAGIS\map.bmp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6">
          <cell r="B6" t="str">
            <v>? РЕКЛАМОДАТЕЛЬ 34-90-09 (ТОМСК); IROBOT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>
        <row r="6">
          <cell r="B6" t="str">
            <v>COMPETITORS BRANDS</v>
          </cell>
        </row>
      </sheetData>
      <sheetData sheetId="142"/>
      <sheetData sheetId="143" refreshError="1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7"/>
      <sheetName val="KP_Print"/>
      <sheetName val="KP_proAusgabe"/>
      <sheetName val="MP NEON 2008"/>
      <sheetName val="MP07_NEON_Plan18"/>
      <sheetName val="MP07_NEON_Plan18.xls"/>
      <sheetName val="Media plan"/>
      <sheetName val="Team"/>
      <sheetName val="Instructions"/>
      <sheetName val="define table"/>
      <sheetName val="Data CpGRP"/>
      <sheetName val="LO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BL"/>
      <sheetName val="E1449"/>
      <sheetName val="Data CpGRP"/>
      <sheetName val="MP NEON 2007"/>
      <sheetName val="MA_BL"/>
      <sheetName val="Team"/>
      <sheetName val="GRP"/>
      <sheetName val="LODI"/>
      <sheetName val="Incentives MBR"/>
      <sheetName val="Makro1"/>
      <sheetName val="#REF"/>
      <sheetName val="Köprü"/>
      <sheetName val="kategoriler"/>
      <sheetName val="tanımlar"/>
      <sheetName val="12"/>
      <sheetName val="Sch#13"/>
      <sheetName val="Source-DO NOT ADJUST"/>
      <sheetName val="Laikai rad"/>
      <sheetName val="FW-Kurse"/>
      <sheetName val="Evaluation2"/>
      <sheetName val="MP NEON 2008"/>
      <sheetName val="Data_CpGRP"/>
      <sheetName val="MP_NEON_2007"/>
      <sheetName val="Laikai_rad"/>
      <sheetName val="Incentives_MBR"/>
      <sheetName val="Kostenplan"/>
      <sheetName val="define table"/>
      <sheetName val="PF RADIO "/>
      <sheetName val="TEMP"/>
      <sheetName val="SM2-MS2 leavers"/>
      <sheetName val="Data Sheet"/>
      <sheetName val="구동"/>
      <sheetName val="Calc"/>
      <sheetName val="M_S"/>
      <sheetName val="Coke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leport FIX"/>
      <sheetName val="Бриф"/>
      <sheetName val="Sevimli"/>
      <sheetName val="ZOR"/>
      <sheetName val="UC_R1"/>
      <sheetName val="Navo"/>
      <sheetName val="PB"/>
      <sheetName val="Прайс-лист"/>
      <sheetName val="Teleport FLOAT"/>
      <sheetName val="TN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Kennziffern"/>
      <sheetName val="13"/>
      <sheetName val="14"/>
      <sheetName val="15"/>
      <sheetName val="16"/>
      <sheetName val="17"/>
      <sheetName val="18"/>
      <sheetName val="19"/>
      <sheetName val="KampagnenRW alt"/>
      <sheetName val="20"/>
      <sheetName val="21"/>
      <sheetName val="22"/>
      <sheetName val="23"/>
      <sheetName val="24"/>
      <sheetName val="25"/>
      <sheetName val="26"/>
      <sheetName val="30"/>
      <sheetName val="31"/>
      <sheetName val="Feiertage"/>
      <sheetName val="LW"/>
      <sheetName val="Tabelle1"/>
      <sheetName val="Kauaffiampel"/>
      <sheetName val="MA-BL"/>
      <sheetName val="CR"/>
      <sheetName val="32"/>
      <sheetName val="33"/>
      <sheetName val="KampagnenRW_alt"/>
      <sheetName val="POS Radio Planungsprogramm"/>
      <sheetName val="DataInfo"/>
      <sheetName val="MP 2008"/>
      <sheetName val="LODI"/>
      <sheetName val="MP NEON 2008"/>
      <sheetName val="QuestionSelectionList"/>
      <sheetName val=""/>
      <sheetName val="KampagnenRW_alt1"/>
      <sheetName val="economico"/>
      <sheetName val="KampagnenRW_alt2"/>
      <sheetName val="POS_Radio_Planungsprogramm"/>
      <sheetName val="KampagnenRW_alt3"/>
      <sheetName val="POS_Radio_Planungsprogramm1"/>
      <sheetName val="KampagnenRW_alt4"/>
      <sheetName val="POS_Radio_Planungsprogramm2"/>
      <sheetName val="All Calcs"/>
      <sheetName val="Kostenplan"/>
      <sheetName val="MP 2007"/>
      <sheetName val="MP NEON 2007"/>
      <sheetName val="OfferCalculations1"/>
      <sheetName val="Variables"/>
      <sheetName val="X"/>
      <sheetName val="Channel Share"/>
      <sheetName val="Data CpGRP"/>
      <sheetName val="TV Pricing"/>
      <sheetName val="KampagnenRW_alt5"/>
      <sheetName val="POS_Radio_Planungsprogramm3"/>
      <sheetName val="MP_NEON_2008"/>
      <sheetName val="All_Calcs"/>
      <sheetName val="MP_NEON_2007"/>
      <sheetName val="KampagnenRW_alt6"/>
      <sheetName val="POS_Radio_Planungsprogramm4"/>
      <sheetName val="MP_NEON_20081"/>
      <sheetName val="All_Calcs1"/>
      <sheetName val="MP_NEON_20071"/>
      <sheetName val="OOH"/>
      <sheetName val="Print"/>
      <sheetName val="KampagnenRW_alt7"/>
      <sheetName val="POS_Radio_Planungsprogramm5"/>
      <sheetName val="MP_NEON_20072"/>
      <sheetName val="MP_NEON_20082"/>
      <sheetName val="All_Calcs2"/>
      <sheetName val="MP_2007"/>
      <sheetName val="Data_CpGRP"/>
      <sheetName val="KampagnenRW_alt8"/>
      <sheetName val="POS_Radio_Planungsprogramm6"/>
      <sheetName val="MP_NEON_20073"/>
      <sheetName val="MP_NEON_20083"/>
      <sheetName val="All_Calcs3"/>
      <sheetName val="MP_20071"/>
      <sheetName val="Data_CpGRP1"/>
      <sheetName val="KampagnenRW_alt9"/>
      <sheetName val="POS_Radio_Planungsprogramm7"/>
      <sheetName val="MP_NEON_20074"/>
      <sheetName val="MP_NEON_20084"/>
      <sheetName val="All_Calcs4"/>
      <sheetName val="MP_20072"/>
      <sheetName val="Data_CpGRP2"/>
      <sheetName val="KampagnenRW_alt10"/>
      <sheetName val="POS_Radio_Planungsprogramm8"/>
      <sheetName val="MP_NEON_20075"/>
      <sheetName val="MP_NEON_20085"/>
      <sheetName val="All_Calcs5"/>
      <sheetName val="MP_20073"/>
      <sheetName val="Data_CpGRP3"/>
      <sheetName val="basic_data"/>
      <sheetName val="Macro1"/>
      <sheetName val="PG"/>
      <sheetName val="SAD"/>
      <sheetName val="CCS"/>
      <sheetName val="Options"/>
      <sheetName val="PF RADIO "/>
      <sheetName val="Pivot"/>
      <sheetName val="2.대외공문"/>
      <sheetName val="Permissable values"/>
      <sheetName val="TELEVISION DETAILS"/>
      <sheetName val="адреска"/>
    </sheetNames>
    <sheetDataSet>
      <sheetData sheetId="0" refreshError="1">
        <row r="13">
          <cell r="D13">
            <v>2</v>
          </cell>
        </row>
      </sheetData>
      <sheetData sheetId="1">
        <row r="13">
          <cell r="D13">
            <v>2</v>
          </cell>
        </row>
      </sheetData>
      <sheetData sheetId="2">
        <row r="13">
          <cell r="D13">
            <v>2</v>
          </cell>
        </row>
      </sheetData>
      <sheetData sheetId="3">
        <row r="13">
          <cell r="D13">
            <v>2</v>
          </cell>
        </row>
      </sheetData>
      <sheetData sheetId="4">
        <row r="13">
          <cell r="D13">
            <v>2</v>
          </cell>
        </row>
      </sheetData>
      <sheetData sheetId="5">
        <row r="13">
          <cell r="D13">
            <v>2</v>
          </cell>
        </row>
      </sheetData>
      <sheetData sheetId="6">
        <row r="13">
          <cell r="D13">
            <v>2</v>
          </cell>
        </row>
      </sheetData>
      <sheetData sheetId="7">
        <row r="13">
          <cell r="D13">
            <v>2</v>
          </cell>
        </row>
      </sheetData>
      <sheetData sheetId="8">
        <row r="13">
          <cell r="D13">
            <v>2</v>
          </cell>
        </row>
      </sheetData>
      <sheetData sheetId="9">
        <row r="13">
          <cell r="D13">
            <v>2</v>
          </cell>
        </row>
      </sheetData>
      <sheetData sheetId="10">
        <row r="13">
          <cell r="D13">
            <v>2</v>
          </cell>
        </row>
      </sheetData>
      <sheetData sheetId="11">
        <row r="13">
          <cell r="D13">
            <v>2</v>
          </cell>
        </row>
      </sheetData>
      <sheetData sheetId="12">
        <row r="13">
          <cell r="D13">
            <v>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>
        <row r="13">
          <cell r="D13">
            <v>2</v>
          </cell>
        </row>
      </sheetData>
      <sheetData sheetId="36">
        <row r="13">
          <cell r="D13">
            <v>2</v>
          </cell>
        </row>
      </sheetData>
      <sheetData sheetId="37">
        <row r="13">
          <cell r="D13">
            <v>2</v>
          </cell>
        </row>
      </sheetData>
      <sheetData sheetId="38">
        <row r="13">
          <cell r="D13">
            <v>2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Campaign Accumulated  R and F"/>
      <sheetName val="XLRpt_TempSheet"/>
      <sheetName val="CAMPAIGN AVERAGE F"/>
      <sheetName val="ORT"/>
      <sheetName val="Прайс"/>
      <sheetName val="TV summary by month"/>
      <sheetName val=" Total"/>
      <sheetName val="PRINT"/>
      <sheetName val="OWNPROD LAT"/>
      <sheetName val="Сводная"/>
      <sheetName val="Main"/>
      <sheetName val="Интернет"/>
      <sheetName val="Data USA Cdn$"/>
      <sheetName val="Data USA US$"/>
      <sheetName val="Splits"/>
      <sheetName val="##"/>
      <sheetName val="Equipment"/>
      <sheetName val="L свод"/>
      <sheetName val="Auris"/>
      <sheetName val="TIME_SLOT,PLAN_CHANNEL_TRAIL"/>
      <sheetName val="Лист2"/>
      <sheetName val="Gazete teaser"/>
      <sheetName val="Клипы (2)"/>
      <sheetName val="Расчет по Регионам"/>
      <sheetName val="Расчет"/>
      <sheetName val="Сезонка"/>
      <sheetName val="Change"/>
      <sheetName val="Campaign_Accumulated__R_and_F"/>
      <sheetName val="CAMPAIGN_AVERAGE_F"/>
      <sheetName val="TV_summary_by_month"/>
      <sheetName val="_Total"/>
      <sheetName val="ITALIANS"/>
      <sheetName val="Outdoor St-Peter June"/>
      <sheetName val="tv spot list"/>
      <sheetName val="G2TempSheet"/>
      <sheetName val="TAB MOD"/>
      <sheetName val="STS"/>
      <sheetName val="REN TV"/>
      <sheetName val="RTR"/>
      <sheetName val="PARAME"/>
      <sheetName val="MediaMix"/>
      <sheetName val="EVOPRIX"/>
      <sheetName val="TAB REG"/>
      <sheetName val="chart41"/>
      <sheetName val="STS(Jun,1)"/>
      <sheetName val="TV management"/>
      <sheetName val="ثرسنل (2"/>
      <sheetName val="novy 2"/>
      <sheetName val="Campaign_Accumulated__R_and_F1"/>
      <sheetName val="CAMPAIGN_AVERAGE_F1"/>
      <sheetName val="_Total1"/>
      <sheetName val="TV_summary_by_month1"/>
      <sheetName val="Data_USA_Cdn$"/>
      <sheetName val="Data_USA_US$"/>
      <sheetName val="OWNPROD_LAT"/>
      <sheetName val="L_свод"/>
      <sheetName val="Расчет_по_Регионам"/>
      <sheetName val="Gazete_teaser"/>
      <sheetName val="Клипы_(2)"/>
      <sheetName val="Outdoor_St-Peter_June"/>
      <sheetName val="TAB_MOD"/>
      <sheetName val="tv_spot_list"/>
      <sheetName val="TAB_REG"/>
      <sheetName val="REN_TV"/>
      <sheetName val="TV_management"/>
      <sheetName val="novy_2"/>
      <sheetName val="ثرسنل_(2"/>
      <sheetName val="Campaign_Accumulated__R_and_F2"/>
      <sheetName val="CAMPAIGN_AVERAGE_F2"/>
      <sheetName val="_Total2"/>
      <sheetName val="TV_summary_by_month2"/>
      <sheetName val="Data_USA_Cdn$1"/>
      <sheetName val="Data_USA_US$1"/>
      <sheetName val="OWNPROD_LAT1"/>
      <sheetName val="L_свод1"/>
      <sheetName val="Расчет_по_Регионам1"/>
      <sheetName val="Gazete_teaser1"/>
      <sheetName val="Клипы_(2)1"/>
      <sheetName val="Outdoor_St-Peter_June1"/>
      <sheetName val="TAB_MOD1"/>
      <sheetName val="tv_spot_list1"/>
      <sheetName val="TAB_REG1"/>
      <sheetName val="REN_TV1"/>
      <sheetName val="TV_management1"/>
      <sheetName val="novy_21"/>
      <sheetName val="ثرسنل_(21"/>
      <sheetName val="1+1"/>
      <sheetName val="7_channel"/>
      <sheetName val="Prm"/>
      <sheetName val="TNS"/>
      <sheetName val="dis"/>
      <sheetName val="Media Plan UAH"/>
      <sheetName val="North "/>
      <sheetName val="3"/>
      <sheetName val="2_3"/>
      <sheetName val="2_4"/>
      <sheetName val="2_5"/>
      <sheetName val="MediaPlan"/>
      <sheetName val="Auto ru"/>
      <sheetName val="Drive"/>
      <sheetName val="МИНИМАЛЬНАЯ опция"/>
      <sheetName val="Media. Октябрь"/>
      <sheetName val="Таргетинг по аудиториям"/>
      <sheetName val="Соц.сети"/>
      <sheetName val="Programmatic"/>
      <sheetName val="Скриншоты_контекст"/>
      <sheetName val="Пример объявлений Бренд кампани"/>
      <sheetName val="DBM"/>
      <sheetName val="Ключевые запросы"/>
      <sheetName val="data"/>
      <sheetName val="Suporte"/>
      <sheetName val="HMAMB"/>
      <sheetName val="Media-plan primary"/>
      <sheetName val="Брянск"/>
      <sheetName val="North"/>
      <sheetName val="Hoja1"/>
      <sheetName val="Taxes"/>
      <sheetName val="GRP"/>
      <sheetName val="budget data"/>
      <sheetName val="Справочники"/>
      <sheetName val="NTV"/>
      <sheetName val="RenTV"/>
      <sheetName val="TV6"/>
      <sheetName val="options"/>
      <sheetName val="Rate"/>
      <sheetName val="Расчет и прогнозы"/>
      <sheetName val="Tabelle1"/>
      <sheetName val="Procedural Controls - AP"/>
      <sheetName val="studia"/>
      <sheetName val="Category&amp;CTR&amp;TA"/>
      <sheetName val="Конструктор недели"/>
      <sheetName val="Clasify"/>
      <sheetName val="mcССClassic"/>
      <sheetName val="PG"/>
      <sheetName val="SAD"/>
      <sheetName val="CCS"/>
      <sheetName val="Name Check"/>
      <sheetName val="ExchRates"/>
      <sheetName val="List"/>
      <sheetName val="CPP"/>
      <sheetName val="Programmatic Video"/>
      <sheetName val="TA data Nielsen UA"/>
      <sheetName val="Sheet8"/>
      <sheetName val="Date 2"/>
      <sheetName val="Forecast"/>
      <sheetName val="Sum"/>
      <sheetName val="Campaign_Accumulated__R_and_F3"/>
      <sheetName val="CAMPAIGN_AVERAGE_F3"/>
      <sheetName val="TV_summary_by_month3"/>
      <sheetName val="_Total3"/>
      <sheetName val="OWNPROD_LAT2"/>
      <sheetName val="Data_USA_Cdn$2"/>
      <sheetName val="Data_USA_US$2"/>
      <sheetName val="L_свод2"/>
      <sheetName val="Gazete_teaser2"/>
      <sheetName val="Расчет_по_Регионам2"/>
      <sheetName val="Клипы_(2)2"/>
      <sheetName val="Outdoor_St-Peter_June2"/>
      <sheetName val="tv_spot_list2"/>
      <sheetName val="TAB_MOD2"/>
      <sheetName val="REN_TV2"/>
      <sheetName val="TAB_REG2"/>
      <sheetName val="novy_22"/>
      <sheetName val="ثرسنل_(22"/>
      <sheetName val="TV_management2"/>
      <sheetName val="Media_Plan_UAH"/>
      <sheetName val="North_"/>
      <sheetName val="Auto_ru"/>
      <sheetName val="МИНИМАЛЬНАЯ_опция"/>
      <sheetName val="Media__Октябрь"/>
      <sheetName val="Таргетинг_по_аудиториям"/>
      <sheetName val="Соц_сети"/>
      <sheetName val="Пример_объявлений_Бренд_кампани"/>
      <sheetName val="Ключевые_запросы"/>
      <sheetName val="Расчет_и_прогнозы"/>
      <sheetName val="Media-plan_primary"/>
      <sheetName val="Check"/>
      <sheetName val="PY 2002"/>
      <sheetName val="SUMMARI"/>
      <sheetName val="04"/>
      <sheetName val="BRZ_F"/>
      <sheetName val="Setup"/>
      <sheetName val="Mercado"/>
      <sheetName val="Admin"/>
      <sheetName val="COMP_C3"/>
      <sheetName val="FRECEFECBAILEYS"/>
      <sheetName val="BAŞV"/>
      <sheetName val="Project Summary"/>
      <sheetName val="Please wait..."/>
      <sheetName val="TRANSGOOGLE"/>
      <sheetName val="Sheet1"/>
      <sheetName val="Нац ТВ 2019_13.08"/>
      <sheetName val="СПОНС"/>
      <sheetName val="Лист1"/>
      <sheetName val="регионы"/>
      <sheetName val="v7.6"/>
      <sheetName val="тайминг v7.5"/>
      <sheetName val="Year 3"/>
      <sheetName val="budget_data"/>
      <sheetName val="Procedural_Controls_-_AP"/>
      <sheetName val="Конструктор_недели"/>
      <sheetName val="Date_2"/>
      <sheetName val="Programmatic_Video"/>
      <sheetName val="TA_data_Nielsen_UA"/>
      <sheetName val="Basis"/>
      <sheetName val="Campaign_Accumulated__R_and_F4"/>
      <sheetName val="CAMPAIGN_AVERAGE_F4"/>
      <sheetName val="_Total4"/>
      <sheetName val="TV_summary_by_month4"/>
      <sheetName val="OWNPROD_LAT3"/>
      <sheetName val="Data_USA_Cdn$3"/>
      <sheetName val="Data_USA_US$3"/>
      <sheetName val="L_свод3"/>
      <sheetName val="Gazete_teaser3"/>
      <sheetName val="Клипы_(2)3"/>
      <sheetName val="Расчет_по_Регионам3"/>
      <sheetName val="Outdoor_St-Peter_June3"/>
      <sheetName val="tv_spot_list3"/>
      <sheetName val="TAB_MOD3"/>
      <sheetName val="REN_TV3"/>
      <sheetName val="TAB_REG3"/>
      <sheetName val="TV_management3"/>
      <sheetName val="novy_23"/>
      <sheetName val="ثرسنل_(23"/>
      <sheetName val="Auto_ru1"/>
      <sheetName val="МИНИМАЛЬНАЯ_опция1"/>
      <sheetName val="Media__Октябрь1"/>
      <sheetName val="Таргетинг_по_аудиториям1"/>
      <sheetName val="Соц_сети1"/>
      <sheetName val="Пример_объявлений_Бренд_кампан1"/>
      <sheetName val="Ключевые_запросы1"/>
      <sheetName val="Media_Plan_UAH1"/>
      <sheetName val="North_1"/>
      <sheetName val="Media-plan_primary1"/>
      <sheetName val="Расчет_и_прогнозы1"/>
      <sheetName val="Name_Check"/>
      <sheetName val="Нац_ТВ_2019_13_08"/>
      <sheetName val="Project_Summary"/>
      <sheetName val="Please_wait___"/>
      <sheetName val="v7_6"/>
      <sheetName val="тайминг_v7_5"/>
      <sheetName val="b2bcontext"/>
      <sheetName val="Библиотека"/>
      <sheetName val="Consolidated"/>
      <sheetName val="Parametros"/>
      <sheetName val="CPE - MUESTREOS NUEVOS 2020"/>
      <sheetName val="Col mes"/>
      <sheetName val="Col FY"/>
      <sheetName val="Maximos Col 2020"/>
      <sheetName val="Input Gasto Campañal"/>
      <sheetName val="Input Gasto Mensual"/>
      <sheetName val="MAIL PPTO - SEPT 24"/>
      <sheetName val="Per mes"/>
      <sheetName val="Ecu mes"/>
      <sheetName val="Valores"/>
      <sheetName val="Per FY"/>
      <sheetName val="Ecu FY"/>
      <sheetName val="Ecu"/>
      <sheetName val="Template"/>
      <sheetName val="Total"/>
      <sheetName val="19.02-25.02"/>
      <sheetName val="26.02-04.03"/>
      <sheetName val="05.03-11.03"/>
      <sheetName val="12.03-18.03"/>
      <sheetName val="19.03-25.03"/>
      <sheetName val="Report PPC"/>
      <sheetName val="MP_Branding"/>
      <sheetName val="Help"/>
      <sheetName val="habillage pour boucle"/>
      <sheetName val="общий"/>
      <sheetName val="чел европа+ от сми"/>
      <sheetName val="Channelvorgabe"/>
      <sheetName val="Format"/>
      <sheetName val="plan-gaz1"/>
      <sheetName val="Network"/>
      <sheetName val="Placement"/>
      <sheetName val="Sites"/>
      <sheetName val="nieakt"/>
      <sheetName val="Copies"/>
      <sheetName val="Vehicles"/>
      <sheetName val="ppranalysis"/>
      <sheetName val="Laikai rad"/>
      <sheetName val="Controls"/>
      <sheetName val="Slide 10 - gp per kg"/>
      <sheetName val="Campaign_Accumulated__R_and_F5"/>
      <sheetName val="CAMPAIGN_AVERAGE_F5"/>
      <sheetName val="_Total5"/>
      <sheetName val="TV_summary_by_month5"/>
      <sheetName val="OWNPROD_LAT4"/>
      <sheetName val="Data_USA_Cdn$4"/>
      <sheetName val="Data_USA_US$4"/>
      <sheetName val="L_свод4"/>
      <sheetName val="Gazete_teaser4"/>
      <sheetName val="Расчет_по_Регионам4"/>
      <sheetName val="Клипы_(2)4"/>
      <sheetName val="Outdoor_St-Peter_June4"/>
      <sheetName val="tv_spot_list4"/>
      <sheetName val="TAB_MOD4"/>
      <sheetName val="REN_TV4"/>
      <sheetName val="TAB_REG4"/>
      <sheetName val="TV_management4"/>
      <sheetName val="novy_24"/>
      <sheetName val="ثرسنل_(24"/>
      <sheetName val="Media_Plan_UAH2"/>
      <sheetName val="North_2"/>
      <sheetName val="Auto_ru2"/>
      <sheetName val="МИНИМАЛЬНАЯ_опция2"/>
      <sheetName val="Media__Октябрь2"/>
      <sheetName val="Таргетинг_по_аудиториям2"/>
      <sheetName val="Соц_сети2"/>
      <sheetName val="Пример_объявлений_Бренд_кампан2"/>
      <sheetName val="Ключевые_запросы2"/>
      <sheetName val="Расчет_и_прогнозы2"/>
      <sheetName val="budget_data1"/>
      <sheetName val="Media-plan_primary2"/>
      <sheetName val="Name_Check1"/>
      <sheetName val="Procedural_Controls_-_AP1"/>
      <sheetName val="Конструктор_недели1"/>
      <sheetName val="Date_21"/>
      <sheetName val="Programmatic_Video1"/>
      <sheetName val="TA_data_Nielsen_UA1"/>
      <sheetName val="Нац_ТВ_2019_13_081"/>
      <sheetName val="Project_Summary1"/>
      <sheetName val="Please_wait___1"/>
      <sheetName val="PY_2002"/>
      <sheetName val="v7_61"/>
      <sheetName val="тайминг_v7_51"/>
      <sheetName val="Year_3"/>
      <sheetName val="19_02-25_02"/>
      <sheetName val="26_02-04_03"/>
      <sheetName val="05_03-11_03"/>
      <sheetName val="12_03-18_03"/>
      <sheetName val="19_03-25_03"/>
      <sheetName val="Report_PPC"/>
      <sheetName val="CPE_-_MUESTREOS_NUEVOS_2020"/>
      <sheetName val="Col_mes"/>
      <sheetName val="Col_FY"/>
      <sheetName val="Maximos_Col_2020"/>
      <sheetName val="Input_Gasto_Campañal"/>
      <sheetName val="Input_Gasto_Mensual"/>
      <sheetName val="MAIL_PPTO_-_SEPT_24"/>
      <sheetName val="Per_mes"/>
      <sheetName val="Ecu_mes"/>
      <sheetName val="Per_FY"/>
      <sheetName val="Ecu_FY"/>
      <sheetName val="Personnel Costs"/>
      <sheetName val="BUDGET STATUS"/>
      <sheetName val="All Data"/>
      <sheetName val="Ymem62"/>
      <sheetName val="Lookups"/>
      <sheetName val="mpp phasing (by fs item)"/>
      <sheetName val="habillage_pour_boucle"/>
      <sheetName val="Slide_10_-_gp_per_kg"/>
      <sheetName val="чел_европа+_от_сми"/>
      <sheetName val="Laikai_rad"/>
      <sheetName val="PPC"/>
      <sheetName val="Social Networks"/>
      <sheetName val="Summary"/>
      <sheetName val="условия платежа"/>
      <sheetName val="Zolla на 70 (мар+май!)"/>
      <sheetName val="cinema"/>
      <sheetName val="Var2002 BU-P1"/>
      <sheetName val="55% and 70%"/>
      <sheetName val="ENERGY "/>
      <sheetName val="QTXD"/>
      <sheetName val="Service"/>
      <sheetName val="Списки"/>
      <sheetName val="СПЛИТ"/>
      <sheetName val="Campaign_Accumulated__R_and_F6"/>
      <sheetName val="CAMPAIGN_AVERAGE_F6"/>
      <sheetName val="_Total6"/>
      <sheetName val="TV_summary_by_month6"/>
      <sheetName val="OWNPROD_LAT5"/>
      <sheetName val="Data_USA_Cdn$5"/>
      <sheetName val="Data_USA_US$5"/>
      <sheetName val="L_свод5"/>
      <sheetName val="Gazete_teaser5"/>
      <sheetName val="Расчет_по_Регионам5"/>
      <sheetName val="Клипы_(2)5"/>
      <sheetName val="Outdoor_St-Peter_June5"/>
      <sheetName val="tv_spot_list5"/>
      <sheetName val="TAB_MOD5"/>
      <sheetName val="REN_TV5"/>
      <sheetName val="TAB_REG5"/>
      <sheetName val="TV_management5"/>
      <sheetName val="ثرسنل_(25"/>
      <sheetName val="novy_25"/>
      <sheetName val="Auto_ru3"/>
      <sheetName val="МИНИМАЛЬНАЯ_опция3"/>
      <sheetName val="Media__Октябрь3"/>
      <sheetName val="Таргетинг_по_аудиториям3"/>
      <sheetName val="Соц_сети3"/>
      <sheetName val="Пример_объявлений_Бренд_кампан3"/>
      <sheetName val="Ключевые_запросы3"/>
      <sheetName val="Media_Plan_UAH3"/>
      <sheetName val="North_3"/>
      <sheetName val="Media-plan_primary3"/>
      <sheetName val="Date_22"/>
      <sheetName val="Расчет_и_прогнозы3"/>
      <sheetName val="budget_data2"/>
      <sheetName val="Procedural_Controls_-_AP2"/>
      <sheetName val="Конструктор_недели2"/>
      <sheetName val="Name_Check2"/>
      <sheetName val="Project_Summary2"/>
      <sheetName val="Please_wait___2"/>
      <sheetName val="Programmatic_Video2"/>
      <sheetName val="TA_data_Nielsen_UA2"/>
      <sheetName val="Нац_ТВ_2019_13_082"/>
      <sheetName val="v7_62"/>
      <sheetName val="тайминг_v7_52"/>
      <sheetName val="PY_20021"/>
      <sheetName val="Year_31"/>
      <sheetName val="CPE_-_MUESTREOS_NUEVOS_20201"/>
      <sheetName val="Col_mes1"/>
      <sheetName val="Col_FY1"/>
      <sheetName val="Maximos_Col_20201"/>
      <sheetName val="Input_Gasto_Campañal1"/>
      <sheetName val="Input_Gasto_Mensual1"/>
      <sheetName val="MAIL_PPTO_-_SEPT_241"/>
      <sheetName val="Per_mes1"/>
      <sheetName val="Ecu_mes1"/>
      <sheetName val="Per_FY1"/>
      <sheetName val="Ecu_FY1"/>
      <sheetName val="19_02-25_021"/>
      <sheetName val="26_02-04_031"/>
      <sheetName val="05_03-11_031"/>
      <sheetName val="12_03-18_031"/>
      <sheetName val="19_03-25_031"/>
      <sheetName val="Report_PPC1"/>
      <sheetName val="01"/>
      <sheetName val="habillage_pour_boucle1"/>
      <sheetName val="чел_европа+_от_сми1"/>
      <sheetName val="Laikai_rad1"/>
      <sheetName val="Slide_10_-_gp_per_kg1"/>
      <sheetName val="Personnel_Costs"/>
      <sheetName val="BUDGET_STATUS"/>
      <sheetName val="All_Data"/>
      <sheetName val="mpp_phasing_(by_fs_item)"/>
      <sheetName val="Social_Networks"/>
      <sheetName val="Channels Indexes"/>
      <sheetName val="restaurants monitors"/>
      <sheetName val="Control"/>
      <sheetName val="HBU_Modern"/>
      <sheetName val="HBU_Trad"/>
      <sheetName val="ConstantsANDSettings"/>
      <sheetName val="Tablas"/>
      <sheetName val="Print-forms"/>
      <sheetName val="Televizyon"/>
      <sheetName val="plan-der"/>
    </sheetNames>
    <sheetDataSet>
      <sheetData sheetId="0" refreshError="1">
        <row r="2">
          <cell r="B2" t="str">
            <v>R100+</v>
          </cell>
        </row>
        <row r="6">
          <cell r="B6">
            <v>30</v>
          </cell>
          <cell r="C6">
            <v>1.6431246598758016</v>
          </cell>
          <cell r="D6">
            <v>3.3777182942056259</v>
          </cell>
          <cell r="E6">
            <v>6.3827532492473944</v>
          </cell>
          <cell r="F6">
            <v>11.112848939005568</v>
          </cell>
          <cell r="G6">
            <v>17.87773362362049</v>
          </cell>
          <cell r="H6">
            <v>26.66840603907092</v>
          </cell>
          <cell r="I6">
            <v>37.047414617241536</v>
          </cell>
          <cell r="J6">
            <v>48.181697772780574</v>
          </cell>
          <cell r="K6">
            <v>59.034490218942956</v>
          </cell>
          <cell r="L6">
            <v>64.044878499473185</v>
          </cell>
          <cell r="M6">
            <v>68.646041664848738</v>
          </cell>
          <cell r="N6">
            <v>72.770757124394933</v>
          </cell>
          <cell r="O6">
            <v>75.700500291900539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6">
          <cell r="B6" t="str">
            <v>Client</v>
          </cell>
        </row>
      </sheetData>
      <sheetData sheetId="50">
        <row r="6">
          <cell r="B6" t="str">
            <v>Client</v>
          </cell>
        </row>
      </sheetData>
      <sheetData sheetId="51">
        <row r="6">
          <cell r="B6" t="str">
            <v>Client</v>
          </cell>
        </row>
      </sheetData>
      <sheetData sheetId="52">
        <row r="6">
          <cell r="B6" t="str">
            <v>Client</v>
          </cell>
        </row>
      </sheetData>
      <sheetData sheetId="53">
        <row r="6">
          <cell r="B6" t="str">
            <v>Client</v>
          </cell>
        </row>
      </sheetData>
      <sheetData sheetId="54">
        <row r="6">
          <cell r="B6" t="str">
            <v>Client</v>
          </cell>
        </row>
      </sheetData>
      <sheetData sheetId="55">
        <row r="6">
          <cell r="B6" t="str">
            <v>Client</v>
          </cell>
        </row>
      </sheetData>
      <sheetData sheetId="56">
        <row r="6">
          <cell r="B6" t="str">
            <v>Client</v>
          </cell>
        </row>
      </sheetData>
      <sheetData sheetId="57">
        <row r="6">
          <cell r="B6" t="str">
            <v>Client</v>
          </cell>
        </row>
      </sheetData>
      <sheetData sheetId="5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5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6" refreshError="1"/>
      <sheetData sheetId="87" refreshError="1"/>
      <sheetData sheetId="88" refreshError="1"/>
      <sheetData sheetId="8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6">
          <cell r="B6" t="str">
            <v>Client</v>
          </cell>
        </row>
      </sheetData>
      <sheetData sheetId="99">
        <row r="6">
          <cell r="B6" t="str">
            <v>Client</v>
          </cell>
        </row>
      </sheetData>
      <sheetData sheetId="100">
        <row r="6">
          <cell r="B6" t="str">
            <v>Client</v>
          </cell>
        </row>
      </sheetData>
      <sheetData sheetId="101">
        <row r="6">
          <cell r="B6" t="str">
            <v>Client</v>
          </cell>
        </row>
      </sheetData>
      <sheetData sheetId="102">
        <row r="6">
          <cell r="B6" t="str">
            <v>Client</v>
          </cell>
        </row>
      </sheetData>
      <sheetData sheetId="103">
        <row r="6">
          <cell r="B6" t="str">
            <v>Client</v>
          </cell>
        </row>
      </sheetData>
      <sheetData sheetId="104">
        <row r="6">
          <cell r="B6" t="str">
            <v>Client</v>
          </cell>
        </row>
      </sheetData>
      <sheetData sheetId="105">
        <row r="6">
          <cell r="B6" t="str">
            <v>Client</v>
          </cell>
        </row>
      </sheetData>
      <sheetData sheetId="106">
        <row r="6">
          <cell r="B6" t="str">
            <v>Client</v>
          </cell>
        </row>
      </sheetData>
      <sheetData sheetId="107">
        <row r="6">
          <cell r="B6" t="str">
            <v>Client</v>
          </cell>
        </row>
      </sheetData>
      <sheetData sheetId="108">
        <row r="6">
          <cell r="B6" t="str">
            <v>Client</v>
          </cell>
        </row>
      </sheetData>
      <sheetData sheetId="109">
        <row r="6">
          <cell r="B6" t="str">
            <v>Client</v>
          </cell>
        </row>
      </sheetData>
      <sheetData sheetId="11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6">
          <cell r="B6">
            <v>0</v>
          </cell>
        </row>
      </sheetData>
      <sheetData sheetId="148">
        <row r="6">
          <cell r="B6">
            <v>0</v>
          </cell>
        </row>
      </sheetData>
      <sheetData sheetId="149">
        <row r="6">
          <cell r="B6">
            <v>0</v>
          </cell>
        </row>
      </sheetData>
      <sheetData sheetId="150">
        <row r="6">
          <cell r="B6">
            <v>0</v>
          </cell>
        </row>
      </sheetData>
      <sheetData sheetId="151">
        <row r="6">
          <cell r="B6">
            <v>0</v>
          </cell>
        </row>
      </sheetData>
      <sheetData sheetId="152">
        <row r="6">
          <cell r="B6">
            <v>0</v>
          </cell>
        </row>
      </sheetData>
      <sheetData sheetId="153">
        <row r="6">
          <cell r="B6">
            <v>0</v>
          </cell>
        </row>
      </sheetData>
      <sheetData sheetId="154">
        <row r="6">
          <cell r="B6">
            <v>0</v>
          </cell>
        </row>
      </sheetData>
      <sheetData sheetId="155">
        <row r="6">
          <cell r="B6">
            <v>0</v>
          </cell>
        </row>
      </sheetData>
      <sheetData sheetId="156">
        <row r="6">
          <cell r="B6">
            <v>0</v>
          </cell>
        </row>
      </sheetData>
      <sheetData sheetId="157">
        <row r="6">
          <cell r="B6">
            <v>0</v>
          </cell>
        </row>
      </sheetData>
      <sheetData sheetId="158">
        <row r="6">
          <cell r="B6">
            <v>0</v>
          </cell>
        </row>
      </sheetData>
      <sheetData sheetId="159">
        <row r="6">
          <cell r="B6">
            <v>0</v>
          </cell>
        </row>
      </sheetData>
      <sheetData sheetId="160">
        <row r="6">
          <cell r="B6">
            <v>0</v>
          </cell>
        </row>
      </sheetData>
      <sheetData sheetId="161">
        <row r="6">
          <cell r="B6">
            <v>0</v>
          </cell>
        </row>
      </sheetData>
      <sheetData sheetId="162">
        <row r="6">
          <cell r="B6" t="str">
            <v>Client</v>
          </cell>
        </row>
      </sheetData>
      <sheetData sheetId="163">
        <row r="6">
          <cell r="B6">
            <v>0</v>
          </cell>
        </row>
      </sheetData>
      <sheetData sheetId="164">
        <row r="6">
          <cell r="B6" t="str">
            <v>Client</v>
          </cell>
        </row>
      </sheetData>
      <sheetData sheetId="165">
        <row r="6">
          <cell r="B6">
            <v>0</v>
          </cell>
        </row>
      </sheetData>
      <sheetData sheetId="166">
        <row r="6">
          <cell r="B6">
            <v>0</v>
          </cell>
        </row>
      </sheetData>
      <sheetData sheetId="167">
        <row r="6">
          <cell r="B6">
            <v>0</v>
          </cell>
        </row>
      </sheetData>
      <sheetData sheetId="168">
        <row r="6">
          <cell r="B6">
            <v>0</v>
          </cell>
        </row>
      </sheetData>
      <sheetData sheetId="169">
        <row r="6">
          <cell r="B6" t="str">
            <v>Client</v>
          </cell>
        </row>
      </sheetData>
      <sheetData sheetId="170">
        <row r="6">
          <cell r="B6" t="str">
            <v>Агентское вознаграждение</v>
          </cell>
        </row>
      </sheetData>
      <sheetData sheetId="171">
        <row r="6">
          <cell r="B6" t="str">
            <v>Client</v>
          </cell>
        </row>
      </sheetData>
      <sheetData sheetId="172">
        <row r="6">
          <cell r="B6" t="str">
            <v>Client</v>
          </cell>
        </row>
      </sheetData>
      <sheetData sheetId="173">
        <row r="6">
          <cell r="B6">
            <v>0</v>
          </cell>
        </row>
      </sheetData>
      <sheetData sheetId="174">
        <row r="6">
          <cell r="B6" t="str">
            <v>Client</v>
          </cell>
        </row>
      </sheetData>
      <sheetData sheetId="175">
        <row r="6">
          <cell r="B6">
            <v>0</v>
          </cell>
        </row>
      </sheetData>
      <sheetData sheetId="176">
        <row r="6">
          <cell r="B6">
            <v>0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6">
          <cell r="B6">
            <v>0</v>
          </cell>
        </row>
      </sheetData>
      <sheetData sheetId="187">
        <row r="6">
          <cell r="B6">
            <v>0</v>
          </cell>
        </row>
      </sheetData>
      <sheetData sheetId="188">
        <row r="6">
          <cell r="B6">
            <v>0</v>
          </cell>
        </row>
      </sheetData>
      <sheetData sheetId="189">
        <row r="6">
          <cell r="B6">
            <v>0</v>
          </cell>
        </row>
      </sheetData>
      <sheetData sheetId="190">
        <row r="6">
          <cell r="B6">
            <v>0</v>
          </cell>
        </row>
      </sheetData>
      <sheetData sheetId="191">
        <row r="6">
          <cell r="B6">
            <v>0</v>
          </cell>
        </row>
      </sheetData>
      <sheetData sheetId="192">
        <row r="6">
          <cell r="B6">
            <v>0</v>
          </cell>
        </row>
      </sheetData>
      <sheetData sheetId="193">
        <row r="6">
          <cell r="B6">
            <v>0</v>
          </cell>
        </row>
      </sheetData>
      <sheetData sheetId="194">
        <row r="6">
          <cell r="B6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>
        <row r="6">
          <cell r="B6">
            <v>0</v>
          </cell>
        </row>
      </sheetData>
      <sheetData sheetId="201">
        <row r="6">
          <cell r="B6">
            <v>0</v>
          </cell>
        </row>
      </sheetData>
      <sheetData sheetId="202">
        <row r="6">
          <cell r="B6">
            <v>0</v>
          </cell>
        </row>
      </sheetData>
      <sheetData sheetId="203">
        <row r="6">
          <cell r="B6">
            <v>0</v>
          </cell>
        </row>
      </sheetData>
      <sheetData sheetId="204">
        <row r="6">
          <cell r="B6">
            <v>0</v>
          </cell>
        </row>
      </sheetData>
      <sheetData sheetId="205">
        <row r="6">
          <cell r="B6" t="str">
            <v>Client</v>
          </cell>
        </row>
      </sheetData>
      <sheetData sheetId="206">
        <row r="6">
          <cell r="B6">
            <v>0</v>
          </cell>
        </row>
      </sheetData>
      <sheetData sheetId="207">
        <row r="6">
          <cell r="B6">
            <v>0</v>
          </cell>
        </row>
      </sheetData>
      <sheetData sheetId="208">
        <row r="6">
          <cell r="B6" t="str">
            <v>Client</v>
          </cell>
        </row>
      </sheetData>
      <sheetData sheetId="209">
        <row r="6">
          <cell r="B6">
            <v>0</v>
          </cell>
        </row>
      </sheetData>
      <sheetData sheetId="210">
        <row r="6">
          <cell r="B6">
            <v>0</v>
          </cell>
        </row>
      </sheetData>
      <sheetData sheetId="211">
        <row r="6">
          <cell r="B6">
            <v>0</v>
          </cell>
        </row>
      </sheetData>
      <sheetData sheetId="212">
        <row r="6">
          <cell r="B6" t="str">
            <v>Client</v>
          </cell>
        </row>
      </sheetData>
      <sheetData sheetId="213">
        <row r="6">
          <cell r="B6" t="str">
            <v>Client</v>
          </cell>
        </row>
      </sheetData>
      <sheetData sheetId="214">
        <row r="6">
          <cell r="B6">
            <v>0</v>
          </cell>
        </row>
      </sheetData>
      <sheetData sheetId="215">
        <row r="6">
          <cell r="B6">
            <v>0</v>
          </cell>
        </row>
      </sheetData>
      <sheetData sheetId="216">
        <row r="6">
          <cell r="B6">
            <v>0</v>
          </cell>
        </row>
      </sheetData>
      <sheetData sheetId="217">
        <row r="6">
          <cell r="B6">
            <v>0</v>
          </cell>
        </row>
      </sheetData>
      <sheetData sheetId="218">
        <row r="6">
          <cell r="B6">
            <v>0</v>
          </cell>
        </row>
      </sheetData>
      <sheetData sheetId="219">
        <row r="6">
          <cell r="B6">
            <v>0</v>
          </cell>
        </row>
      </sheetData>
      <sheetData sheetId="220">
        <row r="6">
          <cell r="B6">
            <v>0</v>
          </cell>
        </row>
      </sheetData>
      <sheetData sheetId="221">
        <row r="6">
          <cell r="B6">
            <v>0</v>
          </cell>
        </row>
      </sheetData>
      <sheetData sheetId="222">
        <row r="6">
          <cell r="B6">
            <v>0</v>
          </cell>
        </row>
      </sheetData>
      <sheetData sheetId="223">
        <row r="6">
          <cell r="B6">
            <v>0</v>
          </cell>
        </row>
      </sheetData>
      <sheetData sheetId="224">
        <row r="6">
          <cell r="B6">
            <v>0</v>
          </cell>
        </row>
      </sheetData>
      <sheetData sheetId="225">
        <row r="6">
          <cell r="B6">
            <v>0</v>
          </cell>
        </row>
      </sheetData>
      <sheetData sheetId="226">
        <row r="6">
          <cell r="B6">
            <v>0</v>
          </cell>
        </row>
      </sheetData>
      <sheetData sheetId="227">
        <row r="6">
          <cell r="B6">
            <v>0</v>
          </cell>
        </row>
      </sheetData>
      <sheetData sheetId="228">
        <row r="6">
          <cell r="B6" t="str">
            <v>Client</v>
          </cell>
        </row>
      </sheetData>
      <sheetData sheetId="229">
        <row r="6">
          <cell r="B6">
            <v>0</v>
          </cell>
        </row>
      </sheetData>
      <sheetData sheetId="230">
        <row r="6">
          <cell r="B6">
            <v>0</v>
          </cell>
        </row>
      </sheetData>
      <sheetData sheetId="231">
        <row r="6">
          <cell r="B6">
            <v>0</v>
          </cell>
        </row>
      </sheetData>
      <sheetData sheetId="232">
        <row r="6">
          <cell r="B6">
            <v>0</v>
          </cell>
        </row>
      </sheetData>
      <sheetData sheetId="233">
        <row r="6">
          <cell r="B6">
            <v>0</v>
          </cell>
        </row>
      </sheetData>
      <sheetData sheetId="234">
        <row r="6">
          <cell r="B6">
            <v>0</v>
          </cell>
        </row>
      </sheetData>
      <sheetData sheetId="235">
        <row r="6">
          <cell r="B6">
            <v>0</v>
          </cell>
        </row>
      </sheetData>
      <sheetData sheetId="236">
        <row r="6">
          <cell r="B6">
            <v>0</v>
          </cell>
        </row>
      </sheetData>
      <sheetData sheetId="237">
        <row r="6">
          <cell r="B6">
            <v>0</v>
          </cell>
        </row>
      </sheetData>
      <sheetData sheetId="238">
        <row r="6">
          <cell r="B6">
            <v>0</v>
          </cell>
        </row>
      </sheetData>
      <sheetData sheetId="239">
        <row r="6">
          <cell r="B6">
            <v>0</v>
          </cell>
        </row>
      </sheetData>
      <sheetData sheetId="240">
        <row r="6">
          <cell r="B6">
            <v>0</v>
          </cell>
        </row>
      </sheetData>
      <sheetData sheetId="241">
        <row r="6">
          <cell r="B6">
            <v>0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6">
          <cell r="B6">
            <v>0</v>
          </cell>
        </row>
      </sheetData>
      <sheetData sheetId="259">
        <row r="6">
          <cell r="B6">
            <v>0</v>
          </cell>
        </row>
      </sheetData>
      <sheetData sheetId="260">
        <row r="6">
          <cell r="B6" t="str">
            <v>Client</v>
          </cell>
        </row>
      </sheetData>
      <sheetData sheetId="261">
        <row r="6">
          <cell r="B6">
            <v>0</v>
          </cell>
        </row>
      </sheetData>
      <sheetData sheetId="262">
        <row r="6">
          <cell r="B6">
            <v>0</v>
          </cell>
        </row>
      </sheetData>
      <sheetData sheetId="263">
        <row r="6">
          <cell r="B6" t="str">
            <v>Client</v>
          </cell>
        </row>
      </sheetData>
      <sheetData sheetId="264">
        <row r="6">
          <cell r="B6">
            <v>0</v>
          </cell>
        </row>
      </sheetData>
      <sheetData sheetId="265">
        <row r="6">
          <cell r="B6">
            <v>0</v>
          </cell>
        </row>
      </sheetData>
      <sheetData sheetId="266">
        <row r="6">
          <cell r="B6">
            <v>0</v>
          </cell>
        </row>
      </sheetData>
      <sheetData sheetId="267">
        <row r="6">
          <cell r="B6">
            <v>0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DAILY  ACCUMULATED R AND F"/>
      <sheetName val="ITALIANS"/>
      <sheetName val="XLRpt_TempSheet"/>
      <sheetName val="CAMPAIGN AVERAGE F"/>
      <sheetName val="Splits"/>
      <sheetName val="ORT"/>
      <sheetName val="СТС_GRP_1.9"/>
      <sheetName val="R CURVES_Иркутск"/>
      <sheetName val="CAMPAIGN RESULTS"/>
      <sheetName val="Basis"/>
      <sheetName val="PRINT"/>
      <sheetName val="schsts"/>
      <sheetName val="OWNPROD LAT"/>
      <sheetName val="TV summary by month"/>
      <sheetName val="##"/>
      <sheetName val="TV spot_supplier"/>
      <sheetName val="Change"/>
      <sheetName val=" Total"/>
      <sheetName val="validation"/>
      <sheetName val="Ind. Eco. 2003"/>
      <sheetName val="PARAME"/>
      <sheetName val="Клипы (2)"/>
      <sheetName val="Предлож_СПб"/>
      <sheetName val="Gazete teaser"/>
      <sheetName val="Лист2"/>
      <sheetName val="Европа Плюс Москва "/>
      <sheetName val="DAILY__ACCUMULATED_R_AND_F"/>
      <sheetName val="TV_summary_by_month"/>
      <sheetName val="R_CURVES_Иркутск"/>
      <sheetName val="CAMPAIGN_RESULTS"/>
      <sheetName val="CAMPAIGN_AVERAGE_F"/>
      <sheetName val="OWNPROD_LAT"/>
      <sheetName val="TV_spot_supplier"/>
      <sheetName val="СТС_GRP_1_9"/>
      <sheetName val="_Total"/>
      <sheetName val="Print-forms"/>
      <sheetName val="Media Plan UAH"/>
      <sheetName val="Data USA Cdn$"/>
      <sheetName val="Data USA US$"/>
      <sheetName val="Справочники"/>
      <sheetName val="options"/>
      <sheetName val="Конструктор недели"/>
      <sheetName val="Clasify"/>
      <sheetName val="DAILY__ACCUMULATED_R_AND_F1"/>
      <sheetName val="TV_summary_by_month1"/>
      <sheetName val="R_CURVES_Иркутск1"/>
      <sheetName val="CAMPAIGN_RESULTS1"/>
      <sheetName val="CAMPAIGN_AVERAGE_F1"/>
      <sheetName val="OWNPROD_LAT1"/>
      <sheetName val="СТС_GRP_1_91"/>
      <sheetName val="TV_spot_supplier1"/>
      <sheetName val="_Total1"/>
      <sheetName val="Клипы_(2)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Media Citroen JAN"/>
      <sheetName val="Сентябрь"/>
      <sheetName val="Нац ТВ 2019_13.08"/>
      <sheetName val="СПОНС"/>
      <sheetName val="Лист1"/>
      <sheetName val="Work Sheet"/>
      <sheetName val="Лист8"/>
      <sheetName val="DAILY__ACCUMULATED_R_AND_F2"/>
      <sheetName val="R_CURVES_Иркутск2"/>
      <sheetName val="CAMPAIGN_RESULTS2"/>
      <sheetName val="CAMPAIGN_AVERAGE_F2"/>
      <sheetName val="TV_summary_by_month2"/>
      <sheetName val="OWNPROD_LAT2"/>
      <sheetName val="СТС_GRP_1_92"/>
      <sheetName val="TV_spot_supplier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Sheet1"/>
      <sheetName val="Date 2"/>
      <sheetName val="tv"/>
      <sheetName val="Чел Европа+ от сми"/>
      <sheetName val="Aug,24"/>
      <sheetName val="schren"/>
      <sheetName val="schtv6"/>
      <sheetName val="ТЛ"/>
      <sheetName val="chart11"/>
      <sheetName val="Lib"/>
      <sheetName val="Владивосток ОРТ (наш)"/>
      <sheetName val="OUTFLOW"/>
      <sheetName val="key"/>
      <sheetName val="Title"/>
      <sheetName val="Тех_доп"/>
      <sheetName val="all brands (all media)"/>
      <sheetName val="Control"/>
      <sheetName val="DAILY__ACCUMULATED_R_AND_F3"/>
      <sheetName val="R_CURVES_Иркутск3"/>
      <sheetName val="CAMPAIGN_RESULTS3"/>
      <sheetName val="CAMPAIGN_AVERAGE_F3"/>
      <sheetName val="TV_summary_by_month3"/>
      <sheetName val="OWNPROD_LAT3"/>
      <sheetName val="TV_spot_supplier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kz budget lc"/>
      <sheetName val="сплит"/>
      <sheetName val="цены и коэф."/>
      <sheetName val="G2TempSheet"/>
      <sheetName val="Date_2"/>
      <sheetName val="Чел_Европа+_от_сми"/>
      <sheetName val="FY04 fx"/>
      <sheetName val="разбивка по каналам"/>
      <sheetName val="ChanGr_cfg"/>
      <sheetName val="Base"/>
      <sheetName val="odaplan_report"/>
      <sheetName val="сводная"/>
      <sheetName val="Total Sara Lee Int WH"/>
      <sheetName val="Total Sara Lee Int FTE"/>
      <sheetName val="Evaluation2"/>
      <sheetName val="Codes"/>
      <sheetName val="Tablas"/>
      <sheetName val="BUDGET STATUS"/>
      <sheetName val="All Data"/>
      <sheetName val="Ymem62"/>
      <sheetName val="Lookups"/>
      <sheetName val="HBU_Modern"/>
      <sheetName val="HBU_Trad"/>
      <sheetName val="ConstantsANDSettings"/>
    </sheetNames>
    <sheetDataSet>
      <sheetData sheetId="0" refreshError="1">
        <row r="2">
          <cell r="B2" t="str">
            <v>15+</v>
          </cell>
        </row>
        <row r="6">
          <cell r="P6">
            <v>7.4042043629654009</v>
          </cell>
          <cell r="Q6">
            <v>12.637494009221278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8</v>
          </cell>
        </row>
      </sheetData>
      <sheetData sheetId="45">
        <row r="6">
          <cell r="P6">
            <v>8</v>
          </cell>
        </row>
      </sheetData>
      <sheetData sheetId="46">
        <row r="6">
          <cell r="P6">
            <v>8</v>
          </cell>
        </row>
      </sheetData>
      <sheetData sheetId="47">
        <row r="6">
          <cell r="P6">
            <v>8</v>
          </cell>
        </row>
      </sheetData>
      <sheetData sheetId="48">
        <row r="6">
          <cell r="P6">
            <v>8</v>
          </cell>
        </row>
      </sheetData>
      <sheetData sheetId="49">
        <row r="6">
          <cell r="P6">
            <v>8</v>
          </cell>
        </row>
      </sheetData>
      <sheetData sheetId="50">
        <row r="6">
          <cell r="P6">
            <v>8</v>
          </cell>
        </row>
      </sheetData>
      <sheetData sheetId="51">
        <row r="6">
          <cell r="P6">
            <v>8</v>
          </cell>
        </row>
      </sheetData>
      <sheetData sheetId="52">
        <row r="6">
          <cell r="P6">
            <v>8</v>
          </cell>
        </row>
      </sheetData>
      <sheetData sheetId="53">
        <row r="6">
          <cell r="P6">
            <v>8</v>
          </cell>
        </row>
      </sheetData>
      <sheetData sheetId="54">
        <row r="6">
          <cell r="P6">
            <v>8</v>
          </cell>
        </row>
      </sheetData>
      <sheetData sheetId="55">
        <row r="6">
          <cell r="P6">
            <v>8</v>
          </cell>
        </row>
      </sheetData>
      <sheetData sheetId="56">
        <row r="6">
          <cell r="P6">
            <v>8</v>
          </cell>
        </row>
      </sheetData>
      <sheetData sheetId="57">
        <row r="6">
          <cell r="P6">
            <v>8</v>
          </cell>
        </row>
      </sheetData>
      <sheetData sheetId="58">
        <row r="6">
          <cell r="P6">
            <v>8</v>
          </cell>
        </row>
      </sheetData>
      <sheetData sheetId="59">
        <row r="6">
          <cell r="P6">
            <v>8</v>
          </cell>
        </row>
      </sheetData>
      <sheetData sheetId="60" refreshError="1"/>
      <sheetData sheetId="61" refreshError="1"/>
      <sheetData sheetId="62">
        <row r="6">
          <cell r="P6">
            <v>8</v>
          </cell>
        </row>
      </sheetData>
      <sheetData sheetId="63">
        <row r="6">
          <cell r="P6">
            <v>8</v>
          </cell>
        </row>
      </sheetData>
      <sheetData sheetId="64">
        <row r="6">
          <cell r="P6">
            <v>8</v>
          </cell>
        </row>
      </sheetData>
      <sheetData sheetId="65" refreshError="1"/>
      <sheetData sheetId="66" refreshError="1"/>
      <sheetData sheetId="67">
        <row r="6">
          <cell r="P6">
            <v>8</v>
          </cell>
        </row>
      </sheetData>
      <sheetData sheetId="68">
        <row r="6">
          <cell r="P6">
            <v>8</v>
          </cell>
        </row>
      </sheetData>
      <sheetData sheetId="69">
        <row r="6">
          <cell r="P6">
            <v>8</v>
          </cell>
        </row>
      </sheetData>
      <sheetData sheetId="70">
        <row r="6">
          <cell r="P6">
            <v>8</v>
          </cell>
        </row>
      </sheetData>
      <sheetData sheetId="71">
        <row r="6">
          <cell r="P6">
            <v>8</v>
          </cell>
        </row>
      </sheetData>
      <sheetData sheetId="72">
        <row r="6">
          <cell r="P6">
            <v>8</v>
          </cell>
        </row>
      </sheetData>
      <sheetData sheetId="73">
        <row r="6">
          <cell r="P6">
            <v>8</v>
          </cell>
        </row>
      </sheetData>
      <sheetData sheetId="74">
        <row r="6">
          <cell r="P6">
            <v>8</v>
          </cell>
        </row>
      </sheetData>
      <sheetData sheetId="75">
        <row r="6">
          <cell r="P6">
            <v>8</v>
          </cell>
        </row>
      </sheetData>
      <sheetData sheetId="76">
        <row r="6">
          <cell r="P6">
            <v>8</v>
          </cell>
        </row>
      </sheetData>
      <sheetData sheetId="77">
        <row r="6">
          <cell r="P6">
            <v>8</v>
          </cell>
        </row>
      </sheetData>
      <sheetData sheetId="78">
        <row r="6">
          <cell r="P6">
            <v>8</v>
          </cell>
        </row>
      </sheetData>
      <sheetData sheetId="79">
        <row r="6">
          <cell r="P6">
            <v>8</v>
          </cell>
        </row>
      </sheetData>
      <sheetData sheetId="80">
        <row r="6">
          <cell r="P6">
            <v>8</v>
          </cell>
        </row>
      </sheetData>
      <sheetData sheetId="81">
        <row r="6">
          <cell r="P6">
            <v>8</v>
          </cell>
        </row>
      </sheetData>
      <sheetData sheetId="82">
        <row r="6">
          <cell r="P6">
            <v>8</v>
          </cell>
        </row>
      </sheetData>
      <sheetData sheetId="83">
        <row r="6">
          <cell r="P6">
            <v>8</v>
          </cell>
        </row>
      </sheetData>
      <sheetData sheetId="84">
        <row r="6">
          <cell r="P6">
            <v>8</v>
          </cell>
        </row>
      </sheetData>
      <sheetData sheetId="85">
        <row r="6">
          <cell r="P6">
            <v>8</v>
          </cell>
        </row>
      </sheetData>
      <sheetData sheetId="86">
        <row r="6">
          <cell r="P6">
            <v>8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6">
          <cell r="P6">
            <v>8</v>
          </cell>
        </row>
      </sheetData>
      <sheetData sheetId="119">
        <row r="6">
          <cell r="P6">
            <v>8</v>
          </cell>
        </row>
      </sheetData>
      <sheetData sheetId="120">
        <row r="6">
          <cell r="P6">
            <v>8</v>
          </cell>
        </row>
      </sheetData>
      <sheetData sheetId="121">
        <row r="6">
          <cell r="P6">
            <v>8</v>
          </cell>
        </row>
      </sheetData>
      <sheetData sheetId="122">
        <row r="6">
          <cell r="P6">
            <v>8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8"/>
      <sheetName val="KP 2008"/>
      <sheetName val="cost per month"/>
      <sheetName val="Themenübersicht"/>
      <sheetName val="12"/>
      <sheetName val="Media plan"/>
      <sheetName val="MA-BL"/>
      <sheetName val="Kostenplan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enplan"/>
      <sheetName val="Grunddaten für Einkauf"/>
      <sheetName val="Belegungsplan"/>
      <sheetName val="Streuplan"/>
      <sheetName val="Mo-Fr-Kalkulation"/>
      <sheetName val="Sa-Kalkulation"/>
      <sheetName val="So-Kalkulation"/>
      <sheetName val="Jahresvolumen"/>
      <sheetName val="Rabattstaffeln"/>
      <sheetName val="Kombinationen 2005"/>
      <sheetName val="BudgetControl"/>
      <sheetName val="Dealcheck"/>
      <sheetName val="PIANO GENERALE"/>
      <sheetName val="MP 2008"/>
      <sheetName val="12"/>
      <sheetName val="Grunddaten_für_Einkauf"/>
      <sheetName val="Kombinationen_2005"/>
      <sheetName val="PIANO_GENERALE"/>
      <sheetName val="Kostenplan%20Funk_070205.xls"/>
      <sheetName val="Kostenplan Funk_070205"/>
      <sheetName val="Table"/>
      <sheetName val="PC"/>
      <sheetName val="Corp"/>
      <sheetName val="IW"/>
      <sheetName val="MBS"/>
      <sheetName val="MED"/>
      <sheetName val="Server"/>
      <sheetName val="Client"/>
      <sheetName val=""/>
      <sheetName val="Commercial SoC"/>
      <sheetName val="MP 2007"/>
      <sheetName val="Grunddaten f?r Einkauf"/>
      <sheetName val="Dashboard Data"/>
      <sheetName val="Grunddaten_für_Einkauf1"/>
      <sheetName val="Kombinationen_20051"/>
      <sheetName val="PIANO_GENERALE1"/>
      <sheetName val="MP_2008"/>
      <sheetName val="Dashboard_Data"/>
      <sheetName val="Kostenplan%20Funk_070205_xls"/>
      <sheetName val="Kostenplan_Funk_070205"/>
      <sheetName val="Grunddaten_für_Einkauf2"/>
      <sheetName val="Kombinationen_20052"/>
      <sheetName val="PIANO_GENERALE2"/>
      <sheetName val="Grunddaten_für_Einkauf3"/>
      <sheetName val="Kombinationen_20053"/>
      <sheetName val="PIANO_GENERALE3"/>
      <sheetName val="MP_20081"/>
      <sheetName val="Grunddaten_für_Einkauf4"/>
      <sheetName val="Kombinationen_20054"/>
      <sheetName val="PIANO_GENERALE4"/>
      <sheetName val="MP_20082"/>
      <sheetName val="GRP"/>
      <sheetName val="MP NEON 2007"/>
      <sheetName val="MEN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QmcqA-7Vk6YPzppNO4XExALVYjf8BZOe/view?usp=drive_link" TargetMode="External"/><Relationship Id="rId18" Type="http://schemas.openxmlformats.org/officeDocument/2006/relationships/hyperlink" Target="https://drive.google.com/file/d/1D8ZxSUrGcrNAzR1NgRSU12z5UpatNMry/view?usp=drive_link" TargetMode="External"/><Relationship Id="rId26" Type="http://schemas.openxmlformats.org/officeDocument/2006/relationships/hyperlink" Target="https://drive.google.com/file/d/1_-TqYEcMnbNFfv3nmQfKcDrcnS9FN3LX/view?usp=drive_link" TargetMode="External"/><Relationship Id="rId39" Type="http://schemas.openxmlformats.org/officeDocument/2006/relationships/hyperlink" Target="https://drive.google.com/file/d/12WsUak69_0EmntJnEefgwe0vHo1ytl2z/view?usp=share_link" TargetMode="External"/><Relationship Id="rId21" Type="http://schemas.openxmlformats.org/officeDocument/2006/relationships/hyperlink" Target="https://drive.google.com/file/d/1caV8eev2s4Kw9UiesHUaSrm2UbrzP9D8/view?usp=share_link" TargetMode="External"/><Relationship Id="rId34" Type="http://schemas.openxmlformats.org/officeDocument/2006/relationships/hyperlink" Target="https://drive.google.com/file/d/1ClId-5T3WpMZ0G3t-zOOS1piYf0UKh7X/view?usp=drive_link" TargetMode="External"/><Relationship Id="rId7" Type="http://schemas.openxmlformats.org/officeDocument/2006/relationships/hyperlink" Target="https://drive.google.com/file/d/1g4TgGt320ve89lPHPRT3RsCMQqdCfJNQ/view?usp=share_link" TargetMode="External"/><Relationship Id="rId2" Type="http://schemas.openxmlformats.org/officeDocument/2006/relationships/hyperlink" Target="https://drive.google.com/file/d/1Ev0WNHh_54Z8B3mgoMWcVmQrH41Yb70F/view?usp=drive_link" TargetMode="External"/><Relationship Id="rId16" Type="http://schemas.openxmlformats.org/officeDocument/2006/relationships/hyperlink" Target="https://drive.google.com/file/d/1gj_3452AKDJx0SI3UTC1kMCfNuA8vk7U/view?usp=drive_link" TargetMode="External"/><Relationship Id="rId20" Type="http://schemas.openxmlformats.org/officeDocument/2006/relationships/hyperlink" Target="https://drive.google.com/file/d/1g08G-JwwixwSvEM-mAm-mA7avNisEPPV/view?usp=share_link" TargetMode="External"/><Relationship Id="rId29" Type="http://schemas.openxmlformats.org/officeDocument/2006/relationships/hyperlink" Target="https://drive.google.com/file/d/1WW_LiZwGWwQnz36f-OqoLlxdtMB7NvBs/view?usp=share_link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VOoFbbxdDyKDmaejuOqwkO52i0SqVk0f/view?usp=drive_link" TargetMode="External"/><Relationship Id="rId6" Type="http://schemas.openxmlformats.org/officeDocument/2006/relationships/hyperlink" Target="https://drive.google.com/file/d/1a3inNGUmctrOzUHUm2E5WWCJwUTA6Eu8/view?usp=share_link" TargetMode="External"/><Relationship Id="rId11" Type="http://schemas.openxmlformats.org/officeDocument/2006/relationships/hyperlink" Target="https://drive.google.com/file/d/1KFcBGtPvScLrH3m3ld21AF-P4Z5cq7fk/view?usp=drive_link" TargetMode="External"/><Relationship Id="rId24" Type="http://schemas.openxmlformats.org/officeDocument/2006/relationships/hyperlink" Target="https://drive.google.com/file/d/1cXCBfiE8xkXo0CeD9nB9QBaW72k3wQ89/view?usp=share_link" TargetMode="External"/><Relationship Id="rId32" Type="http://schemas.openxmlformats.org/officeDocument/2006/relationships/hyperlink" Target="https://drive.google.com/file/d/19mIfVf4oIWv2yB-2kgbirpwVg3CIKtda/view?usp=drive_link" TargetMode="External"/><Relationship Id="rId37" Type="http://schemas.openxmlformats.org/officeDocument/2006/relationships/hyperlink" Target="https://drive.google.com/file/d/1bFLUDuIepb_3Cm142gxrZqCJsg19AIyv/view?usp=share_link" TargetMode="External"/><Relationship Id="rId40" Type="http://schemas.openxmlformats.org/officeDocument/2006/relationships/hyperlink" Target="https://yandex.ru/maps/?um=constructor%3A02e9f2506d462f15b220982d308e64a67a8c3951aff2bce933ba480bad178a85&amp;source=constructorLink" TargetMode="External"/><Relationship Id="rId5" Type="http://schemas.openxmlformats.org/officeDocument/2006/relationships/hyperlink" Target="https://drive.google.com/file/d/1ep-jSzdVAPYH2yWdVXtp1HP2gDkHjOi9/view?usp=share_link" TargetMode="External"/><Relationship Id="rId15" Type="http://schemas.openxmlformats.org/officeDocument/2006/relationships/hyperlink" Target="https://drive.google.com/file/d/1gYBbqvKE5D1NyVLZA63RxQaNqKEkGXQ9/view?usp=drive_link" TargetMode="External"/><Relationship Id="rId23" Type="http://schemas.openxmlformats.org/officeDocument/2006/relationships/hyperlink" Target="https://drive.google.com/file/d/1Sb7pgHJI1fWwFImLTQQlRQw8mnSmXC2C/view?usp=share_link" TargetMode="External"/><Relationship Id="rId28" Type="http://schemas.openxmlformats.org/officeDocument/2006/relationships/hyperlink" Target="https://drive.google.com/file/d/1uCewoqGi74-zl9_Qk2CPMd3Bo07hlE9M/view?usp=share_link" TargetMode="External"/><Relationship Id="rId36" Type="http://schemas.openxmlformats.org/officeDocument/2006/relationships/hyperlink" Target="https://drive.google.com/file/d/1fcDBvQsXX5mj6bggiBtDnwG0NWL0cDv6/view?usp=share_link" TargetMode="External"/><Relationship Id="rId10" Type="http://schemas.openxmlformats.org/officeDocument/2006/relationships/hyperlink" Target="https://drive.google.com/file/d/1VbEovqrLDsQ2dddK_3hKxvts7hCeWUg8/view?usp=drive_link" TargetMode="External"/><Relationship Id="rId19" Type="http://schemas.openxmlformats.org/officeDocument/2006/relationships/hyperlink" Target="https://drive.google.com/file/d/1j0X9dg2hNMVSUtG-zd1jirD_QmfRksoj/view?usp=share_link" TargetMode="External"/><Relationship Id="rId31" Type="http://schemas.openxmlformats.org/officeDocument/2006/relationships/hyperlink" Target="https://drive.google.com/file/d/1JD443DtIWKJ0jVBmRbasSd4P9YC8QzkJ/view?usp=drive_link" TargetMode="External"/><Relationship Id="rId4" Type="http://schemas.openxmlformats.org/officeDocument/2006/relationships/hyperlink" Target="https://drive.google.com/file/d/1-ejPTUGFXee5zhaVnWAXXRsSaqNcWlkH/view?usp=drive_link" TargetMode="External"/><Relationship Id="rId9" Type="http://schemas.openxmlformats.org/officeDocument/2006/relationships/hyperlink" Target="https://drive.google.com/file/d/1sMmdP51xkaZLpV6AQRlYtb_N_7vFaNBm/view?usp=drive_link" TargetMode="External"/><Relationship Id="rId14" Type="http://schemas.openxmlformats.org/officeDocument/2006/relationships/hyperlink" Target="https://drive.google.com/file/d/1YG7XfwNwK9d1jFIiayywQJW664yXxNtr/view?usp=drive_link" TargetMode="External"/><Relationship Id="rId22" Type="http://schemas.openxmlformats.org/officeDocument/2006/relationships/hyperlink" Target="https://drive.google.com/file/d/1heT1ESAmZOdC_sO3Ufh9_3LNEOVJ2SLb/view?usp=share_link" TargetMode="External"/><Relationship Id="rId27" Type="http://schemas.openxmlformats.org/officeDocument/2006/relationships/hyperlink" Target="https://docs.google.com/presentation/d/1uNkXXsGTvZfobfg_oxJrdcn5lOFF2-Fh/edit?usp=sharing&amp;ouid=106943694551346941049&amp;rtpof=true&amp;sd=true" TargetMode="External"/><Relationship Id="rId30" Type="http://schemas.openxmlformats.org/officeDocument/2006/relationships/hyperlink" Target="https://drive.google.com/file/d/1Av3k1UHE5H_HsgEbrE8qjCAwc_uPLcmq/view?usp=share_link" TargetMode="External"/><Relationship Id="rId35" Type="http://schemas.openxmlformats.org/officeDocument/2006/relationships/hyperlink" Target="https://drive.google.com/file/d/1mUtpbaKHj8tEUs27HtAKr_qmqpb2vDhd/view?usp=drive_link" TargetMode="External"/><Relationship Id="rId8" Type="http://schemas.openxmlformats.org/officeDocument/2006/relationships/hyperlink" Target="https://drive.google.com/file/d/14K4kiRoVDy3bVytCps0_ZAAuu9h_gXyd/view?usp=drive_link" TargetMode="External"/><Relationship Id="rId3" Type="http://schemas.openxmlformats.org/officeDocument/2006/relationships/hyperlink" Target="https://drive.google.com/file/d/1U6A_TXjl2aXOvby8DNvO3WDwGxRDwUX5/view?usp=drive_link" TargetMode="External"/><Relationship Id="rId12" Type="http://schemas.openxmlformats.org/officeDocument/2006/relationships/hyperlink" Target="https://drive.google.com/file/d/1sMUwcHTAEnvSjLPbkB075Zv5Qcfz29RI/view?usp=drive_link" TargetMode="External"/><Relationship Id="rId17" Type="http://schemas.openxmlformats.org/officeDocument/2006/relationships/hyperlink" Target="https://drive.google.com/file/d/1_qUxXKGUGfI47yV8XVOIQuxVu5Fg5s9O/view?usp=share_link" TargetMode="External"/><Relationship Id="rId25" Type="http://schemas.openxmlformats.org/officeDocument/2006/relationships/hyperlink" Target="https://drive.google.com/file/d/1wRJmL9cWiW402cRNpCeANgmmT3hLApR_/view?usp=drive_link" TargetMode="External"/><Relationship Id="rId33" Type="http://schemas.openxmlformats.org/officeDocument/2006/relationships/hyperlink" Target="https://drive.google.com/file/d/1CP2IUFFB6tesXV-kHDU-RgD0jpPyX0mP/view?usp=drive_link" TargetMode="External"/><Relationship Id="rId38" Type="http://schemas.openxmlformats.org/officeDocument/2006/relationships/hyperlink" Target="https://drive.google.com/file/d/1xmsCIvLjN2RMl6Pzt1uH0mogh96yQDUR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GviGH3Z-sESXwOuWBpDyZyhqaOpTTAFm/view?usp=share_link" TargetMode="External"/><Relationship Id="rId18" Type="http://schemas.openxmlformats.org/officeDocument/2006/relationships/hyperlink" Target="https://drive.google.com/file/d/11Z87JOOPFWpaSnfXlMY4kpiVyXYSIbxY/view?usp=share_link" TargetMode="External"/><Relationship Id="rId26" Type="http://schemas.openxmlformats.org/officeDocument/2006/relationships/hyperlink" Target="https://drive.google.com/file/d/1cawWTI2uzPcDfYxwYUHE25vA_gUqZiyg/view?usp=share_link" TargetMode="External"/><Relationship Id="rId21" Type="http://schemas.openxmlformats.org/officeDocument/2006/relationships/hyperlink" Target="https://drive.google.com/file/d/11fg-HW5_3k0v8wtWvxOrTBEvquwZ22IQ/view?usp=share_link" TargetMode="External"/><Relationship Id="rId34" Type="http://schemas.openxmlformats.org/officeDocument/2006/relationships/hyperlink" Target="https://drive.google.com/file/d/1-LHSY4bb3tvvdmeJrGmxo2EoKrz9xcXF/view?usp=share_link" TargetMode="External"/><Relationship Id="rId7" Type="http://schemas.openxmlformats.org/officeDocument/2006/relationships/hyperlink" Target="https://drive.google.com/file/d/1l-VMnqaJY3FNXMLzbqT-YA9PhuLYERlG/view?usp=share_link" TargetMode="External"/><Relationship Id="rId12" Type="http://schemas.openxmlformats.org/officeDocument/2006/relationships/hyperlink" Target="https://drive.google.com/file/d/1UHA2tboWD5Wyn735Gt0Roopa6jO7c3rH/view?usp=share_link" TargetMode="External"/><Relationship Id="rId17" Type="http://schemas.openxmlformats.org/officeDocument/2006/relationships/hyperlink" Target="https://drive.google.com/file/d/1MVdT7V8C-Sf_ix5d4QkSqfkZm-GFtagY/view?usp=share_link" TargetMode="External"/><Relationship Id="rId25" Type="http://schemas.openxmlformats.org/officeDocument/2006/relationships/hyperlink" Target="https://drive.google.com/file/d/1lNwJ1NmgZvbXRg-IMyvHUaxp7P3YT7Bg/view?usp=share_link" TargetMode="External"/><Relationship Id="rId33" Type="http://schemas.openxmlformats.org/officeDocument/2006/relationships/hyperlink" Target="https://drive.google.com/file/d/1ycLf-P3BZxjI57BB7pnH2-fsM-2HKShU/view?usp=share_link" TargetMode="External"/><Relationship Id="rId38" Type="http://schemas.openxmlformats.org/officeDocument/2006/relationships/printerSettings" Target="../printerSettings/printerSettings2.bin"/><Relationship Id="rId2" Type="http://schemas.openxmlformats.org/officeDocument/2006/relationships/hyperlink" Target="https://drive.google.com/file/d/1_-TqYEcMnbNFfv3nmQfKcDrcnS9FN3LX/view?usp=drive_link" TargetMode="External"/><Relationship Id="rId16" Type="http://schemas.openxmlformats.org/officeDocument/2006/relationships/hyperlink" Target="https://drive.google.com/file/d/15KR3s_ChlakW0259NFHS_ZwLsfiI8MgY/view?usp=share_link" TargetMode="External"/><Relationship Id="rId20" Type="http://schemas.openxmlformats.org/officeDocument/2006/relationships/hyperlink" Target="https://drive.google.com/file/d/1Dkmbxg3VbXi6OPIaePOfISqQs7DICjhu/view?usp=share_link" TargetMode="External"/><Relationship Id="rId29" Type="http://schemas.openxmlformats.org/officeDocument/2006/relationships/hyperlink" Target="https://drive.google.com/file/d/1FJWmQs-ZMx3ToB1N3GqrC3zVXqqlRVSv/view?usp=share_link" TargetMode="External"/><Relationship Id="rId1" Type="http://schemas.openxmlformats.org/officeDocument/2006/relationships/hyperlink" Target="https://drive.google.com/file/d/1wRJmL9cWiW402cRNpCeANgmmT3hLApR_/view?usp=drive_link" TargetMode="External"/><Relationship Id="rId6" Type="http://schemas.openxmlformats.org/officeDocument/2006/relationships/hyperlink" Target="https://drive.google.com/file/d/1KTcnGAELIse7ph8-CMAXR2Y-AaJK0RPP/view?usp=share_link" TargetMode="External"/><Relationship Id="rId11" Type="http://schemas.openxmlformats.org/officeDocument/2006/relationships/hyperlink" Target="https://drive.google.com/file/d/1LA4F1T3B-UzyLqCBpV9UGObVkwklykIp/view?usp=share_link" TargetMode="External"/><Relationship Id="rId24" Type="http://schemas.openxmlformats.org/officeDocument/2006/relationships/hyperlink" Target="https://drive.google.com/file/d/1zzzwTWfjvS6qyu2OjngxiEO0RSv2RGaO/view?usp=drive_link" TargetMode="External"/><Relationship Id="rId32" Type="http://schemas.openxmlformats.org/officeDocument/2006/relationships/hyperlink" Target="https://drive.google.com/file/d/1vCQ0YBwroawoKiV497KHSOExtY0qcYY5/view?usp=drive_link" TargetMode="External"/><Relationship Id="rId37" Type="http://schemas.openxmlformats.org/officeDocument/2006/relationships/hyperlink" Target="https://drive.google.com/file/d/156AC_uVSKNdtJBIapLpxsdB34LztyjkC/view?usp=drive_link" TargetMode="External"/><Relationship Id="rId5" Type="http://schemas.openxmlformats.org/officeDocument/2006/relationships/hyperlink" Target="https://drive.google.com/file/d/1oJpCZgnPavyzYoDQt0LkbrY4qEmu1S3e/view?usp=share_link" TargetMode="External"/><Relationship Id="rId15" Type="http://schemas.openxmlformats.org/officeDocument/2006/relationships/hyperlink" Target="https://drive.google.com/file/d/1h8orbfCh1v_xa8u60MvfXSQkJ77hDpGR/view?usp=share_link" TargetMode="External"/><Relationship Id="rId23" Type="http://schemas.openxmlformats.org/officeDocument/2006/relationships/hyperlink" Target="https://drive.google.com/file/d/1-8_kaqtqrUu9ntKnmh4a7WqqOjQV0lB4/view?usp=share_link" TargetMode="External"/><Relationship Id="rId28" Type="http://schemas.openxmlformats.org/officeDocument/2006/relationships/hyperlink" Target="https://drive.google.com/file/d/1AoncQWdIihQbhdEUTdP5QF4aXor3r_VB/view?usp=sharing" TargetMode="External"/><Relationship Id="rId36" Type="http://schemas.openxmlformats.org/officeDocument/2006/relationships/hyperlink" Target="https://yandex.ru/maps/?um=constructor%3A02e9f2506d462f15b220982d308e64a67a8c3951aff2bce933ba480bad178a85&amp;source=constructorLink" TargetMode="External"/><Relationship Id="rId10" Type="http://schemas.openxmlformats.org/officeDocument/2006/relationships/hyperlink" Target="https://drive.google.com/file/d/1Lr-Bgyt8Uj6h_eBrH3kFDCSUbJlH3UF7/view?usp=share_link" TargetMode="External"/><Relationship Id="rId19" Type="http://schemas.openxmlformats.org/officeDocument/2006/relationships/hyperlink" Target="https://drive.google.com/file/d/1Xx-zcgyRXiJm_sjre0LkbSLAcsqwRKto/view?usp=sharing" TargetMode="External"/><Relationship Id="rId31" Type="http://schemas.openxmlformats.org/officeDocument/2006/relationships/hyperlink" Target="https://drive.google.com/file/d/1f0nF0MpTnjIPphwn6pTZDvxVBfGo3xRM/view?usp=share_link" TargetMode="External"/><Relationship Id="rId4" Type="http://schemas.openxmlformats.org/officeDocument/2006/relationships/hyperlink" Target="https://drive.google.com/file/d/14K4kiRoVDy3bVytCps0_ZAAuu9h_gXyd/view?usp=share_link" TargetMode="External"/><Relationship Id="rId9" Type="http://schemas.openxmlformats.org/officeDocument/2006/relationships/hyperlink" Target="https://drive.google.com/file/d/1Hk7KQBGREXGwyUVPY9Mk5bHadU7DeyF0/view?usp=share_link" TargetMode="External"/><Relationship Id="rId14" Type="http://schemas.openxmlformats.org/officeDocument/2006/relationships/hyperlink" Target="https://drive.google.com/file/d/1zNOTUd_vZN3odpZLdZbs20sMcBPMOw-p/view?usp=share_link" TargetMode="External"/><Relationship Id="rId22" Type="http://schemas.openxmlformats.org/officeDocument/2006/relationships/hyperlink" Target="https://drive.google.com/file/d/1z0KEVQUH3d_Q-_iugTGiL1y5XQX3oxfj/view?usp=drive_link" TargetMode="External"/><Relationship Id="rId27" Type="http://schemas.openxmlformats.org/officeDocument/2006/relationships/hyperlink" Target="https://drive.google.com/file/d/1h-o__3eA9v9cdzXHy4Y9mT77B-vc4fed/view?usp=share_link" TargetMode="External"/><Relationship Id="rId30" Type="http://schemas.openxmlformats.org/officeDocument/2006/relationships/hyperlink" Target="https://drive.google.com/file/d/1O66XdAFtKh3srKujtfxUPDNsO0ukT6cs/view?usp=share_link" TargetMode="External"/><Relationship Id="rId35" Type="http://schemas.openxmlformats.org/officeDocument/2006/relationships/hyperlink" Target="https://drive.google.com/file/d/1Cl0S5o23U1nRHqZn7b7lOekfvcVCh0Ec/view?usp=share_link" TargetMode="External"/><Relationship Id="rId8" Type="http://schemas.openxmlformats.org/officeDocument/2006/relationships/hyperlink" Target="https://drive.google.com/file/d/17QE7pgQxv7uY_x615BUO1h0zsa96dSfd/view?usp=share_link" TargetMode="External"/><Relationship Id="rId3" Type="http://schemas.openxmlformats.org/officeDocument/2006/relationships/hyperlink" Target="https://docs.google.com/presentation/d/1uNkXXsGTvZfobfg_oxJrdcn5lOFF2-Fh/edit?usp=sharing&amp;ouid=106943694551346941049&amp;rtpof=true&amp;sd=tru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756F-3272-4D21-A15D-7BDC18378E5C}">
  <sheetPr>
    <tabColor rgb="FF92D050"/>
  </sheetPr>
  <dimension ref="A1:EO104"/>
  <sheetViews>
    <sheetView zoomScale="55" zoomScaleNormal="55" workbookViewId="0">
      <selection activeCell="G23" sqref="G23"/>
    </sheetView>
  </sheetViews>
  <sheetFormatPr baseColWidth="10" defaultColWidth="19.1640625" defaultRowHeight="16"/>
  <cols>
    <col min="1" max="1" width="15.6640625" style="7" customWidth="1"/>
    <col min="2" max="2" width="20.33203125" style="7" customWidth="1"/>
    <col min="3" max="3" width="17.83203125" style="7" bestFit="1" customWidth="1"/>
    <col min="4" max="4" width="62.5" style="7" customWidth="1"/>
    <col min="5" max="11" width="15.83203125" style="7" customWidth="1"/>
    <col min="12" max="12" width="20.83203125" style="5" customWidth="1"/>
    <col min="13" max="13" width="17.83203125" style="5" bestFit="1" customWidth="1"/>
    <col min="14" max="15" width="20.83203125" style="5" customWidth="1"/>
    <col min="16" max="16" width="20.1640625" style="5" bestFit="1" customWidth="1"/>
    <col min="17" max="18" width="20.83203125" style="7" customWidth="1"/>
    <col min="19" max="19" width="30.6640625" style="7" bestFit="1" customWidth="1"/>
    <col min="20" max="21" width="20.83203125" style="7" customWidth="1"/>
    <col min="22" max="16384" width="19.1640625" style="5"/>
  </cols>
  <sheetData>
    <row r="1" spans="1:21" ht="40.75" customHeight="1">
      <c r="D1" s="11"/>
    </row>
    <row r="2" spans="1:21" s="113" customFormat="1" ht="49.75" customHeight="1" thickBot="1">
      <c r="A2" s="112"/>
      <c r="B2" s="112"/>
      <c r="C2" s="114" t="s">
        <v>321</v>
      </c>
      <c r="D2" s="115" t="s">
        <v>322</v>
      </c>
      <c r="E2" s="112"/>
      <c r="F2" s="112"/>
      <c r="G2" s="112"/>
      <c r="H2" s="112"/>
      <c r="I2" s="112"/>
      <c r="J2" s="112"/>
      <c r="K2" s="112"/>
      <c r="Q2" s="112"/>
      <c r="R2" s="112"/>
      <c r="S2" s="112"/>
      <c r="T2" s="112"/>
      <c r="U2" s="112"/>
    </row>
    <row r="3" spans="1:21" ht="20" thickBot="1">
      <c r="L3" s="157" t="s">
        <v>326</v>
      </c>
      <c r="M3" s="158"/>
      <c r="N3" s="157" t="s">
        <v>325</v>
      </c>
      <c r="O3" s="158"/>
      <c r="P3" s="132"/>
    </row>
    <row r="4" spans="1:21" s="6" customFormat="1" ht="83.5" customHeight="1">
      <c r="A4" s="30" t="s">
        <v>174</v>
      </c>
      <c r="B4" s="31" t="s">
        <v>170</v>
      </c>
      <c r="C4" s="31" t="s">
        <v>160</v>
      </c>
      <c r="D4" s="32" t="s">
        <v>171</v>
      </c>
      <c r="E4" s="31" t="s">
        <v>161</v>
      </c>
      <c r="F4" s="31" t="s">
        <v>185</v>
      </c>
      <c r="G4" s="31" t="s">
        <v>172</v>
      </c>
      <c r="H4" s="31" t="s">
        <v>173</v>
      </c>
      <c r="I4" s="31" t="s">
        <v>166</v>
      </c>
      <c r="J4" s="31" t="s">
        <v>162</v>
      </c>
      <c r="K4" s="125" t="s">
        <v>207</v>
      </c>
      <c r="L4" s="130" t="s">
        <v>187</v>
      </c>
      <c r="M4" s="135" t="s">
        <v>163</v>
      </c>
      <c r="N4" s="124" t="s">
        <v>187</v>
      </c>
      <c r="O4" s="135" t="s">
        <v>163</v>
      </c>
      <c r="P4" s="138" t="s">
        <v>239</v>
      </c>
      <c r="Q4" s="41" t="s">
        <v>167</v>
      </c>
      <c r="R4" s="33" t="s">
        <v>175</v>
      </c>
      <c r="S4" s="33" t="s">
        <v>261</v>
      </c>
      <c r="T4" s="34" t="s">
        <v>168</v>
      </c>
      <c r="U4" s="34" t="s">
        <v>262</v>
      </c>
    </row>
    <row r="5" spans="1:21" s="28" customFormat="1" ht="15" customHeight="1">
      <c r="A5" s="13" t="s">
        <v>178</v>
      </c>
      <c r="B5" s="54" t="s">
        <v>179</v>
      </c>
      <c r="C5" s="13" t="s">
        <v>165</v>
      </c>
      <c r="D5" s="26" t="s">
        <v>196</v>
      </c>
      <c r="E5" s="13">
        <v>1</v>
      </c>
      <c r="F5" s="21">
        <v>1</v>
      </c>
      <c r="G5" s="13" t="s">
        <v>176</v>
      </c>
      <c r="H5" s="13" t="s">
        <v>180</v>
      </c>
      <c r="I5" s="13" t="s">
        <v>177</v>
      </c>
      <c r="J5" s="13">
        <v>1</v>
      </c>
      <c r="K5" s="126" t="s">
        <v>209</v>
      </c>
      <c r="L5" s="131">
        <v>176605</v>
      </c>
      <c r="M5" s="129">
        <v>14.039926002303799</v>
      </c>
      <c r="N5" s="131">
        <v>254838</v>
      </c>
      <c r="O5" s="129">
        <v>20.259373531752299</v>
      </c>
      <c r="P5" s="139">
        <v>1257877</v>
      </c>
      <c r="Q5" s="42">
        <v>5700000</v>
      </c>
      <c r="R5" s="23">
        <f>Q5*(1-10%)</f>
        <v>5130000</v>
      </c>
      <c r="S5" s="23">
        <v>0</v>
      </c>
      <c r="T5" s="25">
        <f>R5*F5</f>
        <v>5130000</v>
      </c>
      <c r="U5" s="39">
        <f>T5/140</f>
        <v>36642.857142857145</v>
      </c>
    </row>
    <row r="6" spans="1:21" s="28" customFormat="1" ht="15" customHeight="1">
      <c r="A6" s="13" t="s">
        <v>178</v>
      </c>
      <c r="B6" s="54" t="s">
        <v>179</v>
      </c>
      <c r="C6" s="13" t="s">
        <v>165</v>
      </c>
      <c r="D6" s="26" t="s">
        <v>197</v>
      </c>
      <c r="E6" s="13">
        <v>1</v>
      </c>
      <c r="F6" s="21">
        <v>1</v>
      </c>
      <c r="G6" s="13" t="s">
        <v>176</v>
      </c>
      <c r="H6" s="13" t="s">
        <v>180</v>
      </c>
      <c r="I6" s="13" t="s">
        <v>177</v>
      </c>
      <c r="J6" s="13">
        <v>1</v>
      </c>
      <c r="K6" s="126" t="s">
        <v>209</v>
      </c>
      <c r="L6" s="131">
        <v>231129</v>
      </c>
      <c r="M6" s="129">
        <v>18.374531055103098</v>
      </c>
      <c r="N6" s="131">
        <v>279950</v>
      </c>
      <c r="O6" s="129">
        <v>22.255753145975302</v>
      </c>
      <c r="P6" s="140">
        <v>1257877</v>
      </c>
      <c r="Q6" s="42">
        <v>5000000</v>
      </c>
      <c r="R6" s="23">
        <f t="shared" ref="R6:R17" si="0">Q6*(1-10%)</f>
        <v>4500000</v>
      </c>
      <c r="S6" s="23">
        <v>0</v>
      </c>
      <c r="T6" s="25">
        <f>R6*F6</f>
        <v>4500000</v>
      </c>
      <c r="U6" s="39">
        <f t="shared" ref="U6:U78" si="1">T6/140</f>
        <v>32142.857142857141</v>
      </c>
    </row>
    <row r="7" spans="1:21" s="28" customFormat="1" ht="15" customHeight="1">
      <c r="A7" s="13" t="s">
        <v>178</v>
      </c>
      <c r="B7" s="57" t="s">
        <v>229</v>
      </c>
      <c r="C7" s="58" t="s">
        <v>228</v>
      </c>
      <c r="D7" s="59" t="s">
        <v>233</v>
      </c>
      <c r="E7" s="13">
        <v>1</v>
      </c>
      <c r="F7" s="21">
        <v>1</v>
      </c>
      <c r="G7" s="13" t="s">
        <v>176</v>
      </c>
      <c r="H7" s="13" t="s">
        <v>180</v>
      </c>
      <c r="I7" s="13" t="s">
        <v>177</v>
      </c>
      <c r="J7" s="13">
        <v>1</v>
      </c>
      <c r="K7" s="126" t="s">
        <v>209</v>
      </c>
      <c r="L7" s="99">
        <v>187134</v>
      </c>
      <c r="M7" s="129">
        <v>14.8769712777958</v>
      </c>
      <c r="N7" s="99">
        <v>197193</v>
      </c>
      <c r="O7" s="129">
        <v>15.676652009695699</v>
      </c>
      <c r="P7" s="140">
        <v>1257877</v>
      </c>
      <c r="Q7" s="43">
        <v>5000000</v>
      </c>
      <c r="R7" s="23">
        <f>Q7*(1-15%)</f>
        <v>4250000</v>
      </c>
      <c r="S7" s="23">
        <v>0</v>
      </c>
      <c r="T7" s="25">
        <f>R7*F7</f>
        <v>4250000</v>
      </c>
      <c r="U7" s="39">
        <f t="shared" si="1"/>
        <v>30357.142857142859</v>
      </c>
    </row>
    <row r="8" spans="1:21" s="29" customFormat="1" ht="15" customHeight="1">
      <c r="A8" s="13" t="s">
        <v>178</v>
      </c>
      <c r="B8" s="54" t="s">
        <v>179</v>
      </c>
      <c r="C8" s="13" t="s">
        <v>165</v>
      </c>
      <c r="D8" s="24" t="s">
        <v>204</v>
      </c>
      <c r="E8" s="13">
        <v>1</v>
      </c>
      <c r="F8" s="21">
        <v>1</v>
      </c>
      <c r="G8" s="13" t="s">
        <v>176</v>
      </c>
      <c r="H8" s="13" t="s">
        <v>180</v>
      </c>
      <c r="I8" s="13" t="s">
        <v>177</v>
      </c>
      <c r="J8" s="13">
        <v>1</v>
      </c>
      <c r="K8" s="126" t="s">
        <v>209</v>
      </c>
      <c r="L8" s="99">
        <v>685794</v>
      </c>
      <c r="M8" s="129">
        <v>54.519957038724698</v>
      </c>
      <c r="N8" s="99">
        <v>939517</v>
      </c>
      <c r="O8" s="129">
        <v>74.690689153231901</v>
      </c>
      <c r="P8" s="140">
        <v>1257877</v>
      </c>
      <c r="Q8" s="42">
        <v>13100000</v>
      </c>
      <c r="R8" s="23">
        <f>Q8*(1-10%)</f>
        <v>11790000</v>
      </c>
      <c r="S8" s="23">
        <v>0</v>
      </c>
      <c r="T8" s="25">
        <f>R8*F8</f>
        <v>11790000</v>
      </c>
      <c r="U8" s="39">
        <f t="shared" si="1"/>
        <v>84214.28571428571</v>
      </c>
    </row>
    <row r="9" spans="1:21" s="28" customFormat="1" ht="15" customHeight="1">
      <c r="A9" s="13" t="s">
        <v>178</v>
      </c>
      <c r="B9" s="54" t="s">
        <v>198</v>
      </c>
      <c r="C9" s="13" t="s">
        <v>165</v>
      </c>
      <c r="D9" s="26" t="s">
        <v>199</v>
      </c>
      <c r="E9" s="13">
        <v>1</v>
      </c>
      <c r="F9" s="21">
        <v>1</v>
      </c>
      <c r="G9" s="13" t="s">
        <v>176</v>
      </c>
      <c r="H9" s="13" t="s">
        <v>180</v>
      </c>
      <c r="I9" s="13" t="s">
        <v>177</v>
      </c>
      <c r="J9" s="13">
        <v>1</v>
      </c>
      <c r="K9" s="126" t="s">
        <v>209</v>
      </c>
      <c r="L9" s="99">
        <v>210753</v>
      </c>
      <c r="M9" s="129">
        <v>16.7546588418422</v>
      </c>
      <c r="N9" s="99">
        <v>338927</v>
      </c>
      <c r="O9" s="129">
        <v>26.944367374552499</v>
      </c>
      <c r="P9" s="140">
        <v>1257877</v>
      </c>
      <c r="Q9" s="43">
        <v>5000000</v>
      </c>
      <c r="R9" s="23">
        <f t="shared" si="0"/>
        <v>4500000</v>
      </c>
      <c r="S9" s="23">
        <v>0</v>
      </c>
      <c r="T9" s="25">
        <f>R9*F9</f>
        <v>4500000</v>
      </c>
      <c r="U9" s="39">
        <f t="shared" si="1"/>
        <v>32142.857142857141</v>
      </c>
    </row>
    <row r="10" spans="1:21" s="28" customFormat="1" ht="15" customHeight="1">
      <c r="A10" s="13" t="s">
        <v>178</v>
      </c>
      <c r="B10" s="54" t="s">
        <v>179</v>
      </c>
      <c r="C10" s="13" t="s">
        <v>165</v>
      </c>
      <c r="D10" s="26" t="s">
        <v>200</v>
      </c>
      <c r="E10" s="13">
        <v>1</v>
      </c>
      <c r="F10" s="21">
        <v>1</v>
      </c>
      <c r="G10" s="13" t="s">
        <v>176</v>
      </c>
      <c r="H10" s="13" t="s">
        <v>180</v>
      </c>
      <c r="I10" s="13" t="s">
        <v>177</v>
      </c>
      <c r="J10" s="13">
        <v>1</v>
      </c>
      <c r="K10" s="126" t="s">
        <v>209</v>
      </c>
      <c r="L10" s="99">
        <v>485334</v>
      </c>
      <c r="M10" s="129">
        <v>38.583581701549498</v>
      </c>
      <c r="N10" s="99">
        <v>459431</v>
      </c>
      <c r="O10" s="129">
        <v>36.5243183554512</v>
      </c>
      <c r="P10" s="140">
        <v>1257877</v>
      </c>
      <c r="Q10" s="42">
        <v>5000000</v>
      </c>
      <c r="R10" s="23">
        <f>Q10*(1-15%)</f>
        <v>4250000</v>
      </c>
      <c r="S10" s="23">
        <v>0</v>
      </c>
      <c r="T10" s="25">
        <f>R10*F10</f>
        <v>4250000</v>
      </c>
      <c r="U10" s="39">
        <f t="shared" si="1"/>
        <v>30357.142857142859</v>
      </c>
    </row>
    <row r="11" spans="1:21" s="28" customFormat="1" ht="15" customHeight="1">
      <c r="A11" s="13" t="s">
        <v>178</v>
      </c>
      <c r="B11" s="57" t="s">
        <v>229</v>
      </c>
      <c r="C11" s="58" t="s">
        <v>228</v>
      </c>
      <c r="D11" s="59" t="s">
        <v>231</v>
      </c>
      <c r="E11" s="13">
        <v>1</v>
      </c>
      <c r="F11" s="21">
        <v>1</v>
      </c>
      <c r="G11" s="13" t="s">
        <v>176</v>
      </c>
      <c r="H11" s="13" t="s">
        <v>180</v>
      </c>
      <c r="I11" s="13" t="s">
        <v>177</v>
      </c>
      <c r="J11" s="13">
        <v>1</v>
      </c>
      <c r="K11" s="126" t="s">
        <v>209</v>
      </c>
      <c r="L11" s="99">
        <v>320151</v>
      </c>
      <c r="M11" s="129">
        <v>25.4516936075625</v>
      </c>
      <c r="N11" s="99">
        <v>332143</v>
      </c>
      <c r="O11" s="129">
        <v>26.405045962363499</v>
      </c>
      <c r="P11" s="140">
        <v>1257877</v>
      </c>
      <c r="Q11" s="43">
        <v>11500000</v>
      </c>
      <c r="R11" s="23">
        <f>Q11*(1-15%)</f>
        <v>9775000</v>
      </c>
      <c r="S11" s="23">
        <v>0</v>
      </c>
      <c r="T11" s="25">
        <f>R11*F11</f>
        <v>9775000</v>
      </c>
      <c r="U11" s="39">
        <f t="shared" si="1"/>
        <v>69821.428571428565</v>
      </c>
    </row>
    <row r="12" spans="1:21" s="28" customFormat="1" ht="15" customHeight="1">
      <c r="A12" s="13" t="s">
        <v>178</v>
      </c>
      <c r="B12" s="56" t="s">
        <v>179</v>
      </c>
      <c r="C12" s="60" t="s">
        <v>165</v>
      </c>
      <c r="D12" s="53" t="s">
        <v>232</v>
      </c>
      <c r="E12" s="13">
        <v>1</v>
      </c>
      <c r="F12" s="21">
        <v>1</v>
      </c>
      <c r="G12" s="13" t="s">
        <v>176</v>
      </c>
      <c r="H12" s="13" t="s">
        <v>180</v>
      </c>
      <c r="I12" s="13" t="s">
        <v>177</v>
      </c>
      <c r="J12" s="13">
        <v>1</v>
      </c>
      <c r="K12" s="126" t="s">
        <v>209</v>
      </c>
      <c r="L12" s="99">
        <v>229802</v>
      </c>
      <c r="M12" s="129">
        <v>18.269035843727099</v>
      </c>
      <c r="N12" s="99">
        <v>285159</v>
      </c>
      <c r="O12" s="129">
        <v>22.669863587616199</v>
      </c>
      <c r="P12" s="140">
        <v>1257877</v>
      </c>
      <c r="Q12" s="43">
        <v>5000000</v>
      </c>
      <c r="R12" s="23">
        <f>Q12*(1-10%)</f>
        <v>4500000</v>
      </c>
      <c r="S12" s="23">
        <v>0</v>
      </c>
      <c r="T12" s="25">
        <f>R12*F12</f>
        <v>4500000</v>
      </c>
      <c r="U12" s="39">
        <f t="shared" si="1"/>
        <v>32142.857142857141</v>
      </c>
    </row>
    <row r="13" spans="1:21" s="28" customFormat="1" ht="15" customHeight="1">
      <c r="A13" s="13" t="s">
        <v>178</v>
      </c>
      <c r="B13" s="57" t="s">
        <v>229</v>
      </c>
      <c r="C13" s="58" t="s">
        <v>228</v>
      </c>
      <c r="D13" s="59" t="s">
        <v>230</v>
      </c>
      <c r="E13" s="13">
        <v>1</v>
      </c>
      <c r="F13" s="21">
        <v>1</v>
      </c>
      <c r="G13" s="13" t="s">
        <v>176</v>
      </c>
      <c r="H13" s="13" t="s">
        <v>180</v>
      </c>
      <c r="I13" s="13" t="s">
        <v>177</v>
      </c>
      <c r="J13" s="13">
        <v>1</v>
      </c>
      <c r="K13" s="126" t="s">
        <v>209</v>
      </c>
      <c r="L13" s="99">
        <v>572069</v>
      </c>
      <c r="M13" s="129">
        <v>45.478929974870297</v>
      </c>
      <c r="N13" s="99">
        <v>621698</v>
      </c>
      <c r="O13" s="129">
        <v>49.424387281109297</v>
      </c>
      <c r="P13" s="140">
        <v>1257877</v>
      </c>
      <c r="Q13" s="43">
        <v>7500000</v>
      </c>
      <c r="R13" s="23">
        <f>Q13*(1-10%)</f>
        <v>6750000</v>
      </c>
      <c r="S13" s="23">
        <v>0</v>
      </c>
      <c r="T13" s="25">
        <f>R13*F13</f>
        <v>6750000</v>
      </c>
      <c r="U13" s="39">
        <f t="shared" si="1"/>
        <v>48214.285714285717</v>
      </c>
    </row>
    <row r="14" spans="1:21" s="28" customFormat="1" ht="15" customHeight="1">
      <c r="A14" s="13" t="s">
        <v>178</v>
      </c>
      <c r="B14" s="54" t="s">
        <v>179</v>
      </c>
      <c r="C14" s="13" t="s">
        <v>165</v>
      </c>
      <c r="D14" s="26" t="s">
        <v>201</v>
      </c>
      <c r="E14" s="13">
        <v>1</v>
      </c>
      <c r="F14" s="21">
        <v>1</v>
      </c>
      <c r="G14" s="13" t="s">
        <v>176</v>
      </c>
      <c r="H14" s="13" t="s">
        <v>180</v>
      </c>
      <c r="I14" s="13" t="s">
        <v>177</v>
      </c>
      <c r="J14" s="13">
        <v>1</v>
      </c>
      <c r="K14" s="126" t="s">
        <v>209</v>
      </c>
      <c r="L14" s="99">
        <v>329470</v>
      </c>
      <c r="M14" s="129">
        <v>26.192545058062102</v>
      </c>
      <c r="N14" s="99">
        <v>339825</v>
      </c>
      <c r="O14" s="129">
        <v>27.015757502522099</v>
      </c>
      <c r="P14" s="140">
        <v>1257877</v>
      </c>
      <c r="Q14" s="42">
        <v>8500000</v>
      </c>
      <c r="R14" s="23">
        <f t="shared" si="0"/>
        <v>7650000</v>
      </c>
      <c r="S14" s="23">
        <v>0</v>
      </c>
      <c r="T14" s="25">
        <f>R14*F14</f>
        <v>7650000</v>
      </c>
      <c r="U14" s="39">
        <f t="shared" si="1"/>
        <v>54642.857142857145</v>
      </c>
    </row>
    <row r="15" spans="1:21" s="28" customFormat="1" ht="15" customHeight="1">
      <c r="A15" s="13" t="s">
        <v>178</v>
      </c>
      <c r="B15" s="54" t="s">
        <v>179</v>
      </c>
      <c r="C15" s="13" t="s">
        <v>165</v>
      </c>
      <c r="D15" s="26" t="s">
        <v>202</v>
      </c>
      <c r="E15" s="13">
        <v>1</v>
      </c>
      <c r="F15" s="21">
        <v>1</v>
      </c>
      <c r="G15" s="13" t="s">
        <v>176</v>
      </c>
      <c r="H15" s="13" t="s">
        <v>180</v>
      </c>
      <c r="I15" s="13" t="s">
        <v>177</v>
      </c>
      <c r="J15" s="13">
        <v>1</v>
      </c>
      <c r="K15" s="126" t="s">
        <v>209</v>
      </c>
      <c r="L15" s="99">
        <v>127315</v>
      </c>
      <c r="M15" s="129">
        <v>10.121418866868501</v>
      </c>
      <c r="N15" s="99">
        <v>172194</v>
      </c>
      <c r="O15" s="129">
        <v>13.6892557857405</v>
      </c>
      <c r="P15" s="140">
        <v>1257877</v>
      </c>
      <c r="Q15" s="42">
        <v>4500000</v>
      </c>
      <c r="R15" s="23">
        <f t="shared" si="0"/>
        <v>4050000</v>
      </c>
      <c r="S15" s="23">
        <v>0</v>
      </c>
      <c r="T15" s="25">
        <f>R15*F15</f>
        <v>4050000</v>
      </c>
      <c r="U15" s="39">
        <f t="shared" si="1"/>
        <v>28928.571428571428</v>
      </c>
    </row>
    <row r="16" spans="1:21" s="28" customFormat="1" ht="15" customHeight="1">
      <c r="A16" s="13" t="s">
        <v>178</v>
      </c>
      <c r="B16" s="54" t="s">
        <v>179</v>
      </c>
      <c r="C16" s="13" t="s">
        <v>165</v>
      </c>
      <c r="D16" s="26" t="s">
        <v>203</v>
      </c>
      <c r="E16" s="13">
        <v>1</v>
      </c>
      <c r="F16" s="21">
        <v>1</v>
      </c>
      <c r="G16" s="13" t="s">
        <v>176</v>
      </c>
      <c r="H16" s="13" t="s">
        <v>180</v>
      </c>
      <c r="I16" s="13" t="s">
        <v>177</v>
      </c>
      <c r="J16" s="13">
        <v>1</v>
      </c>
      <c r="K16" s="126" t="s">
        <v>209</v>
      </c>
      <c r="L16" s="99">
        <v>183135</v>
      </c>
      <c r="M16" s="129">
        <v>14.5590546611473</v>
      </c>
      <c r="N16" s="99">
        <v>194412</v>
      </c>
      <c r="O16" s="129">
        <v>15.455565210270899</v>
      </c>
      <c r="P16" s="140">
        <v>1257877</v>
      </c>
      <c r="Q16" s="42">
        <v>5000000</v>
      </c>
      <c r="R16" s="23">
        <f>Q16*(1-15%)</f>
        <v>4250000</v>
      </c>
      <c r="S16" s="23">
        <v>0</v>
      </c>
      <c r="T16" s="25">
        <f>R16*F16</f>
        <v>4250000</v>
      </c>
      <c r="U16" s="39">
        <f t="shared" si="1"/>
        <v>30357.142857142859</v>
      </c>
    </row>
    <row r="17" spans="1:145" s="28" customFormat="1" ht="15" customHeight="1">
      <c r="A17" s="13" t="s">
        <v>178</v>
      </c>
      <c r="B17" s="54" t="s">
        <v>179</v>
      </c>
      <c r="C17" s="13" t="s">
        <v>165</v>
      </c>
      <c r="D17" s="26" t="s">
        <v>205</v>
      </c>
      <c r="E17" s="13">
        <v>1</v>
      </c>
      <c r="F17" s="21">
        <v>1</v>
      </c>
      <c r="G17" s="13" t="s">
        <v>176</v>
      </c>
      <c r="H17" s="13" t="s">
        <v>180</v>
      </c>
      <c r="I17" s="13" t="s">
        <v>177</v>
      </c>
      <c r="J17" s="13">
        <v>1</v>
      </c>
      <c r="K17" s="126" t="s">
        <v>209</v>
      </c>
      <c r="L17" s="99">
        <v>300174</v>
      </c>
      <c r="M17" s="129">
        <v>23.863541506840399</v>
      </c>
      <c r="N17" s="99">
        <v>321801</v>
      </c>
      <c r="O17" s="129">
        <v>25.5828670052795</v>
      </c>
      <c r="P17" s="140">
        <v>1257877</v>
      </c>
      <c r="Q17" s="42">
        <v>4500000</v>
      </c>
      <c r="R17" s="23">
        <f t="shared" si="0"/>
        <v>4050000</v>
      </c>
      <c r="S17" s="23">
        <v>0</v>
      </c>
      <c r="T17" s="25">
        <f>R17*F17</f>
        <v>4050000</v>
      </c>
      <c r="U17" s="39">
        <f t="shared" si="1"/>
        <v>28928.571428571428</v>
      </c>
    </row>
    <row r="18" spans="1:145" s="29" customFormat="1" ht="15" customHeight="1">
      <c r="A18" s="13" t="s">
        <v>178</v>
      </c>
      <c r="B18" s="81" t="s">
        <v>179</v>
      </c>
      <c r="C18" s="13" t="s">
        <v>165</v>
      </c>
      <c r="D18" s="24" t="s">
        <v>206</v>
      </c>
      <c r="E18" s="13">
        <v>1</v>
      </c>
      <c r="F18" s="21">
        <v>1</v>
      </c>
      <c r="G18" s="13" t="s">
        <v>176</v>
      </c>
      <c r="H18" s="13" t="s">
        <v>180</v>
      </c>
      <c r="I18" s="13" t="s">
        <v>177</v>
      </c>
      <c r="J18" s="13">
        <v>1</v>
      </c>
      <c r="K18" s="126" t="s">
        <v>209</v>
      </c>
      <c r="L18" s="99">
        <v>133444</v>
      </c>
      <c r="M18" s="129">
        <v>10.6086684151153</v>
      </c>
      <c r="N18" s="99">
        <v>167886</v>
      </c>
      <c r="O18" s="129">
        <v>13.346773969155899</v>
      </c>
      <c r="P18" s="140">
        <v>1257877</v>
      </c>
      <c r="Q18" s="42">
        <v>5000000</v>
      </c>
      <c r="R18" s="23">
        <f>Q18*(1-15%)</f>
        <v>4250000</v>
      </c>
      <c r="S18" s="23">
        <v>0</v>
      </c>
      <c r="T18" s="25">
        <f>R18*F18</f>
        <v>4250000</v>
      </c>
      <c r="U18" s="39">
        <f t="shared" si="1"/>
        <v>30357.142857142859</v>
      </c>
    </row>
    <row r="19" spans="1:145" s="24" customFormat="1" ht="15" customHeight="1">
      <c r="A19" s="13" t="s">
        <v>178</v>
      </c>
      <c r="B19" s="54" t="s">
        <v>179</v>
      </c>
      <c r="C19" s="13" t="s">
        <v>165</v>
      </c>
      <c r="D19" s="26" t="s">
        <v>190</v>
      </c>
      <c r="E19" s="13">
        <v>1</v>
      </c>
      <c r="F19" s="21">
        <v>1</v>
      </c>
      <c r="G19" s="13" t="s">
        <v>176</v>
      </c>
      <c r="H19" s="13" t="s">
        <v>180</v>
      </c>
      <c r="I19" s="13" t="s">
        <v>177</v>
      </c>
      <c r="J19" s="13">
        <v>1</v>
      </c>
      <c r="K19" s="126" t="s">
        <v>209</v>
      </c>
      <c r="L19" s="99">
        <v>880733</v>
      </c>
      <c r="M19" s="129">
        <v>70.0174182372362</v>
      </c>
      <c r="N19" s="99">
        <v>905535</v>
      </c>
      <c r="O19" s="129">
        <v>71.989153152494197</v>
      </c>
      <c r="P19" s="140">
        <v>1257877</v>
      </c>
      <c r="Q19" s="42">
        <v>5700000</v>
      </c>
      <c r="R19" s="14">
        <f>Q19*(1-10% )</f>
        <v>5130000</v>
      </c>
      <c r="S19" s="23">
        <v>0</v>
      </c>
      <c r="T19" s="25">
        <f>R19*F19</f>
        <v>5130000</v>
      </c>
      <c r="U19" s="39">
        <f t="shared" si="1"/>
        <v>36642.857142857145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7"/>
    </row>
    <row r="20" spans="1:145" s="24" customFormat="1" ht="15" customHeight="1">
      <c r="A20" s="13" t="s">
        <v>178</v>
      </c>
      <c r="B20" s="54" t="s">
        <v>179</v>
      </c>
      <c r="C20" s="13" t="s">
        <v>165</v>
      </c>
      <c r="D20" s="22" t="s">
        <v>183</v>
      </c>
      <c r="E20" s="13">
        <v>1</v>
      </c>
      <c r="F20" s="21">
        <v>1</v>
      </c>
      <c r="G20" s="13" t="s">
        <v>176</v>
      </c>
      <c r="H20" s="13" t="s">
        <v>180</v>
      </c>
      <c r="I20" s="13" t="s">
        <v>177</v>
      </c>
      <c r="J20" s="13">
        <v>1</v>
      </c>
      <c r="K20" s="126" t="s">
        <v>209</v>
      </c>
      <c r="L20" s="99">
        <v>406142</v>
      </c>
      <c r="M20" s="129">
        <v>32.287894603367398</v>
      </c>
      <c r="N20" s="99">
        <v>350440</v>
      </c>
      <c r="O20" s="129">
        <v>27.859639694501102</v>
      </c>
      <c r="P20" s="140">
        <v>1257877</v>
      </c>
      <c r="Q20" s="43">
        <v>5000000</v>
      </c>
      <c r="R20" s="14">
        <f>Q20*(1-15% )</f>
        <v>4250000</v>
      </c>
      <c r="S20" s="23">
        <v>0</v>
      </c>
      <c r="T20" s="25">
        <f>R20*F20</f>
        <v>4250000</v>
      </c>
      <c r="U20" s="39">
        <f t="shared" si="1"/>
        <v>30357.142857142859</v>
      </c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7"/>
    </row>
    <row r="21" spans="1:145" s="24" customFormat="1" ht="15" customHeight="1">
      <c r="A21" s="13" t="s">
        <v>178</v>
      </c>
      <c r="B21" s="54" t="s">
        <v>179</v>
      </c>
      <c r="C21" s="13" t="s">
        <v>165</v>
      </c>
      <c r="D21" s="22" t="s">
        <v>182</v>
      </c>
      <c r="E21" s="13">
        <v>1</v>
      </c>
      <c r="F21" s="21">
        <v>1</v>
      </c>
      <c r="G21" s="13" t="s">
        <v>176</v>
      </c>
      <c r="H21" s="13" t="s">
        <v>180</v>
      </c>
      <c r="I21" s="13" t="s">
        <v>177</v>
      </c>
      <c r="J21" s="13">
        <v>1</v>
      </c>
      <c r="K21" s="126" t="s">
        <v>209</v>
      </c>
      <c r="L21" s="99">
        <v>450013</v>
      </c>
      <c r="M21" s="129">
        <v>35.7755965010887</v>
      </c>
      <c r="N21" s="99">
        <v>317199</v>
      </c>
      <c r="O21" s="129">
        <v>25.2170124741926</v>
      </c>
      <c r="P21" s="140">
        <v>1257877</v>
      </c>
      <c r="Q21" s="43">
        <v>5500000</v>
      </c>
      <c r="R21" s="14">
        <f>Q21*(1-15% )</f>
        <v>4675000</v>
      </c>
      <c r="S21" s="23">
        <v>0</v>
      </c>
      <c r="T21" s="25">
        <f>R21*F21</f>
        <v>4675000</v>
      </c>
      <c r="U21" s="39">
        <f t="shared" si="1"/>
        <v>33392.857142857145</v>
      </c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7"/>
    </row>
    <row r="22" spans="1:145" s="64" customFormat="1" ht="15" customHeight="1">
      <c r="A22" s="13" t="s">
        <v>178</v>
      </c>
      <c r="B22" s="90" t="s">
        <v>179</v>
      </c>
      <c r="C22" s="13" t="s">
        <v>165</v>
      </c>
      <c r="D22" s="91" t="s">
        <v>208</v>
      </c>
      <c r="E22" s="13">
        <v>1</v>
      </c>
      <c r="F22" s="21">
        <v>1</v>
      </c>
      <c r="G22" s="13" t="s">
        <v>176</v>
      </c>
      <c r="H22" s="13" t="s">
        <v>180</v>
      </c>
      <c r="I22" s="61" t="s">
        <v>177</v>
      </c>
      <c r="J22" s="61">
        <v>1</v>
      </c>
      <c r="K22" s="126" t="s">
        <v>209</v>
      </c>
      <c r="L22" s="99">
        <v>73833</v>
      </c>
      <c r="M22" s="129">
        <v>5.8696518022032302</v>
      </c>
      <c r="N22" s="99">
        <v>90355</v>
      </c>
      <c r="O22" s="129">
        <v>7.1831347580089302</v>
      </c>
      <c r="P22" s="140">
        <v>1257877</v>
      </c>
      <c r="Q22" s="62">
        <v>5700000</v>
      </c>
      <c r="R22" s="14">
        <f t="shared" ref="R22:R78" si="2">Q22*(1-10% )</f>
        <v>5130000</v>
      </c>
      <c r="S22" s="23">
        <v>0</v>
      </c>
      <c r="T22" s="25">
        <f>R22*F22</f>
        <v>5130000</v>
      </c>
      <c r="U22" s="39">
        <f t="shared" si="1"/>
        <v>36642.857142857145</v>
      </c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63"/>
    </row>
    <row r="23" spans="1:145" s="24" customFormat="1" ht="15" customHeight="1">
      <c r="A23" s="13" t="s">
        <v>178</v>
      </c>
      <c r="B23" s="54" t="s">
        <v>179</v>
      </c>
      <c r="C23" s="13" t="s">
        <v>165</v>
      </c>
      <c r="D23" s="26" t="s">
        <v>181</v>
      </c>
      <c r="E23" s="13">
        <v>1</v>
      </c>
      <c r="F23" s="21">
        <v>1</v>
      </c>
      <c r="G23" s="13" t="s">
        <v>176</v>
      </c>
      <c r="H23" s="13" t="s">
        <v>180</v>
      </c>
      <c r="I23" s="13" t="s">
        <v>177</v>
      </c>
      <c r="J23" s="13">
        <v>1</v>
      </c>
      <c r="K23" s="126" t="s">
        <v>209</v>
      </c>
      <c r="L23" s="99">
        <v>226813</v>
      </c>
      <c r="M23" s="129">
        <v>18.031413246287102</v>
      </c>
      <c r="N23" s="99">
        <v>226824</v>
      </c>
      <c r="O23" s="129">
        <v>18.032287735605301</v>
      </c>
      <c r="P23" s="140">
        <v>1257877</v>
      </c>
      <c r="Q23" s="42">
        <v>5700000</v>
      </c>
      <c r="R23" s="14">
        <f t="shared" si="2"/>
        <v>5130000</v>
      </c>
      <c r="S23" s="23">
        <v>0</v>
      </c>
      <c r="T23" s="25">
        <f>R23*F23</f>
        <v>5130000</v>
      </c>
      <c r="U23" s="39">
        <f t="shared" si="1"/>
        <v>36642.857142857145</v>
      </c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7"/>
    </row>
    <row r="24" spans="1:145" s="24" customFormat="1" ht="15" customHeight="1">
      <c r="A24" s="13" t="s">
        <v>178</v>
      </c>
      <c r="B24" s="54" t="s">
        <v>179</v>
      </c>
      <c r="C24" s="13" t="s">
        <v>165</v>
      </c>
      <c r="D24" s="26" t="s">
        <v>184</v>
      </c>
      <c r="E24" s="13">
        <v>1</v>
      </c>
      <c r="F24" s="21">
        <v>1</v>
      </c>
      <c r="G24" s="13" t="s">
        <v>176</v>
      </c>
      <c r="H24" s="13" t="s">
        <v>180</v>
      </c>
      <c r="I24" s="13" t="s">
        <v>177</v>
      </c>
      <c r="J24" s="13">
        <v>1</v>
      </c>
      <c r="K24" s="126" t="s">
        <v>209</v>
      </c>
      <c r="L24" s="99">
        <v>316493</v>
      </c>
      <c r="M24" s="129">
        <v>25.160886159775501</v>
      </c>
      <c r="N24" s="99">
        <v>335686</v>
      </c>
      <c r="O24" s="129">
        <v>26.686711021824799</v>
      </c>
      <c r="P24" s="140">
        <v>1257877</v>
      </c>
      <c r="Q24" s="42">
        <v>5000000</v>
      </c>
      <c r="R24" s="14">
        <f>Q24*(1-15% )</f>
        <v>4250000</v>
      </c>
      <c r="S24" s="23">
        <v>0</v>
      </c>
      <c r="T24" s="25">
        <f>R24*F24</f>
        <v>4250000</v>
      </c>
      <c r="U24" s="39">
        <f t="shared" si="1"/>
        <v>30357.142857142859</v>
      </c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7"/>
    </row>
    <row r="25" spans="1:145" s="24" customFormat="1" ht="15" customHeight="1">
      <c r="A25" s="13" t="s">
        <v>178</v>
      </c>
      <c r="B25" s="81" t="s">
        <v>179</v>
      </c>
      <c r="C25" s="13" t="s">
        <v>165</v>
      </c>
      <c r="D25" s="26" t="s">
        <v>189</v>
      </c>
      <c r="E25" s="13">
        <v>1</v>
      </c>
      <c r="F25" s="21">
        <v>1</v>
      </c>
      <c r="G25" s="13" t="s">
        <v>176</v>
      </c>
      <c r="H25" s="13" t="s">
        <v>180</v>
      </c>
      <c r="I25" s="13" t="s">
        <v>177</v>
      </c>
      <c r="J25" s="13">
        <v>1</v>
      </c>
      <c r="K25" s="126" t="s">
        <v>209</v>
      </c>
      <c r="L25" s="99">
        <v>453393</v>
      </c>
      <c r="M25" s="129">
        <v>36.044303218836099</v>
      </c>
      <c r="N25" s="99">
        <v>570619</v>
      </c>
      <c r="O25" s="129">
        <v>45.363656382937201</v>
      </c>
      <c r="P25" s="140">
        <v>1257877</v>
      </c>
      <c r="Q25" s="42">
        <v>5700000</v>
      </c>
      <c r="R25" s="14">
        <f t="shared" si="2"/>
        <v>5130000</v>
      </c>
      <c r="S25" s="23">
        <v>0</v>
      </c>
      <c r="T25" s="25">
        <f>R25*F25</f>
        <v>5130000</v>
      </c>
      <c r="U25" s="39">
        <f t="shared" si="1"/>
        <v>36642.857142857145</v>
      </c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7"/>
    </row>
    <row r="26" spans="1:145" s="24" customFormat="1" ht="15" customHeight="1">
      <c r="A26" s="13" t="s">
        <v>178</v>
      </c>
      <c r="B26" s="81" t="s">
        <v>179</v>
      </c>
      <c r="C26" s="13" t="s">
        <v>165</v>
      </c>
      <c r="D26" s="26" t="s">
        <v>188</v>
      </c>
      <c r="E26" s="13">
        <v>1</v>
      </c>
      <c r="F26" s="21">
        <v>1</v>
      </c>
      <c r="G26" s="13" t="s">
        <v>176</v>
      </c>
      <c r="H26" s="13" t="s">
        <v>180</v>
      </c>
      <c r="I26" s="13" t="s">
        <v>177</v>
      </c>
      <c r="J26" s="13">
        <v>1</v>
      </c>
      <c r="K26" s="126" t="s">
        <v>209</v>
      </c>
      <c r="L26" s="99">
        <v>572591</v>
      </c>
      <c r="M26" s="129">
        <v>45.520428467966198</v>
      </c>
      <c r="N26" s="99">
        <v>387379</v>
      </c>
      <c r="O26" s="129">
        <v>30.796254323753399</v>
      </c>
      <c r="P26" s="140">
        <v>1257877</v>
      </c>
      <c r="Q26" s="42">
        <v>5000000</v>
      </c>
      <c r="R26" s="14">
        <f>Q26*(1-15% )</f>
        <v>4250000</v>
      </c>
      <c r="S26" s="23">
        <v>0</v>
      </c>
      <c r="T26" s="25">
        <f>R26*F26</f>
        <v>4250000</v>
      </c>
      <c r="U26" s="39">
        <f t="shared" si="1"/>
        <v>30357.142857142859</v>
      </c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7"/>
    </row>
    <row r="27" spans="1:145" s="28" customFormat="1" ht="15" customHeight="1">
      <c r="A27" s="13" t="s">
        <v>178</v>
      </c>
      <c r="B27" s="81" t="s">
        <v>179</v>
      </c>
      <c r="C27" s="13" t="s">
        <v>165</v>
      </c>
      <c r="D27" s="65" t="s">
        <v>236</v>
      </c>
      <c r="E27" s="13">
        <v>1</v>
      </c>
      <c r="F27" s="21">
        <v>1</v>
      </c>
      <c r="G27" s="13" t="s">
        <v>176</v>
      </c>
      <c r="H27" s="13" t="s">
        <v>180</v>
      </c>
      <c r="I27" s="13" t="s">
        <v>177</v>
      </c>
      <c r="J27" s="13">
        <v>1</v>
      </c>
      <c r="K27" s="126" t="s">
        <v>209</v>
      </c>
      <c r="L27" s="99">
        <v>655206</v>
      </c>
      <c r="M27" s="129">
        <v>52.088240742139298</v>
      </c>
      <c r="N27" s="99">
        <v>941601</v>
      </c>
      <c r="O27" s="129">
        <v>74.856365129499906</v>
      </c>
      <c r="P27" s="140">
        <v>1257877</v>
      </c>
      <c r="Q27" s="43">
        <v>13200000</v>
      </c>
      <c r="R27" s="23">
        <f t="shared" ref="R27" si="3">Q27*(1-10%)</f>
        <v>11880000</v>
      </c>
      <c r="S27" s="23">
        <v>0</v>
      </c>
      <c r="T27" s="25">
        <f>R27*F27</f>
        <v>11880000</v>
      </c>
      <c r="U27" s="39">
        <f t="shared" si="1"/>
        <v>84857.142857142855</v>
      </c>
    </row>
    <row r="28" spans="1:145" s="24" customFormat="1" ht="15" customHeight="1">
      <c r="A28" s="13" t="s">
        <v>178</v>
      </c>
      <c r="B28" s="54" t="s">
        <v>179</v>
      </c>
      <c r="C28" s="13" t="s">
        <v>165</v>
      </c>
      <c r="D28" s="26" t="s">
        <v>237</v>
      </c>
      <c r="E28" s="13">
        <v>1</v>
      </c>
      <c r="F28" s="21">
        <v>1</v>
      </c>
      <c r="G28" s="13" t="s">
        <v>176</v>
      </c>
      <c r="H28" s="13" t="s">
        <v>180</v>
      </c>
      <c r="I28" s="13" t="s">
        <v>177</v>
      </c>
      <c r="J28" s="13">
        <v>1</v>
      </c>
      <c r="K28" s="126" t="s">
        <v>209</v>
      </c>
      <c r="L28" s="99">
        <v>885693</v>
      </c>
      <c r="M28" s="129">
        <v>70.4117334206762</v>
      </c>
      <c r="N28" s="99">
        <v>1174638</v>
      </c>
      <c r="O28" s="129">
        <v>93.382580331781199</v>
      </c>
      <c r="P28" s="140">
        <v>1257877</v>
      </c>
      <c r="Q28" s="42">
        <v>5000000</v>
      </c>
      <c r="R28" s="14">
        <f>Q28*(1-10% )</f>
        <v>4500000</v>
      </c>
      <c r="S28" s="23">
        <v>0</v>
      </c>
      <c r="T28" s="25">
        <f>R28*F28</f>
        <v>4500000</v>
      </c>
      <c r="U28" s="39">
        <f t="shared" si="1"/>
        <v>32142.857142857141</v>
      </c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7"/>
    </row>
    <row r="29" spans="1:145" s="24" customFormat="1" ht="15" customHeight="1">
      <c r="A29" s="13" t="s">
        <v>178</v>
      </c>
      <c r="B29" s="55" t="s">
        <v>229</v>
      </c>
      <c r="C29" s="50" t="s">
        <v>228</v>
      </c>
      <c r="D29" s="59" t="s">
        <v>269</v>
      </c>
      <c r="E29" s="13">
        <v>1</v>
      </c>
      <c r="F29" s="21">
        <v>1</v>
      </c>
      <c r="G29" s="13" t="s">
        <v>176</v>
      </c>
      <c r="H29" s="13" t="s">
        <v>180</v>
      </c>
      <c r="I29" s="13" t="s">
        <v>177</v>
      </c>
      <c r="J29" s="13">
        <v>1</v>
      </c>
      <c r="K29" s="126" t="s">
        <v>209</v>
      </c>
      <c r="L29" s="99">
        <v>425907</v>
      </c>
      <c r="M29" s="129">
        <v>33.859192909958601</v>
      </c>
      <c r="N29" s="99">
        <v>378947</v>
      </c>
      <c r="O29" s="129">
        <v>30.125918511905301</v>
      </c>
      <c r="P29" s="140">
        <v>1257877</v>
      </c>
      <c r="Q29" s="42">
        <v>5000000</v>
      </c>
      <c r="R29" s="14">
        <f>Q29*(1-15% )</f>
        <v>4250000</v>
      </c>
      <c r="S29" s="23">
        <v>0</v>
      </c>
      <c r="T29" s="25">
        <f>R29*F29</f>
        <v>4250000</v>
      </c>
      <c r="U29" s="39">
        <f t="shared" si="1"/>
        <v>30357.142857142859</v>
      </c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7"/>
    </row>
    <row r="30" spans="1:145" s="24" customFormat="1" ht="15" customHeight="1">
      <c r="A30" s="13" t="s">
        <v>178</v>
      </c>
      <c r="B30" s="55" t="s">
        <v>229</v>
      </c>
      <c r="C30" s="50" t="s">
        <v>228</v>
      </c>
      <c r="D30" s="59" t="s">
        <v>270</v>
      </c>
      <c r="E30" s="13">
        <v>1</v>
      </c>
      <c r="F30" s="21">
        <v>1</v>
      </c>
      <c r="G30" s="13" t="s">
        <v>176</v>
      </c>
      <c r="H30" s="13" t="s">
        <v>180</v>
      </c>
      <c r="I30" s="13" t="s">
        <v>177</v>
      </c>
      <c r="J30" s="13">
        <v>1</v>
      </c>
      <c r="K30" s="126" t="s">
        <v>209</v>
      </c>
      <c r="L30" s="99">
        <v>1153911</v>
      </c>
      <c r="M30" s="129">
        <v>91.7348039593696</v>
      </c>
      <c r="N30" s="99">
        <v>1205726</v>
      </c>
      <c r="O30" s="129">
        <v>95.854046142826306</v>
      </c>
      <c r="P30" s="140">
        <v>1257877</v>
      </c>
      <c r="Q30" s="42">
        <v>5700000</v>
      </c>
      <c r="R30" s="14">
        <f>Q30*(1-10% )</f>
        <v>5130000</v>
      </c>
      <c r="S30" s="23">
        <v>0</v>
      </c>
      <c r="T30" s="25">
        <f>R30*F30</f>
        <v>5130000</v>
      </c>
      <c r="U30" s="39">
        <f t="shared" si="1"/>
        <v>36642.857142857145</v>
      </c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7"/>
    </row>
    <row r="31" spans="1:145" s="24" customFormat="1" ht="15" customHeight="1">
      <c r="A31" s="13" t="s">
        <v>178</v>
      </c>
      <c r="B31" s="55" t="s">
        <v>229</v>
      </c>
      <c r="C31" s="50" t="s">
        <v>228</v>
      </c>
      <c r="D31" s="59" t="s">
        <v>271</v>
      </c>
      <c r="E31" s="13">
        <v>1</v>
      </c>
      <c r="F31" s="21">
        <v>1</v>
      </c>
      <c r="G31" s="13" t="s">
        <v>176</v>
      </c>
      <c r="H31" s="13" t="s">
        <v>180</v>
      </c>
      <c r="I31" s="13" t="s">
        <v>177</v>
      </c>
      <c r="J31" s="13">
        <v>1</v>
      </c>
      <c r="K31" s="126" t="s">
        <v>209</v>
      </c>
      <c r="L31" s="99">
        <v>370429</v>
      </c>
      <c r="M31" s="129">
        <v>29.4487457835702</v>
      </c>
      <c r="N31" s="99">
        <v>411061</v>
      </c>
      <c r="O31" s="129">
        <v>32.678950326621703</v>
      </c>
      <c r="P31" s="140">
        <v>1257877</v>
      </c>
      <c r="Q31" s="42">
        <v>11500000</v>
      </c>
      <c r="R31" s="14">
        <f>Q31*(1-15% )</f>
        <v>9775000</v>
      </c>
      <c r="S31" s="23">
        <v>0</v>
      </c>
      <c r="T31" s="25">
        <f>R31*F31</f>
        <v>9775000</v>
      </c>
      <c r="U31" s="39">
        <f t="shared" si="1"/>
        <v>69821.428571428565</v>
      </c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7"/>
    </row>
    <row r="32" spans="1:145" s="24" customFormat="1" ht="15" customHeight="1">
      <c r="A32" s="13" t="s">
        <v>178</v>
      </c>
      <c r="B32" s="71" t="s">
        <v>179</v>
      </c>
      <c r="C32" s="69" t="s">
        <v>165</v>
      </c>
      <c r="D32" s="70" t="s">
        <v>272</v>
      </c>
      <c r="E32" s="13">
        <v>1</v>
      </c>
      <c r="F32" s="21">
        <v>1</v>
      </c>
      <c r="G32" s="13" t="s">
        <v>176</v>
      </c>
      <c r="H32" s="13" t="s">
        <v>180</v>
      </c>
      <c r="I32" s="13" t="s">
        <v>177</v>
      </c>
      <c r="J32" s="13">
        <v>1</v>
      </c>
      <c r="K32" s="126" t="s">
        <v>209</v>
      </c>
      <c r="L32" s="99">
        <v>383701</v>
      </c>
      <c r="M32" s="129">
        <v>30.503856895388001</v>
      </c>
      <c r="N32" s="99">
        <v>374518</v>
      </c>
      <c r="O32" s="129">
        <v>29.7738173128215</v>
      </c>
      <c r="P32" s="140">
        <v>1257877</v>
      </c>
      <c r="Q32" s="42">
        <v>6000000</v>
      </c>
      <c r="R32" s="14">
        <f>Q32*(1-15% )</f>
        <v>5100000</v>
      </c>
      <c r="S32" s="23">
        <v>0</v>
      </c>
      <c r="T32" s="25">
        <f>R32*F32</f>
        <v>5100000</v>
      </c>
      <c r="U32" s="39">
        <f t="shared" si="1"/>
        <v>36428.571428571428</v>
      </c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7"/>
    </row>
    <row r="33" spans="1:145" s="24" customFormat="1" ht="15" customHeight="1">
      <c r="A33" s="13" t="s">
        <v>178</v>
      </c>
      <c r="B33" s="92" t="s">
        <v>179</v>
      </c>
      <c r="C33" s="58" t="s">
        <v>228</v>
      </c>
      <c r="D33" s="59" t="s">
        <v>273</v>
      </c>
      <c r="E33" s="13">
        <v>1</v>
      </c>
      <c r="F33" s="21">
        <v>1</v>
      </c>
      <c r="G33" s="13" t="s">
        <v>176</v>
      </c>
      <c r="H33" s="13" t="s">
        <v>180</v>
      </c>
      <c r="I33" s="13" t="s">
        <v>177</v>
      </c>
      <c r="J33" s="13">
        <v>1</v>
      </c>
      <c r="K33" s="126" t="s">
        <v>209</v>
      </c>
      <c r="L33" s="99">
        <v>417623</v>
      </c>
      <c r="M33" s="129">
        <v>33.200622954390603</v>
      </c>
      <c r="N33" s="99">
        <v>396458</v>
      </c>
      <c r="O33" s="129">
        <v>31.518026007312301</v>
      </c>
      <c r="P33" s="140">
        <v>1257877</v>
      </c>
      <c r="Q33" s="42">
        <v>5000000</v>
      </c>
      <c r="R33" s="14">
        <f>Q33*(1-10% )</f>
        <v>4500000</v>
      </c>
      <c r="S33" s="23">
        <v>0</v>
      </c>
      <c r="T33" s="25">
        <f>R33*F33</f>
        <v>4500000</v>
      </c>
      <c r="U33" s="39">
        <f t="shared" si="1"/>
        <v>32142.857142857141</v>
      </c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7"/>
    </row>
    <row r="34" spans="1:145" s="24" customFormat="1" ht="15" customHeight="1">
      <c r="A34" s="13" t="s">
        <v>178</v>
      </c>
      <c r="B34" s="93" t="s">
        <v>179</v>
      </c>
      <c r="C34" s="50" t="s">
        <v>228</v>
      </c>
      <c r="D34" s="51" t="s">
        <v>274</v>
      </c>
      <c r="E34" s="13">
        <v>1</v>
      </c>
      <c r="F34" s="21">
        <v>1</v>
      </c>
      <c r="G34" s="13" t="s">
        <v>176</v>
      </c>
      <c r="H34" s="13" t="s">
        <v>180</v>
      </c>
      <c r="I34" s="13" t="s">
        <v>177</v>
      </c>
      <c r="J34" s="13">
        <v>1</v>
      </c>
      <c r="K34" s="126" t="s">
        <v>209</v>
      </c>
      <c r="L34" s="99">
        <v>184407</v>
      </c>
      <c r="M34" s="129">
        <v>14.6601774259327</v>
      </c>
      <c r="N34" s="99">
        <v>227168</v>
      </c>
      <c r="O34" s="129">
        <v>18.0596354015535</v>
      </c>
      <c r="P34" s="140">
        <v>1257877</v>
      </c>
      <c r="Q34" s="42">
        <v>4500000</v>
      </c>
      <c r="R34" s="14">
        <f>Q34*(1-10% )</f>
        <v>4050000</v>
      </c>
      <c r="S34" s="23">
        <v>0</v>
      </c>
      <c r="T34" s="25">
        <f>R34*F34</f>
        <v>4050000</v>
      </c>
      <c r="U34" s="39">
        <f t="shared" si="1"/>
        <v>28928.571428571428</v>
      </c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7"/>
    </row>
    <row r="35" spans="1:145" s="24" customFormat="1" ht="15" customHeight="1">
      <c r="A35" s="13" t="s">
        <v>178</v>
      </c>
      <c r="B35" s="94" t="s">
        <v>179</v>
      </c>
      <c r="C35" s="50" t="s">
        <v>228</v>
      </c>
      <c r="D35" s="59" t="s">
        <v>309</v>
      </c>
      <c r="E35" s="13">
        <v>1</v>
      </c>
      <c r="F35" s="21">
        <v>1</v>
      </c>
      <c r="G35" s="13" t="s">
        <v>176</v>
      </c>
      <c r="H35" s="13" t="s">
        <v>180</v>
      </c>
      <c r="I35" s="13" t="s">
        <v>177</v>
      </c>
      <c r="J35" s="13">
        <v>1</v>
      </c>
      <c r="K35" s="126" t="s">
        <v>209</v>
      </c>
      <c r="L35" s="99">
        <v>945666</v>
      </c>
      <c r="M35" s="129">
        <v>75.179528682057096</v>
      </c>
      <c r="N35" s="99">
        <v>1468092</v>
      </c>
      <c r="O35" s="129">
        <v>116.711888364283</v>
      </c>
      <c r="P35" s="140">
        <v>1257877</v>
      </c>
      <c r="Q35" s="42">
        <v>15000000</v>
      </c>
      <c r="R35" s="14">
        <f>Q35*(1-10% )</f>
        <v>13500000</v>
      </c>
      <c r="S35" s="23">
        <v>0</v>
      </c>
      <c r="T35" s="25">
        <f>R35*F35</f>
        <v>13500000</v>
      </c>
      <c r="U35" s="39">
        <f t="shared" si="1"/>
        <v>96428.571428571435</v>
      </c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7"/>
    </row>
    <row r="36" spans="1:145" s="24" customFormat="1" ht="15" customHeight="1">
      <c r="A36" s="13" t="s">
        <v>178</v>
      </c>
      <c r="B36" s="55" t="s">
        <v>229</v>
      </c>
      <c r="C36" s="95" t="s">
        <v>165</v>
      </c>
      <c r="D36" s="50" t="s">
        <v>310</v>
      </c>
      <c r="E36" s="13">
        <v>1</v>
      </c>
      <c r="F36" s="21">
        <v>1</v>
      </c>
      <c r="G36" s="13" t="s">
        <v>176</v>
      </c>
      <c r="H36" s="13" t="s">
        <v>180</v>
      </c>
      <c r="I36" s="13" t="s">
        <v>177</v>
      </c>
      <c r="J36" s="13">
        <v>1</v>
      </c>
      <c r="K36" s="126" t="s">
        <v>209</v>
      </c>
      <c r="L36" s="99">
        <v>271769</v>
      </c>
      <c r="M36" s="129">
        <v>21.605371590386</v>
      </c>
      <c r="N36" s="99">
        <v>324916</v>
      </c>
      <c r="O36" s="129">
        <v>25.830506480363301</v>
      </c>
      <c r="P36" s="140">
        <v>1257877</v>
      </c>
      <c r="Q36" s="42">
        <v>6000000</v>
      </c>
      <c r="R36" s="14">
        <f>Q36*(1-15% )</f>
        <v>5100000</v>
      </c>
      <c r="S36" s="23">
        <v>0</v>
      </c>
      <c r="T36" s="25">
        <f>R36*F36</f>
        <v>5100000</v>
      </c>
      <c r="U36" s="39">
        <f t="shared" si="1"/>
        <v>36428.571428571428</v>
      </c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7"/>
    </row>
    <row r="37" spans="1:145" s="24" customFormat="1" ht="15" customHeight="1">
      <c r="A37" s="13" t="s">
        <v>178</v>
      </c>
      <c r="B37" s="55" t="s">
        <v>229</v>
      </c>
      <c r="C37" s="50" t="s">
        <v>228</v>
      </c>
      <c r="D37" s="59" t="s">
        <v>311</v>
      </c>
      <c r="E37" s="13">
        <v>1</v>
      </c>
      <c r="F37" s="21">
        <v>1</v>
      </c>
      <c r="G37" s="13" t="s">
        <v>176</v>
      </c>
      <c r="H37" s="13" t="s">
        <v>180</v>
      </c>
      <c r="I37" s="13" t="s">
        <v>177</v>
      </c>
      <c r="J37" s="13">
        <v>1</v>
      </c>
      <c r="K37" s="126" t="s">
        <v>209</v>
      </c>
      <c r="L37" s="99">
        <v>143419</v>
      </c>
      <c r="M37" s="129">
        <v>11.401671228585901</v>
      </c>
      <c r="N37" s="99">
        <v>144396</v>
      </c>
      <c r="O37" s="129">
        <v>11.4793417798401</v>
      </c>
      <c r="P37" s="140">
        <v>1257877</v>
      </c>
      <c r="Q37" s="42">
        <v>5000000</v>
      </c>
      <c r="R37" s="14">
        <f>Q37*(1-15% )</f>
        <v>4250000</v>
      </c>
      <c r="S37" s="23">
        <v>0</v>
      </c>
      <c r="T37" s="25">
        <f>R37*F37</f>
        <v>4250000</v>
      </c>
      <c r="U37" s="39">
        <f t="shared" si="1"/>
        <v>30357.142857142859</v>
      </c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7"/>
    </row>
    <row r="38" spans="1:145" s="24" customFormat="1" ht="15" customHeight="1">
      <c r="A38" s="13" t="s">
        <v>178</v>
      </c>
      <c r="B38" s="79" t="s">
        <v>179</v>
      </c>
      <c r="C38" s="50" t="s">
        <v>228</v>
      </c>
      <c r="D38" s="59" t="s">
        <v>312</v>
      </c>
      <c r="E38" s="13">
        <v>1</v>
      </c>
      <c r="F38" s="21">
        <v>1</v>
      </c>
      <c r="G38" s="13" t="s">
        <v>176</v>
      </c>
      <c r="H38" s="13" t="s">
        <v>180</v>
      </c>
      <c r="I38" s="13" t="s">
        <v>177</v>
      </c>
      <c r="J38" s="13">
        <v>1</v>
      </c>
      <c r="K38" s="126" t="s">
        <v>209</v>
      </c>
      <c r="L38" s="99">
        <v>391730</v>
      </c>
      <c r="M38" s="129">
        <v>31.142154598581499</v>
      </c>
      <c r="N38" s="99">
        <v>502176</v>
      </c>
      <c r="O38" s="129">
        <v>39.922504346609401</v>
      </c>
      <c r="P38" s="140">
        <v>1257877</v>
      </c>
      <c r="Q38" s="42">
        <v>15300000</v>
      </c>
      <c r="R38" s="14">
        <f>Q38*(1-10% )</f>
        <v>13770000</v>
      </c>
      <c r="S38" s="23">
        <v>0</v>
      </c>
      <c r="T38" s="25">
        <f>R38*F38</f>
        <v>13770000</v>
      </c>
      <c r="U38" s="39">
        <f t="shared" si="1"/>
        <v>98357.142857142855</v>
      </c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7"/>
    </row>
    <row r="39" spans="1:145" s="24" customFormat="1" ht="15" customHeight="1">
      <c r="A39" s="13" t="s">
        <v>178</v>
      </c>
      <c r="B39" s="80" t="s">
        <v>179</v>
      </c>
      <c r="C39" s="50" t="s">
        <v>228</v>
      </c>
      <c r="D39" s="59" t="s">
        <v>313</v>
      </c>
      <c r="E39" s="13">
        <v>1</v>
      </c>
      <c r="F39" s="21">
        <v>1</v>
      </c>
      <c r="G39" s="13" t="s">
        <v>176</v>
      </c>
      <c r="H39" s="13" t="s">
        <v>180</v>
      </c>
      <c r="I39" s="13" t="s">
        <v>177</v>
      </c>
      <c r="J39" s="13">
        <v>1</v>
      </c>
      <c r="K39" s="126" t="s">
        <v>209</v>
      </c>
      <c r="L39" s="99">
        <v>216968</v>
      </c>
      <c r="M39" s="129">
        <v>17.248745306576001</v>
      </c>
      <c r="N39" s="99">
        <v>226581</v>
      </c>
      <c r="O39" s="129">
        <v>18.0129694715779</v>
      </c>
      <c r="P39" s="140">
        <v>1257877</v>
      </c>
      <c r="Q39" s="42">
        <v>5000000</v>
      </c>
      <c r="R39" s="14">
        <f>Q39*(1-10% )</f>
        <v>4500000</v>
      </c>
      <c r="S39" s="23">
        <v>0</v>
      </c>
      <c r="T39" s="25">
        <f>R39*F39</f>
        <v>4500000</v>
      </c>
      <c r="U39" s="39">
        <f t="shared" si="1"/>
        <v>32142.857142857141</v>
      </c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7"/>
    </row>
    <row r="40" spans="1:145" s="24" customFormat="1" ht="15" customHeight="1">
      <c r="A40" s="13" t="s">
        <v>178</v>
      </c>
      <c r="B40" s="55" t="s">
        <v>229</v>
      </c>
      <c r="C40" s="50" t="s">
        <v>228</v>
      </c>
      <c r="D40" s="59" t="s">
        <v>314</v>
      </c>
      <c r="E40" s="13">
        <v>1</v>
      </c>
      <c r="F40" s="21">
        <v>1</v>
      </c>
      <c r="G40" s="13" t="s">
        <v>176</v>
      </c>
      <c r="H40" s="13" t="s">
        <v>180</v>
      </c>
      <c r="I40" s="13" t="s">
        <v>177</v>
      </c>
      <c r="J40" s="13">
        <v>1</v>
      </c>
      <c r="K40" s="126" t="s">
        <v>209</v>
      </c>
      <c r="L40" s="99">
        <v>475358</v>
      </c>
      <c r="M40" s="129">
        <v>37.790499389049899</v>
      </c>
      <c r="N40" s="99">
        <v>558391</v>
      </c>
      <c r="O40" s="129">
        <v>44.391542257311301</v>
      </c>
      <c r="P40" s="140">
        <v>1257877</v>
      </c>
      <c r="Q40" s="42">
        <v>5000000</v>
      </c>
      <c r="R40" s="14">
        <f>Q40*(1-15% )</f>
        <v>4250000</v>
      </c>
      <c r="S40" s="23">
        <v>0</v>
      </c>
      <c r="T40" s="25">
        <f>R40*F40</f>
        <v>4250000</v>
      </c>
      <c r="U40" s="39">
        <f t="shared" si="1"/>
        <v>30357.142857142859</v>
      </c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7"/>
    </row>
    <row r="41" spans="1:145" s="24" customFormat="1" ht="15" customHeight="1">
      <c r="A41" s="13" t="s">
        <v>186</v>
      </c>
      <c r="B41" s="153" t="s">
        <v>179</v>
      </c>
      <c r="C41" s="13" t="s">
        <v>165</v>
      </c>
      <c r="D41" s="26" t="s">
        <v>264</v>
      </c>
      <c r="E41" s="13">
        <v>1</v>
      </c>
      <c r="F41" s="21">
        <v>1</v>
      </c>
      <c r="G41" s="13" t="s">
        <v>176</v>
      </c>
      <c r="H41" s="13" t="s">
        <v>180</v>
      </c>
      <c r="I41" s="13" t="s">
        <v>177</v>
      </c>
      <c r="J41" s="13">
        <v>1</v>
      </c>
      <c r="K41" s="126" t="s">
        <v>209</v>
      </c>
      <c r="L41" s="99">
        <v>227016</v>
      </c>
      <c r="M41" s="129">
        <v>18.047551549157799</v>
      </c>
      <c r="N41" s="99">
        <v>284963</v>
      </c>
      <c r="O41" s="129">
        <v>22.654281777948</v>
      </c>
      <c r="P41" s="140">
        <v>1257877</v>
      </c>
      <c r="Q41" s="42">
        <v>2300000</v>
      </c>
      <c r="R41" s="14">
        <f t="shared" si="2"/>
        <v>2070000</v>
      </c>
      <c r="S41" s="23">
        <v>0</v>
      </c>
      <c r="T41" s="25">
        <f>R41*F41</f>
        <v>2070000</v>
      </c>
      <c r="U41" s="39">
        <f t="shared" si="1"/>
        <v>14785.714285714286</v>
      </c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7"/>
    </row>
    <row r="42" spans="1:145" s="28" customFormat="1" ht="15">
      <c r="A42" s="13" t="s">
        <v>186</v>
      </c>
      <c r="B42" s="153"/>
      <c r="C42" s="13" t="s">
        <v>165</v>
      </c>
      <c r="D42" s="26" t="s">
        <v>263</v>
      </c>
      <c r="E42" s="13">
        <v>1</v>
      </c>
      <c r="F42" s="21">
        <v>1</v>
      </c>
      <c r="G42" s="13" t="s">
        <v>176</v>
      </c>
      <c r="H42" s="13" t="s">
        <v>180</v>
      </c>
      <c r="I42" s="13" t="s">
        <v>177</v>
      </c>
      <c r="J42" s="13">
        <v>1</v>
      </c>
      <c r="K42" s="126" t="s">
        <v>209</v>
      </c>
      <c r="L42" s="99">
        <v>50601</v>
      </c>
      <c r="M42" s="129">
        <v>4.0227303623486197</v>
      </c>
      <c r="N42" s="99">
        <v>55664</v>
      </c>
      <c r="O42" s="129">
        <v>4.4252339457673502</v>
      </c>
      <c r="P42" s="140">
        <v>1257877</v>
      </c>
      <c r="Q42" s="42">
        <v>2300000</v>
      </c>
      <c r="R42" s="14">
        <f t="shared" si="2"/>
        <v>2070000</v>
      </c>
      <c r="S42" s="23">
        <v>0</v>
      </c>
      <c r="T42" s="25">
        <f>R42*F42</f>
        <v>2070000</v>
      </c>
      <c r="U42" s="39">
        <f t="shared" si="1"/>
        <v>14785.714285714286</v>
      </c>
    </row>
    <row r="43" spans="1:145" s="28" customFormat="1" ht="15" customHeight="1">
      <c r="A43" s="13" t="s">
        <v>186</v>
      </c>
      <c r="B43" s="153"/>
      <c r="C43" s="13" t="s">
        <v>165</v>
      </c>
      <c r="D43" s="26" t="s">
        <v>265</v>
      </c>
      <c r="E43" s="13">
        <v>1</v>
      </c>
      <c r="F43" s="21">
        <v>1</v>
      </c>
      <c r="G43" s="13" t="s">
        <v>176</v>
      </c>
      <c r="H43" s="13" t="s">
        <v>180</v>
      </c>
      <c r="I43" s="13" t="s">
        <v>177</v>
      </c>
      <c r="J43" s="13">
        <v>1</v>
      </c>
      <c r="K43" s="126" t="s">
        <v>209</v>
      </c>
      <c r="L43" s="99">
        <v>145214</v>
      </c>
      <c r="M43" s="129">
        <v>11.544371985496101</v>
      </c>
      <c r="N43" s="99">
        <v>190390</v>
      </c>
      <c r="O43" s="129">
        <v>15.1358201159572</v>
      </c>
      <c r="P43" s="140">
        <v>1257877</v>
      </c>
      <c r="Q43" s="42">
        <v>2300000</v>
      </c>
      <c r="R43" s="14">
        <f t="shared" si="2"/>
        <v>2070000</v>
      </c>
      <c r="S43" s="23">
        <v>0</v>
      </c>
      <c r="T43" s="25">
        <f>R43*F43</f>
        <v>2070000</v>
      </c>
      <c r="U43" s="39">
        <f t="shared" si="1"/>
        <v>14785.714285714286</v>
      </c>
    </row>
    <row r="44" spans="1:145" s="28" customFormat="1" ht="15" customHeight="1">
      <c r="A44" s="13" t="s">
        <v>186</v>
      </c>
      <c r="B44" s="153"/>
      <c r="C44" s="13" t="s">
        <v>165</v>
      </c>
      <c r="D44" s="26" t="s">
        <v>267</v>
      </c>
      <c r="E44" s="13">
        <v>1</v>
      </c>
      <c r="F44" s="21">
        <v>1</v>
      </c>
      <c r="G44" s="13" t="s">
        <v>176</v>
      </c>
      <c r="H44" s="13" t="s">
        <v>180</v>
      </c>
      <c r="I44" s="13" t="s">
        <v>177</v>
      </c>
      <c r="J44" s="13">
        <v>1</v>
      </c>
      <c r="K44" s="126" t="s">
        <v>209</v>
      </c>
      <c r="L44" s="99">
        <v>160259</v>
      </c>
      <c r="M44" s="129">
        <v>12.7404348755879</v>
      </c>
      <c r="N44" s="99">
        <v>193142</v>
      </c>
      <c r="O44" s="129">
        <v>15.3546014435433</v>
      </c>
      <c r="P44" s="140">
        <v>1257877</v>
      </c>
      <c r="Q44" s="42">
        <v>2300000</v>
      </c>
      <c r="R44" s="14">
        <f t="shared" si="2"/>
        <v>2070000</v>
      </c>
      <c r="S44" s="23">
        <v>0</v>
      </c>
      <c r="T44" s="25">
        <f>R44*F44</f>
        <v>2070000</v>
      </c>
      <c r="U44" s="39">
        <f t="shared" si="1"/>
        <v>14785.714285714286</v>
      </c>
    </row>
    <row r="45" spans="1:145" s="28" customFormat="1" ht="15" customHeight="1">
      <c r="A45" s="13" t="s">
        <v>186</v>
      </c>
      <c r="B45" s="153"/>
      <c r="C45" s="13" t="s">
        <v>165</v>
      </c>
      <c r="D45" s="26" t="s">
        <v>268</v>
      </c>
      <c r="E45" s="13">
        <v>1</v>
      </c>
      <c r="F45" s="21">
        <v>1</v>
      </c>
      <c r="G45" s="13" t="s">
        <v>176</v>
      </c>
      <c r="H45" s="13" t="s">
        <v>180</v>
      </c>
      <c r="I45" s="13" t="s">
        <v>177</v>
      </c>
      <c r="J45" s="13">
        <v>1</v>
      </c>
      <c r="K45" s="126" t="s">
        <v>209</v>
      </c>
      <c r="L45" s="99">
        <v>149673</v>
      </c>
      <c r="M45" s="129">
        <v>11.8988581554476</v>
      </c>
      <c r="N45" s="99">
        <v>226967</v>
      </c>
      <c r="O45" s="129">
        <v>18.043656096740701</v>
      </c>
      <c r="P45" s="140">
        <v>1257877</v>
      </c>
      <c r="Q45" s="42">
        <v>2300000</v>
      </c>
      <c r="R45" s="14">
        <f t="shared" si="2"/>
        <v>2070000</v>
      </c>
      <c r="S45" s="23">
        <v>0</v>
      </c>
      <c r="T45" s="25">
        <f>R45*F45</f>
        <v>2070000</v>
      </c>
      <c r="U45" s="39">
        <f t="shared" si="1"/>
        <v>14785.714285714286</v>
      </c>
    </row>
    <row r="46" spans="1:145" s="28" customFormat="1" ht="15" customHeight="1">
      <c r="A46" s="13" t="s">
        <v>186</v>
      </c>
      <c r="B46" s="153"/>
      <c r="C46" s="13" t="s">
        <v>165</v>
      </c>
      <c r="D46" s="26" t="s">
        <v>191</v>
      </c>
      <c r="E46" s="13">
        <v>1</v>
      </c>
      <c r="F46" s="21">
        <v>1</v>
      </c>
      <c r="G46" s="13" t="s">
        <v>176</v>
      </c>
      <c r="H46" s="13" t="s">
        <v>180</v>
      </c>
      <c r="I46" s="13" t="s">
        <v>177</v>
      </c>
      <c r="J46" s="13">
        <v>1</v>
      </c>
      <c r="K46" s="126" t="s">
        <v>209</v>
      </c>
      <c r="L46" s="99">
        <v>248900</v>
      </c>
      <c r="M46" s="129">
        <v>19.7873082980291</v>
      </c>
      <c r="N46" s="99">
        <v>245352</v>
      </c>
      <c r="O46" s="129">
        <v>19.505245743423199</v>
      </c>
      <c r="P46" s="140">
        <v>1257877</v>
      </c>
      <c r="Q46" s="42">
        <v>2800000</v>
      </c>
      <c r="R46" s="14">
        <f t="shared" si="2"/>
        <v>2520000</v>
      </c>
      <c r="S46" s="23">
        <v>0</v>
      </c>
      <c r="T46" s="25">
        <f>R46*F46</f>
        <v>2520000</v>
      </c>
      <c r="U46" s="39">
        <f t="shared" si="1"/>
        <v>18000</v>
      </c>
    </row>
    <row r="47" spans="1:145" s="28" customFormat="1" ht="15" customHeight="1">
      <c r="A47" s="13" t="s">
        <v>186</v>
      </c>
      <c r="B47" s="153"/>
      <c r="C47" s="13" t="s">
        <v>165</v>
      </c>
      <c r="D47" s="26" t="s">
        <v>266</v>
      </c>
      <c r="E47" s="13">
        <v>1</v>
      </c>
      <c r="F47" s="21">
        <v>1</v>
      </c>
      <c r="G47" s="13" t="s">
        <v>176</v>
      </c>
      <c r="H47" s="13" t="s">
        <v>180</v>
      </c>
      <c r="I47" s="13" t="s">
        <v>177</v>
      </c>
      <c r="J47" s="13">
        <v>1</v>
      </c>
      <c r="K47" s="126" t="s">
        <v>209</v>
      </c>
      <c r="L47" s="99">
        <v>401186</v>
      </c>
      <c r="M47" s="129">
        <v>31.893897416043</v>
      </c>
      <c r="N47" s="99">
        <v>541496</v>
      </c>
      <c r="O47" s="129">
        <v>43.048406163718703</v>
      </c>
      <c r="P47" s="140">
        <v>1257877</v>
      </c>
      <c r="Q47" s="42">
        <v>2800000</v>
      </c>
      <c r="R47" s="14">
        <f t="shared" si="2"/>
        <v>2520000</v>
      </c>
      <c r="S47" s="23">
        <v>0</v>
      </c>
      <c r="T47" s="25">
        <f>R47*F47</f>
        <v>2520000</v>
      </c>
      <c r="U47" s="39">
        <f t="shared" si="1"/>
        <v>18000</v>
      </c>
    </row>
    <row r="48" spans="1:145" s="28" customFormat="1" ht="15" customHeight="1">
      <c r="A48" s="13" t="s">
        <v>186</v>
      </c>
      <c r="B48" s="153"/>
      <c r="C48" s="13" t="s">
        <v>165</v>
      </c>
      <c r="D48" s="26" t="s">
        <v>192</v>
      </c>
      <c r="E48" s="13">
        <v>1</v>
      </c>
      <c r="F48" s="21">
        <v>1</v>
      </c>
      <c r="G48" s="13" t="s">
        <v>176</v>
      </c>
      <c r="H48" s="13" t="s">
        <v>180</v>
      </c>
      <c r="I48" s="13" t="s">
        <v>177</v>
      </c>
      <c r="J48" s="13">
        <v>1</v>
      </c>
      <c r="K48" s="126" t="s">
        <v>209</v>
      </c>
      <c r="L48" s="99">
        <v>190343</v>
      </c>
      <c r="M48" s="129">
        <v>15.132083661597999</v>
      </c>
      <c r="N48" s="99">
        <v>212119</v>
      </c>
      <c r="O48" s="129">
        <v>16.863254515346</v>
      </c>
      <c r="P48" s="140">
        <v>1257877</v>
      </c>
      <c r="Q48" s="42">
        <v>2800000</v>
      </c>
      <c r="R48" s="14">
        <f t="shared" si="2"/>
        <v>2520000</v>
      </c>
      <c r="S48" s="23">
        <v>0</v>
      </c>
      <c r="T48" s="25">
        <f>R48*F48</f>
        <v>2520000</v>
      </c>
      <c r="U48" s="39">
        <f t="shared" si="1"/>
        <v>18000</v>
      </c>
    </row>
    <row r="49" spans="1:21" s="28" customFormat="1" ht="15" customHeight="1">
      <c r="A49" s="13" t="s">
        <v>186</v>
      </c>
      <c r="B49" s="153"/>
      <c r="C49" s="13" t="s">
        <v>165</v>
      </c>
      <c r="D49" s="26" t="s">
        <v>193</v>
      </c>
      <c r="E49" s="13">
        <v>1</v>
      </c>
      <c r="F49" s="21">
        <v>1</v>
      </c>
      <c r="G49" s="13" t="s">
        <v>176</v>
      </c>
      <c r="H49" s="13" t="s">
        <v>180</v>
      </c>
      <c r="I49" s="13" t="s">
        <v>177</v>
      </c>
      <c r="J49" s="13">
        <v>1</v>
      </c>
      <c r="K49" s="126" t="s">
        <v>209</v>
      </c>
      <c r="L49" s="99">
        <v>127410</v>
      </c>
      <c r="M49" s="129">
        <v>10.1289712746158</v>
      </c>
      <c r="N49" s="99">
        <v>140413</v>
      </c>
      <c r="O49" s="129">
        <v>11.162697147654301</v>
      </c>
      <c r="P49" s="140">
        <v>1257877</v>
      </c>
      <c r="Q49" s="42">
        <v>2800000</v>
      </c>
      <c r="R49" s="14">
        <f t="shared" si="2"/>
        <v>2520000</v>
      </c>
      <c r="S49" s="23">
        <v>0</v>
      </c>
      <c r="T49" s="25">
        <f>R49*F49</f>
        <v>2520000</v>
      </c>
      <c r="U49" s="39">
        <f t="shared" si="1"/>
        <v>18000</v>
      </c>
    </row>
    <row r="50" spans="1:21" s="28" customFormat="1" ht="15" customHeight="1">
      <c r="A50" s="13" t="s">
        <v>186</v>
      </c>
      <c r="B50" s="153"/>
      <c r="C50" s="13" t="s">
        <v>165</v>
      </c>
      <c r="D50" s="26" t="s">
        <v>194</v>
      </c>
      <c r="E50" s="13">
        <v>1</v>
      </c>
      <c r="F50" s="21">
        <v>1</v>
      </c>
      <c r="G50" s="13" t="s">
        <v>176</v>
      </c>
      <c r="H50" s="13" t="s">
        <v>180</v>
      </c>
      <c r="I50" s="13" t="s">
        <v>177</v>
      </c>
      <c r="J50" s="13">
        <v>1</v>
      </c>
      <c r="K50" s="126" t="s">
        <v>209</v>
      </c>
      <c r="L50" s="99">
        <v>199576</v>
      </c>
      <c r="M50" s="129">
        <v>15.866098195610499</v>
      </c>
      <c r="N50" s="99">
        <v>319465</v>
      </c>
      <c r="O50" s="129">
        <v>25.397157273723899</v>
      </c>
      <c r="P50" s="140">
        <v>1257877</v>
      </c>
      <c r="Q50" s="42">
        <v>2800000</v>
      </c>
      <c r="R50" s="14">
        <f t="shared" si="2"/>
        <v>2520000</v>
      </c>
      <c r="S50" s="23">
        <v>0</v>
      </c>
      <c r="T50" s="25">
        <f>R50*F50</f>
        <v>2520000</v>
      </c>
      <c r="U50" s="39">
        <f t="shared" si="1"/>
        <v>18000</v>
      </c>
    </row>
    <row r="51" spans="1:21" s="28" customFormat="1" ht="15" customHeight="1">
      <c r="A51" s="13" t="s">
        <v>178</v>
      </c>
      <c r="B51" s="154" t="s">
        <v>260</v>
      </c>
      <c r="C51" s="13" t="s">
        <v>210</v>
      </c>
      <c r="D51" s="21" t="s">
        <v>211</v>
      </c>
      <c r="E51" s="13">
        <v>1</v>
      </c>
      <c r="F51" s="21">
        <v>1</v>
      </c>
      <c r="G51" s="13" t="s">
        <v>176</v>
      </c>
      <c r="H51" s="13" t="s">
        <v>180</v>
      </c>
      <c r="I51" s="13" t="s">
        <v>177</v>
      </c>
      <c r="J51" s="13">
        <v>1</v>
      </c>
      <c r="K51" s="126" t="s">
        <v>209</v>
      </c>
      <c r="L51" s="99">
        <v>61228</v>
      </c>
      <c r="M51" s="129">
        <v>38.901843180359698</v>
      </c>
      <c r="N51" s="99">
        <v>67354</v>
      </c>
      <c r="O51" s="129">
        <v>42.794060651498498</v>
      </c>
      <c r="P51" s="140">
        <v>157391</v>
      </c>
      <c r="Q51" s="42">
        <v>3500000</v>
      </c>
      <c r="R51" s="14">
        <f t="shared" si="2"/>
        <v>3150000</v>
      </c>
      <c r="S51" s="23">
        <v>0</v>
      </c>
      <c r="T51" s="25">
        <f>R51*F51</f>
        <v>3150000</v>
      </c>
      <c r="U51" s="39">
        <f t="shared" si="1"/>
        <v>22500</v>
      </c>
    </row>
    <row r="52" spans="1:21" s="28" customFormat="1" ht="15" customHeight="1">
      <c r="A52" s="13" t="s">
        <v>178</v>
      </c>
      <c r="B52" s="155"/>
      <c r="C52" s="13" t="s">
        <v>210</v>
      </c>
      <c r="D52" s="21" t="s">
        <v>212</v>
      </c>
      <c r="E52" s="13">
        <v>1</v>
      </c>
      <c r="F52" s="21">
        <v>1</v>
      </c>
      <c r="G52" s="13" t="s">
        <v>176</v>
      </c>
      <c r="H52" s="13" t="s">
        <v>180</v>
      </c>
      <c r="I52" s="13" t="s">
        <v>177</v>
      </c>
      <c r="J52" s="13">
        <v>1</v>
      </c>
      <c r="K52" s="126" t="s">
        <v>209</v>
      </c>
      <c r="L52" s="99">
        <v>46805</v>
      </c>
      <c r="M52" s="129">
        <v>29.738040929913399</v>
      </c>
      <c r="N52" s="99">
        <v>51487</v>
      </c>
      <c r="O52" s="129">
        <v>32.712798063421602</v>
      </c>
      <c r="P52" s="140">
        <v>157391</v>
      </c>
      <c r="Q52" s="42">
        <v>3500000</v>
      </c>
      <c r="R52" s="14">
        <f t="shared" si="2"/>
        <v>3150000</v>
      </c>
      <c r="S52" s="23">
        <v>0</v>
      </c>
      <c r="T52" s="25">
        <f>R52*F52</f>
        <v>3150000</v>
      </c>
      <c r="U52" s="39">
        <f t="shared" si="1"/>
        <v>22500</v>
      </c>
    </row>
    <row r="53" spans="1:21" s="28" customFormat="1" ht="15" customHeight="1">
      <c r="A53" s="13" t="s">
        <v>178</v>
      </c>
      <c r="B53" s="155"/>
      <c r="C53" s="13" t="s">
        <v>210</v>
      </c>
      <c r="D53" s="21" t="s">
        <v>213</v>
      </c>
      <c r="E53" s="13">
        <v>1</v>
      </c>
      <c r="F53" s="21">
        <v>1</v>
      </c>
      <c r="G53" s="13" t="s">
        <v>176</v>
      </c>
      <c r="H53" s="13" t="s">
        <v>180</v>
      </c>
      <c r="I53" s="13" t="s">
        <v>177</v>
      </c>
      <c r="J53" s="13">
        <v>1</v>
      </c>
      <c r="K53" s="126" t="s">
        <v>209</v>
      </c>
      <c r="L53" s="99">
        <v>33147</v>
      </c>
      <c r="M53" s="129">
        <v>21.060289343100902</v>
      </c>
      <c r="N53" s="99">
        <v>36463</v>
      </c>
      <c r="O53" s="129">
        <v>23.167144245858999</v>
      </c>
      <c r="P53" s="140">
        <v>157391</v>
      </c>
      <c r="Q53" s="42">
        <v>3500000</v>
      </c>
      <c r="R53" s="14">
        <f t="shared" si="2"/>
        <v>3150000</v>
      </c>
      <c r="S53" s="23">
        <v>0</v>
      </c>
      <c r="T53" s="25">
        <f>R53*F53</f>
        <v>3150000</v>
      </c>
      <c r="U53" s="39">
        <f t="shared" si="1"/>
        <v>22500</v>
      </c>
    </row>
    <row r="54" spans="1:21" s="28" customFormat="1" ht="15" customHeight="1">
      <c r="A54" s="13" t="s">
        <v>178</v>
      </c>
      <c r="B54" s="155"/>
      <c r="C54" s="13" t="s">
        <v>210</v>
      </c>
      <c r="D54" s="83" t="s">
        <v>214</v>
      </c>
      <c r="E54" s="13">
        <v>1</v>
      </c>
      <c r="F54" s="21">
        <v>1</v>
      </c>
      <c r="G54" s="13" t="s">
        <v>176</v>
      </c>
      <c r="H54" s="13" t="s">
        <v>180</v>
      </c>
      <c r="I54" s="13" t="s">
        <v>177</v>
      </c>
      <c r="J54" s="13">
        <v>1</v>
      </c>
      <c r="K54" s="126" t="s">
        <v>209</v>
      </c>
      <c r="L54" s="99">
        <v>35414</v>
      </c>
      <c r="M54" s="129">
        <v>22.5006512443532</v>
      </c>
      <c r="N54" s="99">
        <v>38956</v>
      </c>
      <c r="O54" s="129">
        <v>24.7510975849953</v>
      </c>
      <c r="P54" s="140">
        <v>157391</v>
      </c>
      <c r="Q54" s="42">
        <v>3500000</v>
      </c>
      <c r="R54" s="14">
        <f t="shared" si="2"/>
        <v>3150000</v>
      </c>
      <c r="S54" s="23">
        <v>0</v>
      </c>
      <c r="T54" s="25">
        <f>R54*F54</f>
        <v>3150000</v>
      </c>
      <c r="U54" s="39">
        <f t="shared" si="1"/>
        <v>22500</v>
      </c>
    </row>
    <row r="55" spans="1:21" s="28" customFormat="1" ht="15" customHeight="1">
      <c r="A55" s="13" t="s">
        <v>178</v>
      </c>
      <c r="B55" s="155"/>
      <c r="C55" s="13" t="s">
        <v>210</v>
      </c>
      <c r="D55" s="21" t="s">
        <v>215</v>
      </c>
      <c r="E55" s="13">
        <v>1</v>
      </c>
      <c r="F55" s="21">
        <v>1</v>
      </c>
      <c r="G55" s="13" t="s">
        <v>176</v>
      </c>
      <c r="H55" s="13" t="s">
        <v>180</v>
      </c>
      <c r="I55" s="13" t="s">
        <v>177</v>
      </c>
      <c r="J55" s="13">
        <v>1</v>
      </c>
      <c r="K55" s="126" t="s">
        <v>209</v>
      </c>
      <c r="L55" s="99">
        <v>65612</v>
      </c>
      <c r="M55" s="129">
        <v>41.687262931171396</v>
      </c>
      <c r="N55" s="99">
        <v>72175</v>
      </c>
      <c r="O55" s="129">
        <v>45.857132872908799</v>
      </c>
      <c r="P55" s="140">
        <v>157391</v>
      </c>
      <c r="Q55" s="42">
        <v>3500000</v>
      </c>
      <c r="R55" s="14">
        <f t="shared" si="2"/>
        <v>3150000</v>
      </c>
      <c r="S55" s="23">
        <v>0</v>
      </c>
      <c r="T55" s="25">
        <f>R55*F55</f>
        <v>3150000</v>
      </c>
      <c r="U55" s="39">
        <f t="shared" si="1"/>
        <v>22500</v>
      </c>
    </row>
    <row r="56" spans="1:21" s="28" customFormat="1" ht="15" customHeight="1">
      <c r="A56" s="13" t="s">
        <v>178</v>
      </c>
      <c r="B56" s="155"/>
      <c r="C56" s="13" t="s">
        <v>210</v>
      </c>
      <c r="D56" s="21" t="s">
        <v>216</v>
      </c>
      <c r="E56" s="13">
        <v>1</v>
      </c>
      <c r="F56" s="21">
        <v>1</v>
      </c>
      <c r="G56" s="13" t="s">
        <v>176</v>
      </c>
      <c r="H56" s="13" t="s">
        <v>180</v>
      </c>
      <c r="I56" s="13" t="s">
        <v>177</v>
      </c>
      <c r="J56" s="13">
        <v>1</v>
      </c>
      <c r="K56" s="126" t="s">
        <v>209</v>
      </c>
      <c r="L56" s="99">
        <v>44361</v>
      </c>
      <c r="M56" s="129">
        <v>28.185220247663398</v>
      </c>
      <c r="N56" s="99">
        <v>48797</v>
      </c>
      <c r="O56" s="129">
        <v>31.003678736395301</v>
      </c>
      <c r="P56" s="140">
        <v>157391</v>
      </c>
      <c r="Q56" s="42">
        <v>3500000</v>
      </c>
      <c r="R56" s="14">
        <f t="shared" si="2"/>
        <v>3150000</v>
      </c>
      <c r="S56" s="23">
        <v>0</v>
      </c>
      <c r="T56" s="25">
        <f>R56*F56</f>
        <v>3150000</v>
      </c>
      <c r="U56" s="39">
        <f t="shared" si="1"/>
        <v>22500</v>
      </c>
    </row>
    <row r="57" spans="1:21" s="28" customFormat="1" ht="15" customHeight="1">
      <c r="A57" s="13" t="s">
        <v>178</v>
      </c>
      <c r="B57" s="155"/>
      <c r="C57" s="13" t="s">
        <v>210</v>
      </c>
      <c r="D57" s="21" t="s">
        <v>318</v>
      </c>
      <c r="E57" s="13">
        <v>1</v>
      </c>
      <c r="F57" s="21">
        <v>1</v>
      </c>
      <c r="G57" s="13" t="s">
        <v>176</v>
      </c>
      <c r="H57" s="13" t="s">
        <v>180</v>
      </c>
      <c r="I57" s="13" t="s">
        <v>177</v>
      </c>
      <c r="J57" s="13">
        <v>1</v>
      </c>
      <c r="K57" s="126" t="s">
        <v>209</v>
      </c>
      <c r="L57" s="99">
        <v>33088</v>
      </c>
      <c r="M57" s="129">
        <v>21.022803082768299</v>
      </c>
      <c r="N57" s="99">
        <v>36397</v>
      </c>
      <c r="O57" s="129">
        <v>23.125210463114101</v>
      </c>
      <c r="P57" s="140">
        <v>157391</v>
      </c>
      <c r="Q57" s="42">
        <v>3500000</v>
      </c>
      <c r="R57" s="14">
        <f t="shared" ref="R57:R58" si="4">Q57*(1-10% )</f>
        <v>3150000</v>
      </c>
      <c r="S57" s="23">
        <v>0</v>
      </c>
      <c r="T57" s="25">
        <f>R57*F57</f>
        <v>3150000</v>
      </c>
      <c r="U57" s="39">
        <f t="shared" si="1"/>
        <v>22500</v>
      </c>
    </row>
    <row r="58" spans="1:21" s="28" customFormat="1" ht="15" customHeight="1">
      <c r="A58" s="13" t="s">
        <v>178</v>
      </c>
      <c r="B58" s="155"/>
      <c r="C58" s="13" t="s">
        <v>210</v>
      </c>
      <c r="D58" s="21" t="s">
        <v>319</v>
      </c>
      <c r="E58" s="13">
        <v>1</v>
      </c>
      <c r="F58" s="21">
        <v>1</v>
      </c>
      <c r="G58" s="13" t="s">
        <v>176</v>
      </c>
      <c r="H58" s="13" t="s">
        <v>180</v>
      </c>
      <c r="I58" s="13" t="s">
        <v>177</v>
      </c>
      <c r="J58" s="13">
        <v>1</v>
      </c>
      <c r="K58" s="126" t="s">
        <v>209</v>
      </c>
      <c r="L58" s="99">
        <v>37733</v>
      </c>
      <c r="M58" s="129">
        <v>23.9740518835257</v>
      </c>
      <c r="N58" s="99">
        <v>41511</v>
      </c>
      <c r="O58" s="129">
        <v>26.374443265498002</v>
      </c>
      <c r="P58" s="140">
        <v>157391</v>
      </c>
      <c r="Q58" s="42">
        <v>3500000</v>
      </c>
      <c r="R58" s="14">
        <f t="shared" si="4"/>
        <v>3150000</v>
      </c>
      <c r="S58" s="23">
        <v>0</v>
      </c>
      <c r="T58" s="25">
        <f>R58*F58</f>
        <v>3150000</v>
      </c>
      <c r="U58" s="39">
        <f t="shared" si="1"/>
        <v>22500</v>
      </c>
    </row>
    <row r="59" spans="1:21" s="28" customFormat="1" ht="15" customHeight="1">
      <c r="A59" s="13" t="s">
        <v>178</v>
      </c>
      <c r="B59" s="155"/>
      <c r="C59" s="13" t="s">
        <v>217</v>
      </c>
      <c r="D59" s="21" t="s">
        <v>218</v>
      </c>
      <c r="E59" s="13">
        <v>1</v>
      </c>
      <c r="F59" s="21">
        <v>1</v>
      </c>
      <c r="G59" s="13" t="s">
        <v>176</v>
      </c>
      <c r="H59" s="13" t="s">
        <v>180</v>
      </c>
      <c r="I59" s="13" t="s">
        <v>177</v>
      </c>
      <c r="J59" s="13">
        <v>1</v>
      </c>
      <c r="K59" s="126" t="s">
        <v>209</v>
      </c>
      <c r="L59" s="99">
        <v>151038</v>
      </c>
      <c r="M59" s="129">
        <v>63.007584037644797</v>
      </c>
      <c r="N59" s="99">
        <v>166146</v>
      </c>
      <c r="O59" s="129">
        <v>69.3100945293141</v>
      </c>
      <c r="P59" s="140">
        <v>239714</v>
      </c>
      <c r="Q59" s="42">
        <v>3500000</v>
      </c>
      <c r="R59" s="14">
        <f t="shared" si="2"/>
        <v>3150000</v>
      </c>
      <c r="S59" s="23">
        <v>0</v>
      </c>
      <c r="T59" s="25">
        <f>R59*F59</f>
        <v>3150000</v>
      </c>
      <c r="U59" s="39">
        <f t="shared" si="1"/>
        <v>22500</v>
      </c>
    </row>
    <row r="60" spans="1:21" s="28" customFormat="1" ht="15" customHeight="1">
      <c r="A60" s="13" t="s">
        <v>178</v>
      </c>
      <c r="B60" s="155"/>
      <c r="C60" s="13" t="s">
        <v>217</v>
      </c>
      <c r="D60" s="21" t="s">
        <v>219</v>
      </c>
      <c r="E60" s="13">
        <v>1</v>
      </c>
      <c r="F60" s="21">
        <v>1</v>
      </c>
      <c r="G60" s="13" t="s">
        <v>176</v>
      </c>
      <c r="H60" s="13" t="s">
        <v>180</v>
      </c>
      <c r="I60" s="13" t="s">
        <v>177</v>
      </c>
      <c r="J60" s="13">
        <v>1</v>
      </c>
      <c r="K60" s="126" t="s">
        <v>209</v>
      </c>
      <c r="L60" s="99">
        <v>163419</v>
      </c>
      <c r="M60" s="129">
        <v>68.172488882585</v>
      </c>
      <c r="N60" s="99">
        <v>179740</v>
      </c>
      <c r="O60" s="129">
        <v>74.981019047698496</v>
      </c>
      <c r="P60" s="140">
        <v>239714</v>
      </c>
      <c r="Q60" s="42">
        <v>3500000</v>
      </c>
      <c r="R60" s="14">
        <f t="shared" si="2"/>
        <v>3150000</v>
      </c>
      <c r="S60" s="23">
        <v>0</v>
      </c>
      <c r="T60" s="25">
        <f>R60*F60</f>
        <v>3150000</v>
      </c>
      <c r="U60" s="39">
        <f t="shared" si="1"/>
        <v>22500</v>
      </c>
    </row>
    <row r="61" spans="1:21" s="28" customFormat="1" ht="15" customHeight="1">
      <c r="A61" s="13" t="s">
        <v>178</v>
      </c>
      <c r="B61" s="155"/>
      <c r="C61" s="13" t="s">
        <v>217</v>
      </c>
      <c r="D61" s="21" t="s">
        <v>220</v>
      </c>
      <c r="E61" s="13">
        <v>1</v>
      </c>
      <c r="F61" s="21">
        <v>1</v>
      </c>
      <c r="G61" s="13" t="s">
        <v>176</v>
      </c>
      <c r="H61" s="13" t="s">
        <v>180</v>
      </c>
      <c r="I61" s="13" t="s">
        <v>177</v>
      </c>
      <c r="J61" s="13">
        <v>1</v>
      </c>
      <c r="K61" s="126" t="s">
        <v>209</v>
      </c>
      <c r="L61" s="99">
        <v>114515</v>
      </c>
      <c r="M61" s="129">
        <v>47.7715110506687</v>
      </c>
      <c r="N61" s="99">
        <v>125967</v>
      </c>
      <c r="O61" s="129">
        <v>52.548870737629002</v>
      </c>
      <c r="P61" s="140">
        <v>239714</v>
      </c>
      <c r="Q61" s="42">
        <v>3500000</v>
      </c>
      <c r="R61" s="14">
        <f t="shared" si="2"/>
        <v>3150000</v>
      </c>
      <c r="S61" s="23">
        <v>0</v>
      </c>
      <c r="T61" s="25">
        <f>R61*F61</f>
        <v>3150000</v>
      </c>
      <c r="U61" s="39">
        <f t="shared" si="1"/>
        <v>22500</v>
      </c>
    </row>
    <row r="62" spans="1:21" s="28" customFormat="1" ht="15" customHeight="1">
      <c r="A62" s="13" t="s">
        <v>178</v>
      </c>
      <c r="B62" s="155"/>
      <c r="C62" s="13" t="s">
        <v>217</v>
      </c>
      <c r="D62" s="21" t="s">
        <v>221</v>
      </c>
      <c r="E62" s="13">
        <v>1</v>
      </c>
      <c r="F62" s="21">
        <v>1</v>
      </c>
      <c r="G62" s="13" t="s">
        <v>176</v>
      </c>
      <c r="H62" s="13" t="s">
        <v>180</v>
      </c>
      <c r="I62" s="13" t="s">
        <v>177</v>
      </c>
      <c r="J62" s="13">
        <v>1</v>
      </c>
      <c r="K62" s="126" t="s">
        <v>209</v>
      </c>
      <c r="L62" s="99">
        <v>49445</v>
      </c>
      <c r="M62" s="129">
        <v>20.626663440600002</v>
      </c>
      <c r="N62" s="99">
        <v>54394</v>
      </c>
      <c r="O62" s="129">
        <v>22.691207021700802</v>
      </c>
      <c r="P62" s="140">
        <v>239714</v>
      </c>
      <c r="Q62" s="42">
        <v>3500000</v>
      </c>
      <c r="R62" s="14">
        <f t="shared" si="2"/>
        <v>3150000</v>
      </c>
      <c r="S62" s="23">
        <v>0</v>
      </c>
      <c r="T62" s="25">
        <f>R62*F62</f>
        <v>3150000</v>
      </c>
      <c r="U62" s="39">
        <f t="shared" si="1"/>
        <v>22500</v>
      </c>
    </row>
    <row r="63" spans="1:21" s="28" customFormat="1" ht="15" customHeight="1">
      <c r="A63" s="13" t="s">
        <v>178</v>
      </c>
      <c r="B63" s="155"/>
      <c r="C63" s="13" t="s">
        <v>217</v>
      </c>
      <c r="D63" s="21" t="s">
        <v>222</v>
      </c>
      <c r="E63" s="13">
        <v>1</v>
      </c>
      <c r="F63" s="21">
        <v>1</v>
      </c>
      <c r="G63" s="13" t="s">
        <v>176</v>
      </c>
      <c r="H63" s="13" t="s">
        <v>180</v>
      </c>
      <c r="I63" s="13" t="s">
        <v>177</v>
      </c>
      <c r="J63" s="13">
        <v>1</v>
      </c>
      <c r="K63" s="126" t="s">
        <v>209</v>
      </c>
      <c r="L63" s="99">
        <v>24019</v>
      </c>
      <c r="M63" s="129">
        <v>10.0198569962538</v>
      </c>
      <c r="N63" s="99">
        <v>26423</v>
      </c>
      <c r="O63" s="129">
        <v>11.0227187398316</v>
      </c>
      <c r="P63" s="140">
        <v>239714</v>
      </c>
      <c r="Q63" s="42">
        <v>3500000</v>
      </c>
      <c r="R63" s="14">
        <f t="shared" si="2"/>
        <v>3150000</v>
      </c>
      <c r="S63" s="23">
        <v>0</v>
      </c>
      <c r="T63" s="25">
        <f>R63*F63</f>
        <v>3150000</v>
      </c>
      <c r="U63" s="39">
        <f t="shared" si="1"/>
        <v>22500</v>
      </c>
    </row>
    <row r="64" spans="1:21" s="28" customFormat="1" ht="15" customHeight="1">
      <c r="A64" s="13" t="s">
        <v>178</v>
      </c>
      <c r="B64" s="155"/>
      <c r="C64" s="13" t="s">
        <v>217</v>
      </c>
      <c r="D64" s="21" t="s">
        <v>223</v>
      </c>
      <c r="E64" s="13">
        <v>1</v>
      </c>
      <c r="F64" s="21">
        <v>1</v>
      </c>
      <c r="G64" s="13" t="s">
        <v>176</v>
      </c>
      <c r="H64" s="13" t="s">
        <v>180</v>
      </c>
      <c r="I64" s="13" t="s">
        <v>177</v>
      </c>
      <c r="J64" s="13">
        <v>1</v>
      </c>
      <c r="K64" s="126" t="s">
        <v>209</v>
      </c>
      <c r="L64" s="99">
        <v>48252</v>
      </c>
      <c r="M64" s="129">
        <v>20.1289870428927</v>
      </c>
      <c r="N64" s="99">
        <v>53079</v>
      </c>
      <c r="O64" s="129">
        <v>22.142636641998301</v>
      </c>
      <c r="P64" s="140">
        <v>239714</v>
      </c>
      <c r="Q64" s="42">
        <v>3500000</v>
      </c>
      <c r="R64" s="14">
        <f t="shared" si="2"/>
        <v>3150000</v>
      </c>
      <c r="S64" s="23">
        <v>0</v>
      </c>
      <c r="T64" s="25">
        <f>R64*F64</f>
        <v>3150000</v>
      </c>
      <c r="U64" s="39">
        <f t="shared" si="1"/>
        <v>22500</v>
      </c>
    </row>
    <row r="65" spans="1:21" s="28" customFormat="1" ht="15" customHeight="1">
      <c r="A65" s="13" t="s">
        <v>178</v>
      </c>
      <c r="B65" s="155"/>
      <c r="C65" s="13" t="s">
        <v>217</v>
      </c>
      <c r="D65" s="21" t="s">
        <v>224</v>
      </c>
      <c r="E65" s="13">
        <v>1</v>
      </c>
      <c r="F65" s="21">
        <v>1</v>
      </c>
      <c r="G65" s="13" t="s">
        <v>176</v>
      </c>
      <c r="H65" s="13" t="s">
        <v>180</v>
      </c>
      <c r="I65" s="13" t="s">
        <v>177</v>
      </c>
      <c r="J65" s="13">
        <v>1</v>
      </c>
      <c r="K65" s="126" t="s">
        <v>209</v>
      </c>
      <c r="L65" s="99">
        <v>62304</v>
      </c>
      <c r="M65" s="129">
        <v>25.990972575652599</v>
      </c>
      <c r="N65" s="99">
        <v>68537</v>
      </c>
      <c r="O65" s="129">
        <v>28.591154459063699</v>
      </c>
      <c r="P65" s="140">
        <v>239714</v>
      </c>
      <c r="Q65" s="42">
        <v>3500000</v>
      </c>
      <c r="R65" s="14">
        <f t="shared" si="2"/>
        <v>3150000</v>
      </c>
      <c r="S65" s="23">
        <v>0</v>
      </c>
      <c r="T65" s="25">
        <f>R65*F65</f>
        <v>3150000</v>
      </c>
      <c r="U65" s="39">
        <f t="shared" si="1"/>
        <v>22500</v>
      </c>
    </row>
    <row r="66" spans="1:21" s="28" customFormat="1" ht="15" customHeight="1">
      <c r="A66" s="13" t="s">
        <v>178</v>
      </c>
      <c r="B66" s="155"/>
      <c r="C66" s="13" t="s">
        <v>217</v>
      </c>
      <c r="D66" s="21" t="s">
        <v>225</v>
      </c>
      <c r="E66" s="13">
        <v>1</v>
      </c>
      <c r="F66" s="21">
        <v>1</v>
      </c>
      <c r="G66" s="13" t="s">
        <v>176</v>
      </c>
      <c r="H66" s="13" t="s">
        <v>180</v>
      </c>
      <c r="I66" s="13" t="s">
        <v>177</v>
      </c>
      <c r="J66" s="13">
        <v>1</v>
      </c>
      <c r="K66" s="126" t="s">
        <v>209</v>
      </c>
      <c r="L66" s="99">
        <v>47766</v>
      </c>
      <c r="M66" s="129">
        <v>19.926245442485602</v>
      </c>
      <c r="N66" s="99">
        <v>52544</v>
      </c>
      <c r="O66" s="129">
        <v>21.919454016035701</v>
      </c>
      <c r="P66" s="140">
        <v>239714</v>
      </c>
      <c r="Q66" s="42">
        <v>3500000</v>
      </c>
      <c r="R66" s="14">
        <f t="shared" si="2"/>
        <v>3150000</v>
      </c>
      <c r="S66" s="23">
        <v>0</v>
      </c>
      <c r="T66" s="25">
        <f>R66*F66</f>
        <v>3150000</v>
      </c>
      <c r="U66" s="39">
        <f t="shared" si="1"/>
        <v>22500</v>
      </c>
    </row>
    <row r="67" spans="1:21" s="28" customFormat="1" ht="15" customHeight="1">
      <c r="A67" s="13" t="s">
        <v>178</v>
      </c>
      <c r="B67" s="155"/>
      <c r="C67" s="13" t="s">
        <v>217</v>
      </c>
      <c r="D67" s="21" t="s">
        <v>226</v>
      </c>
      <c r="E67" s="13">
        <v>1</v>
      </c>
      <c r="F67" s="21">
        <v>1</v>
      </c>
      <c r="G67" s="13" t="s">
        <v>176</v>
      </c>
      <c r="H67" s="13" t="s">
        <v>180</v>
      </c>
      <c r="I67" s="13" t="s">
        <v>177</v>
      </c>
      <c r="J67" s="13">
        <v>1</v>
      </c>
      <c r="K67" s="126" t="s">
        <v>209</v>
      </c>
      <c r="L67" s="99">
        <v>79103</v>
      </c>
      <c r="M67" s="129">
        <v>32.998907030878399</v>
      </c>
      <c r="N67" s="99">
        <v>82725</v>
      </c>
      <c r="O67" s="129">
        <v>34.509874266834601</v>
      </c>
      <c r="P67" s="140">
        <v>239714</v>
      </c>
      <c r="Q67" s="42">
        <v>3500000</v>
      </c>
      <c r="R67" s="14">
        <f t="shared" si="2"/>
        <v>3150000</v>
      </c>
      <c r="S67" s="23">
        <v>0</v>
      </c>
      <c r="T67" s="25">
        <f>R67*F67</f>
        <v>3150000</v>
      </c>
      <c r="U67" s="39">
        <f t="shared" si="1"/>
        <v>22500</v>
      </c>
    </row>
    <row r="68" spans="1:21" s="28" customFormat="1" ht="15" customHeight="1">
      <c r="A68" s="13" t="s">
        <v>178</v>
      </c>
      <c r="B68" s="155"/>
      <c r="C68" s="13" t="s">
        <v>217</v>
      </c>
      <c r="D68" s="21" t="s">
        <v>227</v>
      </c>
      <c r="E68" s="13">
        <v>1</v>
      </c>
      <c r="F68" s="21">
        <v>1</v>
      </c>
      <c r="G68" s="13" t="s">
        <v>176</v>
      </c>
      <c r="H68" s="13" t="s">
        <v>180</v>
      </c>
      <c r="I68" s="13" t="s">
        <v>177</v>
      </c>
      <c r="J68" s="13">
        <v>1</v>
      </c>
      <c r="K68" s="126" t="s">
        <v>209</v>
      </c>
      <c r="L68" s="99">
        <v>13815</v>
      </c>
      <c r="M68" s="129">
        <v>5.76311771527737</v>
      </c>
      <c r="N68" s="99">
        <v>15200</v>
      </c>
      <c r="O68" s="129">
        <v>6.34088956005907</v>
      </c>
      <c r="P68" s="140">
        <v>239714</v>
      </c>
      <c r="Q68" s="42">
        <v>3500000</v>
      </c>
      <c r="R68" s="14">
        <f t="shared" si="2"/>
        <v>3150000</v>
      </c>
      <c r="S68" s="23">
        <v>0</v>
      </c>
      <c r="T68" s="25">
        <f>R68*F68</f>
        <v>3150000</v>
      </c>
      <c r="U68" s="39">
        <f t="shared" si="1"/>
        <v>22500</v>
      </c>
    </row>
    <row r="69" spans="1:21" s="28" customFormat="1" ht="15" customHeight="1">
      <c r="A69" s="13" t="s">
        <v>178</v>
      </c>
      <c r="B69" s="155"/>
      <c r="C69" s="13" t="s">
        <v>217</v>
      </c>
      <c r="D69" s="21" t="s">
        <v>304</v>
      </c>
      <c r="E69" s="13">
        <v>1</v>
      </c>
      <c r="F69" s="21">
        <v>1</v>
      </c>
      <c r="G69" s="13" t="s">
        <v>176</v>
      </c>
      <c r="H69" s="13" t="s">
        <v>180</v>
      </c>
      <c r="I69" s="13" t="s">
        <v>177</v>
      </c>
      <c r="J69" s="13">
        <v>1</v>
      </c>
      <c r="K69" s="126" t="s">
        <v>209</v>
      </c>
      <c r="L69" s="99">
        <v>221244</v>
      </c>
      <c r="M69" s="129">
        <v>92.2949848569545</v>
      </c>
      <c r="N69" s="99">
        <v>243364</v>
      </c>
      <c r="O69" s="129">
        <v>101.52264782198699</v>
      </c>
      <c r="P69" s="140">
        <v>239714</v>
      </c>
      <c r="Q69" s="42">
        <v>8500000</v>
      </c>
      <c r="R69" s="14">
        <f t="shared" ref="R69:R73" si="5">Q69*(1-10% )</f>
        <v>7650000</v>
      </c>
      <c r="S69" s="23">
        <v>0</v>
      </c>
      <c r="T69" s="25">
        <f>R69*F69</f>
        <v>7650000</v>
      </c>
      <c r="U69" s="39">
        <f t="shared" ref="U69:U73" si="6">T69/140</f>
        <v>54642.857142857145</v>
      </c>
    </row>
    <row r="70" spans="1:21" s="28" customFormat="1" ht="15" customHeight="1">
      <c r="A70" s="13" t="s">
        <v>178</v>
      </c>
      <c r="B70" s="155"/>
      <c r="C70" s="13" t="s">
        <v>217</v>
      </c>
      <c r="D70" s="26" t="s">
        <v>305</v>
      </c>
      <c r="E70" s="13">
        <v>1</v>
      </c>
      <c r="F70" s="21">
        <v>1</v>
      </c>
      <c r="G70" s="13" t="s">
        <v>176</v>
      </c>
      <c r="H70" s="13" t="s">
        <v>180</v>
      </c>
      <c r="I70" s="13" t="s">
        <v>177</v>
      </c>
      <c r="J70" s="13">
        <v>1</v>
      </c>
      <c r="K70" s="126" t="s">
        <v>209</v>
      </c>
      <c r="L70" s="99">
        <v>118796</v>
      </c>
      <c r="M70" s="129">
        <v>49.557389222156402</v>
      </c>
      <c r="N70" s="99">
        <v>130679</v>
      </c>
      <c r="O70" s="129">
        <v>54.514546501247303</v>
      </c>
      <c r="P70" s="140">
        <v>239714</v>
      </c>
      <c r="Q70" s="42">
        <v>8500000</v>
      </c>
      <c r="R70" s="14">
        <f t="shared" si="5"/>
        <v>7650000</v>
      </c>
      <c r="S70" s="23">
        <v>0</v>
      </c>
      <c r="T70" s="25">
        <f>R70*F70</f>
        <v>7650000</v>
      </c>
      <c r="U70" s="39">
        <f t="shared" si="6"/>
        <v>54642.857142857145</v>
      </c>
    </row>
    <row r="71" spans="1:21" s="28" customFormat="1" ht="15" customHeight="1">
      <c r="A71" s="13" t="s">
        <v>178</v>
      </c>
      <c r="B71" s="155"/>
      <c r="C71" s="13" t="s">
        <v>217</v>
      </c>
      <c r="D71" s="77" t="s">
        <v>306</v>
      </c>
      <c r="E71" s="13">
        <v>1</v>
      </c>
      <c r="F71" s="21">
        <v>1</v>
      </c>
      <c r="G71" s="13" t="s">
        <v>176</v>
      </c>
      <c r="H71" s="13" t="s">
        <v>180</v>
      </c>
      <c r="I71" s="13" t="s">
        <v>177</v>
      </c>
      <c r="J71" s="13">
        <v>1</v>
      </c>
      <c r="K71" s="126" t="s">
        <v>209</v>
      </c>
      <c r="L71" s="99">
        <v>63646</v>
      </c>
      <c r="M71" s="129">
        <v>26.550806377599901</v>
      </c>
      <c r="N71" s="99">
        <v>70011</v>
      </c>
      <c r="O71" s="129">
        <v>29.206053880874698</v>
      </c>
      <c r="P71" s="140">
        <v>239714</v>
      </c>
      <c r="Q71" s="42">
        <v>3500000</v>
      </c>
      <c r="R71" s="14">
        <f t="shared" si="5"/>
        <v>3150000</v>
      </c>
      <c r="S71" s="23">
        <v>0</v>
      </c>
      <c r="T71" s="25">
        <f>R71*F71</f>
        <v>3150000</v>
      </c>
      <c r="U71" s="39">
        <f t="shared" si="6"/>
        <v>22500</v>
      </c>
    </row>
    <row r="72" spans="1:21" s="28" customFormat="1" ht="15" customHeight="1">
      <c r="A72" s="13" t="s">
        <v>178</v>
      </c>
      <c r="B72" s="155"/>
      <c r="C72" s="13" t="s">
        <v>217</v>
      </c>
      <c r="D72" s="78" t="s">
        <v>307</v>
      </c>
      <c r="E72" s="13">
        <v>1</v>
      </c>
      <c r="F72" s="21">
        <v>1</v>
      </c>
      <c r="G72" s="13" t="s">
        <v>176</v>
      </c>
      <c r="H72" s="13" t="s">
        <v>180</v>
      </c>
      <c r="I72" s="13" t="s">
        <v>177</v>
      </c>
      <c r="J72" s="13">
        <v>1</v>
      </c>
      <c r="K72" s="126" t="s">
        <v>209</v>
      </c>
      <c r="L72" s="99">
        <v>28279</v>
      </c>
      <c r="M72" s="129">
        <v>11.7969747282177</v>
      </c>
      <c r="N72" s="99">
        <v>31107</v>
      </c>
      <c r="O72" s="129">
        <v>12.9767139174182</v>
      </c>
      <c r="P72" s="140">
        <v>239714</v>
      </c>
      <c r="Q72" s="42">
        <v>3500000</v>
      </c>
      <c r="R72" s="14">
        <f t="shared" si="5"/>
        <v>3150000</v>
      </c>
      <c r="S72" s="23">
        <v>0</v>
      </c>
      <c r="T72" s="25">
        <f>R72*F72</f>
        <v>3150000</v>
      </c>
      <c r="U72" s="39">
        <f t="shared" si="6"/>
        <v>22500</v>
      </c>
    </row>
    <row r="73" spans="1:21" s="28" customFormat="1" ht="15" customHeight="1">
      <c r="A73" s="13" t="s">
        <v>178</v>
      </c>
      <c r="B73" s="156"/>
      <c r="C73" s="13" t="s">
        <v>217</v>
      </c>
      <c r="D73" s="77" t="s">
        <v>308</v>
      </c>
      <c r="E73" s="13">
        <v>1</v>
      </c>
      <c r="F73" s="21">
        <v>1</v>
      </c>
      <c r="G73" s="13" t="s">
        <v>176</v>
      </c>
      <c r="H73" s="13" t="s">
        <v>180</v>
      </c>
      <c r="I73" s="13" t="s">
        <v>177</v>
      </c>
      <c r="J73" s="13">
        <v>1</v>
      </c>
      <c r="K73" s="126" t="s">
        <v>209</v>
      </c>
      <c r="L73" s="99">
        <v>187666</v>
      </c>
      <c r="M73" s="129">
        <v>78.287459222239804</v>
      </c>
      <c r="N73" s="99">
        <v>202570</v>
      </c>
      <c r="O73" s="129">
        <v>84.504868301392406</v>
      </c>
      <c r="P73" s="140">
        <v>239714</v>
      </c>
      <c r="Q73" s="42">
        <v>3500000</v>
      </c>
      <c r="R73" s="14">
        <f t="shared" si="5"/>
        <v>3150000</v>
      </c>
      <c r="S73" s="23">
        <v>0</v>
      </c>
      <c r="T73" s="25">
        <f>R73*F73</f>
        <v>3150000</v>
      </c>
      <c r="U73" s="39">
        <f t="shared" si="6"/>
        <v>22500</v>
      </c>
    </row>
    <row r="74" spans="1:21" s="28" customFormat="1" ht="15" customHeight="1">
      <c r="A74" s="13" t="s">
        <v>234</v>
      </c>
      <c r="B74" s="154" t="s">
        <v>179</v>
      </c>
      <c r="C74" s="13" t="s">
        <v>217</v>
      </c>
      <c r="D74" s="21" t="s">
        <v>235</v>
      </c>
      <c r="E74" s="13">
        <v>1</v>
      </c>
      <c r="F74" s="21">
        <v>1</v>
      </c>
      <c r="G74" s="13" t="s">
        <v>238</v>
      </c>
      <c r="H74" s="13" t="s">
        <v>195</v>
      </c>
      <c r="I74" s="13" t="s">
        <v>195</v>
      </c>
      <c r="J74" s="13" t="s">
        <v>195</v>
      </c>
      <c r="K74" s="127" t="s">
        <v>195</v>
      </c>
      <c r="L74" s="99">
        <v>121336</v>
      </c>
      <c r="M74" s="129">
        <v>50.616985240745201</v>
      </c>
      <c r="N74" s="99">
        <v>133473</v>
      </c>
      <c r="O74" s="129">
        <v>55.680102121695001</v>
      </c>
      <c r="P74" s="140">
        <v>239714</v>
      </c>
      <c r="Q74" s="42">
        <v>2500000</v>
      </c>
      <c r="R74" s="14">
        <f t="shared" si="2"/>
        <v>2250000</v>
      </c>
      <c r="S74" s="14">
        <v>1500000</v>
      </c>
      <c r="T74" s="25">
        <f>R74*F74</f>
        <v>2250000</v>
      </c>
      <c r="U74" s="39">
        <f t="shared" si="1"/>
        <v>16071.428571428571</v>
      </c>
    </row>
    <row r="75" spans="1:21" s="28" customFormat="1" ht="15" customHeight="1">
      <c r="A75" s="13" t="s">
        <v>234</v>
      </c>
      <c r="B75" s="155"/>
      <c r="C75" s="13" t="s">
        <v>217</v>
      </c>
      <c r="D75" s="21" t="s">
        <v>235</v>
      </c>
      <c r="E75" s="13">
        <v>1</v>
      </c>
      <c r="F75" s="21">
        <v>1</v>
      </c>
      <c r="G75" s="13" t="s">
        <v>238</v>
      </c>
      <c r="H75" s="13" t="s">
        <v>195</v>
      </c>
      <c r="I75" s="13" t="s">
        <v>195</v>
      </c>
      <c r="J75" s="13" t="s">
        <v>195</v>
      </c>
      <c r="K75" s="127" t="s">
        <v>195</v>
      </c>
      <c r="L75" s="99">
        <v>188490</v>
      </c>
      <c r="M75" s="129">
        <v>78.631202182600902</v>
      </c>
      <c r="N75" s="99">
        <v>207342</v>
      </c>
      <c r="O75" s="129">
        <v>86.495573892221501</v>
      </c>
      <c r="P75" s="140">
        <v>239714</v>
      </c>
      <c r="Q75" s="42">
        <v>2500000</v>
      </c>
      <c r="R75" s="14">
        <f t="shared" si="2"/>
        <v>2250000</v>
      </c>
      <c r="S75" s="14">
        <v>1500000</v>
      </c>
      <c r="T75" s="25">
        <f>R75*F75</f>
        <v>2250000</v>
      </c>
      <c r="U75" s="39">
        <f t="shared" si="1"/>
        <v>16071.428571428571</v>
      </c>
    </row>
    <row r="76" spans="1:21" s="28" customFormat="1" ht="15" customHeight="1">
      <c r="A76" s="13" t="s">
        <v>234</v>
      </c>
      <c r="B76" s="155"/>
      <c r="C76" s="13" t="s">
        <v>217</v>
      </c>
      <c r="D76" s="21" t="s">
        <v>235</v>
      </c>
      <c r="E76" s="13">
        <v>1</v>
      </c>
      <c r="F76" s="21">
        <v>1</v>
      </c>
      <c r="G76" s="13" t="s">
        <v>238</v>
      </c>
      <c r="H76" s="13" t="s">
        <v>195</v>
      </c>
      <c r="I76" s="13" t="s">
        <v>195</v>
      </c>
      <c r="J76" s="13" t="s">
        <v>195</v>
      </c>
      <c r="K76" s="127" t="s">
        <v>195</v>
      </c>
      <c r="L76" s="99">
        <v>254207</v>
      </c>
      <c r="M76" s="129">
        <v>106.045954762758</v>
      </c>
      <c r="N76" s="99">
        <v>279630</v>
      </c>
      <c r="O76" s="129">
        <v>116.651509715744</v>
      </c>
      <c r="P76" s="140">
        <v>239714</v>
      </c>
      <c r="Q76" s="42">
        <v>2500000</v>
      </c>
      <c r="R76" s="14">
        <f t="shared" si="2"/>
        <v>2250000</v>
      </c>
      <c r="S76" s="14">
        <v>1500000</v>
      </c>
      <c r="T76" s="25">
        <f>R76*F76</f>
        <v>2250000</v>
      </c>
      <c r="U76" s="39">
        <f t="shared" si="1"/>
        <v>16071.428571428571</v>
      </c>
    </row>
    <row r="77" spans="1:21" s="28" customFormat="1" ht="15" customHeight="1">
      <c r="A77" s="13" t="s">
        <v>234</v>
      </c>
      <c r="B77" s="155"/>
      <c r="C77" s="13" t="s">
        <v>217</v>
      </c>
      <c r="D77" s="21" t="s">
        <v>235</v>
      </c>
      <c r="E77" s="13">
        <v>1</v>
      </c>
      <c r="F77" s="21">
        <v>1</v>
      </c>
      <c r="G77" s="13" t="s">
        <v>238</v>
      </c>
      <c r="H77" s="13" t="s">
        <v>195</v>
      </c>
      <c r="I77" s="13" t="s">
        <v>195</v>
      </c>
      <c r="J77" s="13" t="s">
        <v>195</v>
      </c>
      <c r="K77" s="127" t="s">
        <v>195</v>
      </c>
      <c r="L77" s="99">
        <v>110111</v>
      </c>
      <c r="M77" s="129">
        <v>45.934321733398903</v>
      </c>
      <c r="N77" s="99">
        <v>121124</v>
      </c>
      <c r="O77" s="129">
        <v>50.528546517933798</v>
      </c>
      <c r="P77" s="140">
        <v>239714</v>
      </c>
      <c r="Q77" s="42">
        <v>2500000</v>
      </c>
      <c r="R77" s="14">
        <f t="shared" si="2"/>
        <v>2250000</v>
      </c>
      <c r="S77" s="14">
        <v>1500000</v>
      </c>
      <c r="T77" s="25">
        <f>R77*F77</f>
        <v>2250000</v>
      </c>
      <c r="U77" s="39">
        <f t="shared" si="1"/>
        <v>16071.428571428571</v>
      </c>
    </row>
    <row r="78" spans="1:21" s="28" customFormat="1" ht="15" customHeight="1">
      <c r="A78" s="13" t="s">
        <v>234</v>
      </c>
      <c r="B78" s="155"/>
      <c r="C78" s="13" t="s">
        <v>217</v>
      </c>
      <c r="D78" s="21" t="s">
        <v>235</v>
      </c>
      <c r="E78" s="13">
        <v>1</v>
      </c>
      <c r="F78" s="21">
        <v>1</v>
      </c>
      <c r="G78" s="13" t="s">
        <v>238</v>
      </c>
      <c r="H78" s="13" t="s">
        <v>195</v>
      </c>
      <c r="I78" s="13" t="s">
        <v>195</v>
      </c>
      <c r="J78" s="13" t="s">
        <v>195</v>
      </c>
      <c r="K78" s="127" t="s">
        <v>195</v>
      </c>
      <c r="L78" s="99">
        <v>119983</v>
      </c>
      <c r="M78" s="129">
        <v>50.052562637142501</v>
      </c>
      <c r="N78" s="99">
        <v>131979</v>
      </c>
      <c r="O78" s="129">
        <v>55.056859424147099</v>
      </c>
      <c r="P78" s="140">
        <v>239714</v>
      </c>
      <c r="Q78" s="42">
        <v>2500000</v>
      </c>
      <c r="R78" s="14">
        <f t="shared" si="2"/>
        <v>2250000</v>
      </c>
      <c r="S78" s="14">
        <v>1500000</v>
      </c>
      <c r="T78" s="25">
        <f>R78*F78</f>
        <v>2250000</v>
      </c>
      <c r="U78" s="39">
        <f t="shared" si="1"/>
        <v>16071.428571428571</v>
      </c>
    </row>
    <row r="79" spans="1:21" s="28" customFormat="1" ht="15" customHeight="1">
      <c r="A79" s="13" t="s">
        <v>234</v>
      </c>
      <c r="B79" s="155"/>
      <c r="C79" s="13" t="s">
        <v>210</v>
      </c>
      <c r="D79" s="21" t="s">
        <v>235</v>
      </c>
      <c r="E79" s="13">
        <v>1</v>
      </c>
      <c r="F79" s="21">
        <v>1</v>
      </c>
      <c r="G79" s="13" t="s">
        <v>238</v>
      </c>
      <c r="H79" s="13" t="s">
        <v>195</v>
      </c>
      <c r="I79" s="13" t="s">
        <v>195</v>
      </c>
      <c r="J79" s="13" t="s">
        <v>195</v>
      </c>
      <c r="K79" s="127" t="s">
        <v>195</v>
      </c>
      <c r="L79" s="99">
        <v>42850</v>
      </c>
      <c r="M79" s="129">
        <v>27.225190766943399</v>
      </c>
      <c r="N79" s="99">
        <v>47138</v>
      </c>
      <c r="O79" s="129">
        <v>29.949615924671601</v>
      </c>
      <c r="P79" s="140">
        <v>157391</v>
      </c>
      <c r="Q79" s="42">
        <v>2500000</v>
      </c>
      <c r="R79" s="14">
        <f>Q79*(1-10% )</f>
        <v>2250000</v>
      </c>
      <c r="S79" s="14">
        <v>1500000</v>
      </c>
      <c r="T79" s="25">
        <f>R79*F79</f>
        <v>2250000</v>
      </c>
      <c r="U79" s="39">
        <f>T79/140</f>
        <v>16071.428571428571</v>
      </c>
    </row>
    <row r="80" spans="1:21" s="28" customFormat="1" ht="15" customHeight="1">
      <c r="A80" s="13" t="s">
        <v>234</v>
      </c>
      <c r="B80" s="155"/>
      <c r="C80" s="13" t="s">
        <v>210</v>
      </c>
      <c r="D80" s="21" t="s">
        <v>235</v>
      </c>
      <c r="E80" s="13">
        <v>1</v>
      </c>
      <c r="F80" s="21">
        <v>1</v>
      </c>
      <c r="G80" s="13" t="s">
        <v>238</v>
      </c>
      <c r="H80" s="13" t="s">
        <v>195</v>
      </c>
      <c r="I80" s="13" t="s">
        <v>195</v>
      </c>
      <c r="J80" s="13" t="s">
        <v>195</v>
      </c>
      <c r="K80" s="127" t="s">
        <v>195</v>
      </c>
      <c r="L80" s="99">
        <v>71731</v>
      </c>
      <c r="M80" s="129">
        <v>45.575032879897797</v>
      </c>
      <c r="N80" s="99">
        <v>78908</v>
      </c>
      <c r="O80" s="129">
        <v>50.135014073231602</v>
      </c>
      <c r="P80" s="140">
        <v>157391</v>
      </c>
      <c r="Q80" s="42">
        <v>2500000</v>
      </c>
      <c r="R80" s="14">
        <f>Q80*(1-10% )</f>
        <v>2250000</v>
      </c>
      <c r="S80" s="14">
        <v>1500000</v>
      </c>
      <c r="T80" s="25">
        <f>R80*F80</f>
        <v>2250000</v>
      </c>
      <c r="U80" s="39">
        <f>T80/140</f>
        <v>16071.428571428571</v>
      </c>
    </row>
    <row r="81" spans="1:21" s="28" customFormat="1" ht="15" customHeight="1">
      <c r="A81" s="13" t="s">
        <v>234</v>
      </c>
      <c r="B81" s="155"/>
      <c r="C81" s="13" t="s">
        <v>210</v>
      </c>
      <c r="D81" s="21" t="s">
        <v>235</v>
      </c>
      <c r="E81" s="13">
        <v>1</v>
      </c>
      <c r="F81" s="21">
        <v>1</v>
      </c>
      <c r="G81" s="13" t="s">
        <v>238</v>
      </c>
      <c r="H81" s="13" t="s">
        <v>195</v>
      </c>
      <c r="I81" s="13" t="s">
        <v>195</v>
      </c>
      <c r="J81" s="13" t="s">
        <v>195</v>
      </c>
      <c r="K81" s="127" t="s">
        <v>195</v>
      </c>
      <c r="L81" s="99">
        <v>64100</v>
      </c>
      <c r="M81" s="129">
        <v>40.726598090106798</v>
      </c>
      <c r="N81" s="99">
        <v>70512</v>
      </c>
      <c r="O81" s="129">
        <v>44.800528619806698</v>
      </c>
      <c r="P81" s="140">
        <v>157391</v>
      </c>
      <c r="Q81" s="42">
        <v>2500000</v>
      </c>
      <c r="R81" s="14">
        <f>Q81*(1-10% )</f>
        <v>2250000</v>
      </c>
      <c r="S81" s="14">
        <v>1500000</v>
      </c>
      <c r="T81" s="25">
        <f>R81*F81</f>
        <v>2250000</v>
      </c>
      <c r="U81" s="39">
        <f>T81/140</f>
        <v>16071.428571428571</v>
      </c>
    </row>
    <row r="82" spans="1:21" s="28" customFormat="1" ht="15" customHeight="1" thickBot="1">
      <c r="A82" s="13" t="s">
        <v>234</v>
      </c>
      <c r="B82" s="156"/>
      <c r="C82" s="13" t="s">
        <v>210</v>
      </c>
      <c r="D82" s="21" t="s">
        <v>235</v>
      </c>
      <c r="E82" s="13">
        <v>1</v>
      </c>
      <c r="F82" s="21">
        <v>1</v>
      </c>
      <c r="G82" s="13" t="s">
        <v>238</v>
      </c>
      <c r="H82" s="13" t="s">
        <v>195</v>
      </c>
      <c r="I82" s="13" t="s">
        <v>195</v>
      </c>
      <c r="J82" s="13" t="s">
        <v>195</v>
      </c>
      <c r="K82" s="127" t="s">
        <v>195</v>
      </c>
      <c r="L82" s="136">
        <v>81983</v>
      </c>
      <c r="M82" s="137">
        <v>52.088747132936398</v>
      </c>
      <c r="N82" s="141">
        <v>90182</v>
      </c>
      <c r="O82" s="142">
        <v>57.298066598471301</v>
      </c>
      <c r="P82" s="139">
        <v>157391</v>
      </c>
      <c r="Q82" s="42">
        <v>2500000</v>
      </c>
      <c r="R82" s="14">
        <f>Q82*(1-10% )</f>
        <v>2250000</v>
      </c>
      <c r="S82" s="14">
        <v>1500000</v>
      </c>
      <c r="T82" s="25">
        <f>R82*F82</f>
        <v>2250000</v>
      </c>
      <c r="U82" s="39">
        <f>T82/140</f>
        <v>16071.428571428571</v>
      </c>
    </row>
    <row r="83" spans="1:21" s="4" customFormat="1" ht="20" thickBot="1">
      <c r="A83" s="35"/>
      <c r="B83" s="35"/>
      <c r="C83" s="36"/>
      <c r="D83" s="37"/>
      <c r="E83" s="38"/>
      <c r="F83" s="38"/>
      <c r="G83" s="38"/>
      <c r="H83" s="38"/>
      <c r="I83" s="38"/>
      <c r="J83" s="38"/>
      <c r="K83" s="128"/>
      <c r="L83" s="133">
        <f>SUM(L5:L82)</f>
        <v>19159771</v>
      </c>
      <c r="M83" s="134"/>
      <c r="N83" s="143">
        <f>SUM(N5:N82)</f>
        <v>21889565</v>
      </c>
      <c r="O83" s="144"/>
      <c r="P83" s="145"/>
      <c r="Q83" s="44">
        <f>SUM(Q5:Q82)</f>
        <v>379300000</v>
      </c>
      <c r="R83" s="44">
        <f t="shared" ref="R83:S83" si="7">SUM(R5:R82)</f>
        <v>336845000</v>
      </c>
      <c r="S83" s="44">
        <f t="shared" si="7"/>
        <v>13500000</v>
      </c>
      <c r="T83" s="44">
        <f>SUM(T5:T82)</f>
        <v>336845000</v>
      </c>
      <c r="U83" s="40">
        <f>SUM(U5:U82)</f>
        <v>2406035.714285715</v>
      </c>
    </row>
    <row r="84" spans="1:21">
      <c r="A84" s="8"/>
      <c r="B84" s="8"/>
      <c r="Q84" s="9"/>
      <c r="R84" s="9"/>
      <c r="S84" s="9"/>
      <c r="T84" s="10"/>
      <c r="U84" s="10"/>
    </row>
    <row r="85" spans="1:21">
      <c r="T85" s="10"/>
      <c r="U85" s="10"/>
    </row>
    <row r="86" spans="1:21" ht="17" thickBot="1"/>
    <row r="87" spans="1:21" s="102" customFormat="1" ht="25" customHeight="1">
      <c r="A87" s="100"/>
      <c r="B87" s="100"/>
      <c r="C87" s="100"/>
      <c r="D87" s="100"/>
      <c r="E87" s="100"/>
      <c r="F87" s="100"/>
      <c r="G87" s="101"/>
      <c r="H87" s="100"/>
      <c r="I87" s="100"/>
      <c r="J87" s="100"/>
      <c r="K87" s="100"/>
      <c r="Q87" s="103"/>
      <c r="R87" s="100"/>
      <c r="S87" s="118" t="s">
        <v>323</v>
      </c>
      <c r="T87" s="104">
        <f>T83</f>
        <v>336845000</v>
      </c>
      <c r="U87" s="105"/>
    </row>
    <row r="88" spans="1:21" s="102" customFormat="1" ht="25" customHeight="1">
      <c r="A88" s="100"/>
      <c r="B88" s="100"/>
      <c r="C88" s="100"/>
      <c r="D88" s="100"/>
      <c r="E88" s="100"/>
      <c r="F88" s="100"/>
      <c r="G88" s="101"/>
      <c r="H88" s="100"/>
      <c r="I88" s="100"/>
      <c r="J88" s="100"/>
      <c r="K88" s="100"/>
      <c r="L88" s="123"/>
      <c r="M88" s="123"/>
      <c r="Q88" s="103"/>
      <c r="R88" s="100"/>
      <c r="S88" s="119" t="s">
        <v>324</v>
      </c>
      <c r="T88" s="120">
        <f>S83</f>
        <v>13500000</v>
      </c>
      <c r="U88" s="105"/>
    </row>
    <row r="89" spans="1:21" s="102" customFormat="1" ht="25" customHeight="1">
      <c r="A89" s="100"/>
      <c r="B89" s="100"/>
      <c r="C89" s="100"/>
      <c r="D89" s="100"/>
      <c r="E89" s="100"/>
      <c r="F89" s="100"/>
      <c r="G89" s="101"/>
      <c r="H89" s="100"/>
      <c r="I89" s="100"/>
      <c r="J89" s="100"/>
      <c r="K89" s="100"/>
      <c r="Q89" s="103"/>
      <c r="R89" s="100"/>
      <c r="S89" s="121" t="s">
        <v>164</v>
      </c>
      <c r="T89" s="106">
        <f>(T87+T88)*5%</f>
        <v>17517250</v>
      </c>
      <c r="U89" s="107"/>
    </row>
    <row r="90" spans="1:21" s="102" customFormat="1" ht="25" customHeight="1" thickBot="1">
      <c r="A90" s="100"/>
      <c r="B90" s="100"/>
      <c r="C90" s="100"/>
      <c r="D90" s="100"/>
      <c r="E90" s="100"/>
      <c r="F90" s="100"/>
      <c r="G90" s="108"/>
      <c r="H90" s="100"/>
      <c r="I90" s="100"/>
      <c r="J90" s="100"/>
      <c r="K90" s="100"/>
      <c r="Q90" s="109"/>
      <c r="R90" s="100"/>
      <c r="S90" s="122" t="s">
        <v>169</v>
      </c>
      <c r="T90" s="110">
        <f>(T87+T89+T88)*1.12</f>
        <v>412005720.00000006</v>
      </c>
      <c r="U90" s="107"/>
    </row>
    <row r="91" spans="1:21">
      <c r="G91" s="19"/>
      <c r="Q91" s="17"/>
      <c r="T91" s="12"/>
      <c r="U91" s="12"/>
    </row>
    <row r="92" spans="1:21">
      <c r="G92" s="19"/>
      <c r="Q92" s="20"/>
      <c r="T92" s="10"/>
      <c r="U92" s="10"/>
    </row>
    <row r="93" spans="1:21">
      <c r="G93" s="19"/>
      <c r="Q93" s="17"/>
    </row>
    <row r="94" spans="1:21">
      <c r="G94" s="19"/>
      <c r="Q94" s="18"/>
    </row>
    <row r="95" spans="1:21">
      <c r="G95" s="15"/>
      <c r="Q95" s="15"/>
      <c r="T95" s="10"/>
    </row>
    <row r="96" spans="1:21">
      <c r="G96" s="19"/>
      <c r="Q96" s="17"/>
    </row>
    <row r="97" spans="7:17">
      <c r="G97" s="15"/>
      <c r="Q97" s="17"/>
    </row>
    <row r="98" spans="7:17">
      <c r="G98" s="15"/>
      <c r="Q98" s="17"/>
    </row>
    <row r="99" spans="7:17">
      <c r="G99" s="15"/>
      <c r="Q99" s="17"/>
    </row>
    <row r="100" spans="7:17">
      <c r="G100" s="19"/>
      <c r="Q100" s="17"/>
    </row>
    <row r="101" spans="7:17">
      <c r="G101" s="15"/>
      <c r="Q101" s="15"/>
    </row>
    <row r="102" spans="7:17">
      <c r="G102" s="15"/>
      <c r="Q102" s="15"/>
    </row>
    <row r="103" spans="7:17">
      <c r="G103" s="19"/>
      <c r="Q103" s="17"/>
    </row>
    <row r="104" spans="7:17">
      <c r="G104" s="19"/>
      <c r="Q104" s="17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Q87:Q95" name="Диапазон1_2"/>
    <protectedRange algorithmName="SHA-512" hashValue="20tZejZtY/ZGRcGLZm0ZbWfCu51ejQGMqdRYwv0b9rb/5Q/ejFDHQOXySZDQbnMuPhvZC4Bfbq/BWdBxp9Ls4w==" saltValue="Q+V8rXhHsE4u/j5xUQJeAg==" spinCount="100000" sqref="H20:H21" name="Диапазон1_5"/>
    <protectedRange algorithmName="SHA-512" hashValue="20tZejZtY/ZGRcGLZm0ZbWfCu51ejQGMqdRYwv0b9rb/5Q/ejFDHQOXySZDQbnMuPhvZC4Bfbq/BWdBxp9Ls4w==" saltValue="Q+V8rXhHsE4u/j5xUQJeAg==" spinCount="100000" sqref="I20:I21" name="Диапазон1_12"/>
    <protectedRange algorithmName="SHA-512" hashValue="20tZejZtY/ZGRcGLZm0ZbWfCu51ejQGMqdRYwv0b9rb/5Q/ejFDHQOXySZDQbnMuPhvZC4Bfbq/BWdBxp9Ls4w==" saltValue="Q+V8rXhHsE4u/j5xUQJeAg==" spinCount="100000" sqref="G19:G21 E19:E21" name="Диапазон1_5_9"/>
    <protectedRange algorithmName="SHA-512" hashValue="20tZejZtY/ZGRcGLZm0ZbWfCu51ejQGMqdRYwv0b9rb/5Q/ejFDHQOXySZDQbnMuPhvZC4Bfbq/BWdBxp9Ls4w==" saltValue="Q+V8rXhHsE4u/j5xUQJeAg==" spinCount="100000" sqref="C19:D21" name="Диапазон1_2_4"/>
    <protectedRange algorithmName="SHA-512" hashValue="20tZejZtY/ZGRcGLZm0ZbWfCu51ejQGMqdRYwv0b9rb/5Q/ejFDHQOXySZDQbnMuPhvZC4Bfbq/BWdBxp9Ls4w==" saltValue="Q+V8rXhHsE4u/j5xUQJeAg==" spinCount="100000" sqref="B19:B21" name="Диапазон1_9_1_1_1_1"/>
    <protectedRange algorithmName="SHA-512" hashValue="20tZejZtY/ZGRcGLZm0ZbWfCu51ejQGMqdRYwv0b9rb/5Q/ejFDHQOXySZDQbnMuPhvZC4Bfbq/BWdBxp9Ls4w==" saltValue="Q+V8rXhHsE4u/j5xUQJeAg==" spinCount="100000" sqref="Q96" name="Диапазон1_2_1"/>
    <protectedRange algorithmName="SHA-512" hashValue="20tZejZtY/ZGRcGLZm0ZbWfCu51ejQGMqdRYwv0b9rb/5Q/ejFDHQOXySZDQbnMuPhvZC4Bfbq/BWdBxp9Ls4w==" saltValue="Q+V8rXhHsE4u/j5xUQJeAg==" spinCount="100000" sqref="Q97" name="Диапазон1_2_2"/>
    <protectedRange algorithmName="SHA-512" hashValue="20tZejZtY/ZGRcGLZm0ZbWfCu51ejQGMqdRYwv0b9rb/5Q/ejFDHQOXySZDQbnMuPhvZC4Bfbq/BWdBxp9Ls4w==" saltValue="Q+V8rXhHsE4u/j5xUQJeAg==" spinCount="100000" sqref="Q100" name="Диапазон1_2_5"/>
    <protectedRange algorithmName="SHA-512" hashValue="20tZejZtY/ZGRcGLZm0ZbWfCu51ejQGMqdRYwv0b9rb/5Q/ejFDHQOXySZDQbnMuPhvZC4Bfbq/BWdBxp9Ls4w==" saltValue="Q+V8rXhHsE4u/j5xUQJeAg==" spinCount="100000" sqref="Q98:Q99" name="Диапазон1_2_6"/>
    <protectedRange algorithmName="SHA-512" hashValue="20tZejZtY/ZGRcGLZm0ZbWfCu51ejQGMqdRYwv0b9rb/5Q/ejFDHQOXySZDQbnMuPhvZC4Bfbq/BWdBxp9Ls4w==" saltValue="Q+V8rXhHsE4u/j5xUQJeAg==" spinCount="100000" sqref="Q101" name="Диапазон1_2_7"/>
    <protectedRange algorithmName="SHA-512" hashValue="20tZejZtY/ZGRcGLZm0ZbWfCu51ejQGMqdRYwv0b9rb/5Q/ejFDHQOXySZDQbnMuPhvZC4Bfbq/BWdBxp9Ls4w==" saltValue="Q+V8rXhHsE4u/j5xUQJeAg==" spinCount="100000" sqref="Q102" name="Диапазон1_2_9"/>
    <protectedRange algorithmName="SHA-512" hashValue="20tZejZtY/ZGRcGLZm0ZbWfCu51ejQGMqdRYwv0b9rb/5Q/ejFDHQOXySZDQbnMuPhvZC4Bfbq/BWdBxp9Ls4w==" saltValue="Q+V8rXhHsE4u/j5xUQJeAg==" spinCount="100000" sqref="Q103" name="Диапазон1_2_10"/>
    <protectedRange algorithmName="SHA-512" hashValue="20tZejZtY/ZGRcGLZm0ZbWfCu51ejQGMqdRYwv0b9rb/5Q/ejFDHQOXySZDQbnMuPhvZC4Bfbq/BWdBxp9Ls4w==" saltValue="Q+V8rXhHsE4u/j5xUQJeAg==" spinCount="100000" sqref="Q104" name="Диапазон1_2_11"/>
    <protectedRange algorithmName="SHA-512" hashValue="20tZejZtY/ZGRcGLZm0ZbWfCu51ejQGMqdRYwv0b9rb/5Q/ejFDHQOXySZDQbnMuPhvZC4Bfbq/BWdBxp9Ls4w==" saltValue="Q+V8rXhHsE4u/j5xUQJeAg==" spinCount="100000" sqref="H22" name="Диапазон1_5_11"/>
    <protectedRange algorithmName="SHA-512" hashValue="20tZejZtY/ZGRcGLZm0ZbWfCu51ejQGMqdRYwv0b9rb/5Q/ejFDHQOXySZDQbnMuPhvZC4Bfbq/BWdBxp9Ls4w==" saltValue="Q+V8rXhHsE4u/j5xUQJeAg==" spinCount="100000" sqref="R19:R26 R74:S82 R41:R73" name="Диапазон1_2_12"/>
    <protectedRange algorithmName="SHA-512" hashValue="20tZejZtY/ZGRcGLZm0ZbWfCu51ejQGMqdRYwv0b9rb/5Q/ejFDHQOXySZDQbnMuPhvZC4Bfbq/BWdBxp9Ls4w==" saltValue="Q+V8rXhHsE4u/j5xUQJeAg==" spinCount="100000" sqref="I22" name="Диапазон1_6"/>
    <protectedRange algorithmName="SHA-512" hashValue="20tZejZtY/ZGRcGLZm0ZbWfCu51ejQGMqdRYwv0b9rb/5Q/ejFDHQOXySZDQbnMuPhvZC4Bfbq/BWdBxp9Ls4w==" saltValue="Q+V8rXhHsE4u/j5xUQJeAg==" spinCount="100000" sqref="J22" name="Диапазон1_1_2"/>
    <protectedRange algorithmName="SHA-512" hashValue="20tZejZtY/ZGRcGLZm0ZbWfCu51ejQGMqdRYwv0b9rb/5Q/ejFDHQOXySZDQbnMuPhvZC4Bfbq/BWdBxp9Ls4w==" saltValue="Q+V8rXhHsE4u/j5xUQJeAg==" spinCount="100000" sqref="C22" name="Диапазон1_2_1_1"/>
    <protectedRange algorithmName="SHA-512" hashValue="20tZejZtY/ZGRcGLZm0ZbWfCu51ejQGMqdRYwv0b9rb/5Q/ejFDHQOXySZDQbnMuPhvZC4Bfbq/BWdBxp9Ls4w==" saltValue="Q+V8rXhHsE4u/j5xUQJeAg==" spinCount="100000" sqref="D22 Q22" name="Диапазон1_1_2_1_3"/>
    <protectedRange algorithmName="SHA-512" hashValue="20tZejZtY/ZGRcGLZm0ZbWfCu51ejQGMqdRYwv0b9rb/5Q/ejFDHQOXySZDQbnMuPhvZC4Bfbq/BWdBxp9Ls4w==" saltValue="Q+V8rXhHsE4u/j5xUQJeAg==" spinCount="100000" sqref="G22 E22" name="Диапазон1_5_2_1"/>
    <protectedRange algorithmName="SHA-512" hashValue="20tZejZtY/ZGRcGLZm0ZbWfCu51ejQGMqdRYwv0b9rb/5Q/ejFDHQOXySZDQbnMuPhvZC4Bfbq/BWdBxp9Ls4w==" saltValue="Q+V8rXhHsE4u/j5xUQJeAg==" spinCount="100000" sqref="B22" name="Диапазон1_2_1_1_1"/>
    <protectedRange algorithmName="SHA-512" hashValue="20tZejZtY/ZGRcGLZm0ZbWfCu51ejQGMqdRYwv0b9rb/5Q/ejFDHQOXySZDQbnMuPhvZC4Bfbq/BWdBxp9Ls4w==" saltValue="Q+V8rXhHsE4u/j5xUQJeAg==" spinCount="100000" sqref="H23:H26 I74:K82 H41:H82" name="Диапазон1_5_12"/>
    <protectedRange algorithmName="SHA-512" hashValue="20tZejZtY/ZGRcGLZm0ZbWfCu51ejQGMqdRYwv0b9rb/5Q/ejFDHQOXySZDQbnMuPhvZC4Bfbq/BWdBxp9Ls4w==" saltValue="Q+V8rXhHsE4u/j5xUQJeAg==" spinCount="100000" sqref="I23:I26 I41:I73" name="Диапазон1_12_12"/>
    <protectedRange algorithmName="SHA-512" hashValue="20tZejZtY/ZGRcGLZm0ZbWfCu51ejQGMqdRYwv0b9rb/5Q/ejFDHQOXySZDQbnMuPhvZC4Bfbq/BWdBxp9Ls4w==" saltValue="Q+V8rXhHsE4u/j5xUQJeAg==" spinCount="100000" sqref="G23:G26 E23:E26 G41:G82 E41:E82" name="Диапазон1_5_9_11"/>
    <protectedRange algorithmName="SHA-512" hashValue="20tZejZtY/ZGRcGLZm0ZbWfCu51ejQGMqdRYwv0b9rb/5Q/ejFDHQOXySZDQbnMuPhvZC4Bfbq/BWdBxp9Ls4w==" saltValue="Q+V8rXhHsE4u/j5xUQJeAg==" spinCount="100000" sqref="C41:D50 C23:D26" name="Диапазон1_2_4_11"/>
    <protectedRange algorithmName="SHA-512" hashValue="20tZejZtY/ZGRcGLZm0ZbWfCu51ejQGMqdRYwv0b9rb/5Q/ejFDHQOXySZDQbnMuPhvZC4Bfbq/BWdBxp9Ls4w==" saltValue="Q+V8rXhHsE4u/j5xUQJeAg==" spinCount="100000" sqref="H5:H7 H9:H13" name="Диапазон1_5_2"/>
    <protectedRange algorithmName="SHA-512" hashValue="20tZejZtY/ZGRcGLZm0ZbWfCu51ejQGMqdRYwv0b9rb/5Q/ejFDHQOXySZDQbnMuPhvZC4Bfbq/BWdBxp9Ls4w==" saltValue="Q+V8rXhHsE4u/j5xUQJeAg==" spinCount="100000" sqref="I5:I7 I9:I13 R5:R18 S5:S73" name="Диапазон1_12_11"/>
    <protectedRange algorithmName="SHA-512" hashValue="20tZejZtY/ZGRcGLZm0ZbWfCu51ejQGMqdRYwv0b9rb/5Q/ejFDHQOXySZDQbnMuPhvZC4Bfbq/BWdBxp9Ls4w==" saltValue="Q+V8rXhHsE4u/j5xUQJeAg==" spinCount="100000" sqref="G9:G10 E5:E6 G5:G6 E9:E10" name="Диапазон1_5_9_7"/>
    <protectedRange algorithmName="SHA-512" hashValue="20tZejZtY/ZGRcGLZm0ZbWfCu51ejQGMqdRYwv0b9rb/5Q/ejFDHQOXySZDQbnMuPhvZC4Bfbq/BWdBxp9Ls4w==" saltValue="Q+V8rXhHsE4u/j5xUQJeAg==" spinCount="100000" sqref="C9:D10 C5:D6" name="Диапазон1_2_4_9"/>
    <protectedRange algorithmName="SHA-512" hashValue="20tZejZtY/ZGRcGLZm0ZbWfCu51ejQGMqdRYwv0b9rb/5Q/ejFDHQOXySZDQbnMuPhvZC4Bfbq/BWdBxp9Ls4w==" saltValue="Q+V8rXhHsE4u/j5xUQJeAg==" spinCount="100000" sqref="B5:B6 B9:B10" name="Диапазон1_9_1_1_1_1_7"/>
    <protectedRange algorithmName="SHA-512" hashValue="20tZejZtY/ZGRcGLZm0ZbWfCu51ejQGMqdRYwv0b9rb/5Q/ejFDHQOXySZDQbnMuPhvZC4Bfbq/BWdBxp9Ls4w==" saltValue="Q+V8rXhHsE4u/j5xUQJeAg==" spinCount="100000" sqref="G7 E7 E11:E13 G11:G13" name="Диапазон1_5_9_1_1"/>
    <protectedRange algorithmName="SHA-512" hashValue="20tZejZtY/ZGRcGLZm0ZbWfCu51ejQGMqdRYwv0b9rb/5Q/ejFDHQOXySZDQbnMuPhvZC4Bfbq/BWdBxp9Ls4w==" saltValue="Q+V8rXhHsE4u/j5xUQJeAg==" spinCount="100000" sqref="C11:D13 C7:D7" name="Диапазон1_2_4_1_2"/>
    <protectedRange algorithmName="SHA-512" hashValue="20tZejZtY/ZGRcGLZm0ZbWfCu51ejQGMqdRYwv0b9rb/5Q/ejFDHQOXySZDQbnMuPhvZC4Bfbq/BWdBxp9Ls4w==" saltValue="Q+V8rXhHsE4u/j5xUQJeAg==" spinCount="100000" sqref="H14" name="Диапазон1_5_6"/>
    <protectedRange algorithmName="SHA-512" hashValue="20tZejZtY/ZGRcGLZm0ZbWfCu51ejQGMqdRYwv0b9rb/5Q/ejFDHQOXySZDQbnMuPhvZC4Bfbq/BWdBxp9Ls4w==" saltValue="Q+V8rXhHsE4u/j5xUQJeAg==" spinCount="100000" sqref="I14" name="Диапазон1_12_6_1"/>
    <protectedRange algorithmName="SHA-512" hashValue="20tZejZtY/ZGRcGLZm0ZbWfCu51ejQGMqdRYwv0b9rb/5Q/ejFDHQOXySZDQbnMuPhvZC4Bfbq/BWdBxp9Ls4w==" saltValue="Q+V8rXhHsE4u/j5xUQJeAg==" spinCount="100000" sqref="E14 G14" name="Диапазон1_5_9_6_1"/>
    <protectedRange algorithmName="SHA-512" hashValue="20tZejZtY/ZGRcGLZm0ZbWfCu51ejQGMqdRYwv0b9rb/5Q/ejFDHQOXySZDQbnMuPhvZC4Bfbq/BWdBxp9Ls4w==" saltValue="Q+V8rXhHsE4u/j5xUQJeAg==" spinCount="100000" sqref="C14:D14" name="Диапазон1_2_4_6_2"/>
    <protectedRange algorithmName="SHA-512" hashValue="20tZejZtY/ZGRcGLZm0ZbWfCu51ejQGMqdRYwv0b9rb/5Q/ejFDHQOXySZDQbnMuPhvZC4Bfbq/BWdBxp9Ls4w==" saltValue="Q+V8rXhHsE4u/j5xUQJeAg==" spinCount="100000" sqref="B14" name="Диапазон1_9_1_1_1_1_6_1"/>
    <protectedRange algorithmName="SHA-512" hashValue="20tZejZtY/ZGRcGLZm0ZbWfCu51ejQGMqdRYwv0b9rb/5Q/ejFDHQOXySZDQbnMuPhvZC4Bfbq/BWdBxp9Ls4w==" saltValue="Q+V8rXhHsE4u/j5xUQJeAg==" spinCount="100000" sqref="H15" name="Диапазон1_5_1_1"/>
    <protectedRange algorithmName="SHA-512" hashValue="20tZejZtY/ZGRcGLZm0ZbWfCu51ejQGMqdRYwv0b9rb/5Q/ejFDHQOXySZDQbnMuPhvZC4Bfbq/BWdBxp9Ls4w==" saltValue="Q+V8rXhHsE4u/j5xUQJeAg==" spinCount="100000" sqref="I15" name="Диапазон1_12_3_1"/>
    <protectedRange algorithmName="SHA-512" hashValue="20tZejZtY/ZGRcGLZm0ZbWfCu51ejQGMqdRYwv0b9rb/5Q/ejFDHQOXySZDQbnMuPhvZC4Bfbq/BWdBxp9Ls4w==" saltValue="Q+V8rXhHsE4u/j5xUQJeAg==" spinCount="100000" sqref="E15 G15" name="Диапазон1_5_9_3_1"/>
    <protectedRange algorithmName="SHA-512" hashValue="20tZejZtY/ZGRcGLZm0ZbWfCu51ejQGMqdRYwv0b9rb/5Q/ejFDHQOXySZDQbnMuPhvZC4Bfbq/BWdBxp9Ls4w==" saltValue="Q+V8rXhHsE4u/j5xUQJeAg==" spinCount="100000" sqref="C15:D15" name="Диапазон1_2_4_3_2"/>
    <protectedRange algorithmName="SHA-512" hashValue="20tZejZtY/ZGRcGLZm0ZbWfCu51ejQGMqdRYwv0b9rb/5Q/ejFDHQOXySZDQbnMuPhvZC4Bfbq/BWdBxp9Ls4w==" saltValue="Q+V8rXhHsE4u/j5xUQJeAg==" spinCount="100000" sqref="B15" name="Диапазон1_9_1_1_1_1_3_1"/>
    <protectedRange algorithmName="SHA-512" hashValue="20tZejZtY/ZGRcGLZm0ZbWfCu51ejQGMqdRYwv0b9rb/5Q/ejFDHQOXySZDQbnMuPhvZC4Bfbq/BWdBxp9Ls4w==" saltValue="Q+V8rXhHsE4u/j5xUQJeAg==" spinCount="100000" sqref="G16:G17 E16:E17" name="Диапазон1_5_9_11_1_1"/>
    <protectedRange algorithmName="SHA-512" hashValue="20tZejZtY/ZGRcGLZm0ZbWfCu51ejQGMqdRYwv0b9rb/5Q/ejFDHQOXySZDQbnMuPhvZC4Bfbq/BWdBxp9Ls4w==" saltValue="Q+V8rXhHsE4u/j5xUQJeAg==" spinCount="100000" sqref="C16:D17" name="Диапазон1_2_4_11_2"/>
    <protectedRange algorithmName="SHA-512" hashValue="20tZejZtY/ZGRcGLZm0ZbWfCu51ejQGMqdRYwv0b9rb/5Q/ejFDHQOXySZDQbnMuPhvZC4Bfbq/BWdBxp9Ls4w==" saltValue="Q+V8rXhHsE4u/j5xUQJeAg==" spinCount="100000" sqref="B16:B17" name="Диапазон1_9_1_1_1_1_11_1_1"/>
    <protectedRange algorithmName="SHA-512" hashValue="20tZejZtY/ZGRcGLZm0ZbWfCu51ejQGMqdRYwv0b9rb/5Q/ejFDHQOXySZDQbnMuPhvZC4Bfbq/BWdBxp9Ls4w==" saltValue="Q+V8rXhHsE4u/j5xUQJeAg==" spinCount="100000" sqref="F5:F82" name="Диапазон1_2_4_13_2"/>
    <protectedRange algorithmName="SHA-512" hashValue="20tZejZtY/ZGRcGLZm0ZbWfCu51ejQGMqdRYwv0b9rb/5Q/ejFDHQOXySZDQbnMuPhvZC4Bfbq/BWdBxp9Ls4w==" saltValue="Q+V8rXhHsE4u/j5xUQJeAg==" spinCount="100000" sqref="H8" name="Диапазон1_5_13"/>
    <protectedRange algorithmName="SHA-512" hashValue="20tZejZtY/ZGRcGLZm0ZbWfCu51ejQGMqdRYwv0b9rb/5Q/ejFDHQOXySZDQbnMuPhvZC4Bfbq/BWdBxp9Ls4w==" saltValue="Q+V8rXhHsE4u/j5xUQJeAg==" spinCount="100000" sqref="I19 I8" name="Диапазон1_12_16"/>
    <protectedRange algorithmName="SHA-512" hashValue="20tZejZtY/ZGRcGLZm0ZbWfCu51ejQGMqdRYwv0b9rb/5Q/ejFDHQOXySZDQbnMuPhvZC4Bfbq/BWdBxp9Ls4w==" saltValue="Q+V8rXhHsE4u/j5xUQJeAg==" spinCount="100000" sqref="C18:D18 C8:D8" name="Диапазон1_2_4_15"/>
    <protectedRange algorithmName="SHA-512" hashValue="20tZejZtY/ZGRcGLZm0ZbWfCu51ejQGMqdRYwv0b9rb/5Q/ejFDHQOXySZDQbnMuPhvZC4Bfbq/BWdBxp9Ls4w==" saltValue="Q+V8rXhHsE4u/j5xUQJeAg==" spinCount="100000" sqref="B8 B18" name="Диапазон1_9_1_1_1_1_13"/>
    <protectedRange algorithmName="SHA-512" hashValue="20tZejZtY/ZGRcGLZm0ZbWfCu51ejQGMqdRYwv0b9rb/5Q/ejFDHQOXySZDQbnMuPhvZC4Bfbq/BWdBxp9Ls4w==" saltValue="Q+V8rXhHsE4u/j5xUQJeAg==" spinCount="100000" sqref="D74:D82 D51:D58" name="Диапазон1_17"/>
    <protectedRange algorithmName="SHA-512" hashValue="20tZejZtY/ZGRcGLZm0ZbWfCu51ejQGMqdRYwv0b9rb/5Q/ejFDHQOXySZDQbnMuPhvZC4Bfbq/BWdBxp9Ls4w==" saltValue="Q+V8rXhHsE4u/j5xUQJeAg==" spinCount="100000" sqref="C79:C82 C51:C58" name="Диапазон1_2_3"/>
    <protectedRange algorithmName="SHA-512" hashValue="20tZejZtY/ZGRcGLZm0ZbWfCu51ejQGMqdRYwv0b9rb/5Q/ejFDHQOXySZDQbnMuPhvZC4Bfbq/BWdBxp9Ls4w==" saltValue="Q+V8rXhHsE4u/j5xUQJeAg==" spinCount="100000" sqref="D59:D68" name="Диапазон1_17_2"/>
    <protectedRange algorithmName="SHA-512" hashValue="20tZejZtY/ZGRcGLZm0ZbWfCu51ejQGMqdRYwv0b9rb/5Q/ejFDHQOXySZDQbnMuPhvZC4Bfbq/BWdBxp9Ls4w==" saltValue="Q+V8rXhHsE4u/j5xUQJeAg==" spinCount="100000" sqref="C74:C78 C59:C68" name="Диапазон1_2_8"/>
    <protectedRange algorithmName="SHA-512" hashValue="20tZejZtY/ZGRcGLZm0ZbWfCu51ejQGMqdRYwv0b9rb/5Q/ejFDHQOXySZDQbnMuPhvZC4Bfbq/BWdBxp9Ls4w==" saltValue="Q+V8rXhHsE4u/j5xUQJeAg==" spinCount="100000" sqref="H27" name="Диапазон1_5_2_2"/>
    <protectedRange algorithmName="SHA-512" hashValue="20tZejZtY/ZGRcGLZm0ZbWfCu51ejQGMqdRYwv0b9rb/5Q/ejFDHQOXySZDQbnMuPhvZC4Bfbq/BWdBxp9Ls4w==" saltValue="Q+V8rXhHsE4u/j5xUQJeAg==" spinCount="100000" sqref="R27 I27" name="Диапазон1_12_11_1"/>
    <protectedRange algorithmName="SHA-512" hashValue="20tZejZtY/ZGRcGLZm0ZbWfCu51ejQGMqdRYwv0b9rb/5Q/ejFDHQOXySZDQbnMuPhvZC4Bfbq/BWdBxp9Ls4w==" saltValue="Q+V8rXhHsE4u/j5xUQJeAg==" spinCount="100000" sqref="G27 E27" name="Диапазон1_5_9_1_1_1"/>
    <protectedRange algorithmName="SHA-512" hashValue="20tZejZtY/ZGRcGLZm0ZbWfCu51ejQGMqdRYwv0b9rb/5Q/ejFDHQOXySZDQbnMuPhvZC4Bfbq/BWdBxp9Ls4w==" saltValue="Q+V8rXhHsE4u/j5xUQJeAg==" spinCount="100000" sqref="C27:D27" name="Диапазон1_2_4_1_2_1"/>
    <protectedRange algorithmName="SHA-512" hashValue="20tZejZtY/ZGRcGLZm0ZbWfCu51ejQGMqdRYwv0b9rb/5Q/ejFDHQOXySZDQbnMuPhvZC4Bfbq/BWdBxp9Ls4w==" saltValue="Q+V8rXhHsE4u/j5xUQJeAg==" spinCount="100000" sqref="I28:I40" name="Диапазон1_12_1"/>
    <protectedRange algorithmName="SHA-512" hashValue="20tZejZtY/ZGRcGLZm0ZbWfCu51ejQGMqdRYwv0b9rb/5Q/ejFDHQOXySZDQbnMuPhvZC4Bfbq/BWdBxp9Ls4w==" saltValue="Q+V8rXhHsE4u/j5xUQJeAg==" spinCount="100000" sqref="E28:E40 G28:G40" name="Диапазон1_5_9_1"/>
    <protectedRange algorithmName="SHA-512" hashValue="20tZejZtY/ZGRcGLZm0ZbWfCu51ejQGMqdRYwv0b9rb/5Q/ejFDHQOXySZDQbnMuPhvZC4Bfbq/BWdBxp9Ls4w==" saltValue="Q+V8rXhHsE4u/j5xUQJeAg==" spinCount="100000" sqref="C28:D40" name="Диапазон1_2_4_1"/>
    <protectedRange algorithmName="SHA-512" hashValue="20tZejZtY/ZGRcGLZm0ZbWfCu51ejQGMqdRYwv0b9rb/5Q/ejFDHQOXySZDQbnMuPhvZC4Bfbq/BWdBxp9Ls4w==" saltValue="Q+V8rXhHsE4u/j5xUQJeAg==" spinCount="100000" sqref="B28:B40" name="Диапазон1_9_1_1_1_1_1"/>
    <protectedRange algorithmName="SHA-512" hashValue="20tZejZtY/ZGRcGLZm0ZbWfCu51ejQGMqdRYwv0b9rb/5Q/ejFDHQOXySZDQbnMuPhvZC4Bfbq/BWdBxp9Ls4w==" saltValue="Q+V8rXhHsE4u/j5xUQJeAg==" spinCount="100000" sqref="R28:R40" name="Диапазон1_2_12_1"/>
    <protectedRange algorithmName="SHA-512" hashValue="20tZejZtY/ZGRcGLZm0ZbWfCu51ejQGMqdRYwv0b9rb/5Q/ejFDHQOXySZDQbnMuPhvZC4Bfbq/BWdBxp9Ls4w==" saltValue="Q+V8rXhHsE4u/j5xUQJeAg==" spinCount="100000" sqref="C69:C70" name="Диапазон1_1_10_1_2"/>
    <protectedRange algorithmName="SHA-512" hashValue="20tZejZtY/ZGRcGLZm0ZbWfCu51ejQGMqdRYwv0b9rb/5Q/ejFDHQOXySZDQbnMuPhvZC4Bfbq/BWdBxp9Ls4w==" saltValue="Q+V8rXhHsE4u/j5xUQJeAg==" spinCount="100000" sqref="D69:D70" name="Диапазон1_17_25"/>
    <protectedRange algorithmName="SHA-512" hashValue="20tZejZtY/ZGRcGLZm0ZbWfCu51ejQGMqdRYwv0b9rb/5Q/ejFDHQOXySZDQbnMuPhvZC4Bfbq/BWdBxp9Ls4w==" saltValue="Q+V8rXhHsE4u/j5xUQJeAg==" spinCount="100000" sqref="D71:D73" name="Диапазон1_19_1_2"/>
    <protectedRange algorithmName="SHA-512" hashValue="20tZejZtY/ZGRcGLZm0ZbWfCu51ejQGMqdRYwv0b9rb/5Q/ejFDHQOXySZDQbnMuPhvZC4Bfbq/BWdBxp9Ls4w==" saltValue="Q+V8rXhHsE4u/j5xUQJeAg==" spinCount="100000" sqref="C71:C73" name="Диапазон1_1_10_1_2_1"/>
    <protectedRange sqref="N4" name="Range1_1"/>
    <protectedRange sqref="P5:P82" name="Range1_2"/>
    <protectedRange sqref="N5:O82" name="Range1_3"/>
    <protectedRange sqref="L5:M82" name="Range1_1_2"/>
  </protectedRanges>
  <autoFilter ref="A4:U83" xr:uid="{EFB76DF0-1883-4996-A868-E6FBB2D5328F}"/>
  <mergeCells count="5">
    <mergeCell ref="B41:B50"/>
    <mergeCell ref="B74:B82"/>
    <mergeCell ref="B51:B73"/>
    <mergeCell ref="L3:M3"/>
    <mergeCell ref="N3:O3"/>
  </mergeCells>
  <phoneticPr fontId="22" type="noConversion"/>
  <hyperlinks>
    <hyperlink ref="B20" r:id="rId1" xr:uid="{8C2AA0D0-D006-4588-9DF2-0E435ED6FD60}"/>
    <hyperlink ref="B21" r:id="rId2" xr:uid="{620D3A7A-D0A1-4515-9D67-F96625CB3593}"/>
    <hyperlink ref="B23" r:id="rId3" xr:uid="{BB9F740F-82FE-4F2B-9746-BADFF9C5AB79}"/>
    <hyperlink ref="B24" r:id="rId4" xr:uid="{9D27E713-2624-4230-BE69-A7395CE15AA3}"/>
    <hyperlink ref="B19" r:id="rId5" xr:uid="{A5116FE3-78C5-4182-8628-9DF63EDF0B36}"/>
    <hyperlink ref="B25" r:id="rId6" xr:uid="{D8A09977-4A31-4352-9AF5-344533C20CBF}"/>
    <hyperlink ref="B26" r:id="rId7" xr:uid="{E72430FD-C054-430B-8870-15FBC8DF2AD4}"/>
    <hyperlink ref="B5" r:id="rId8" xr:uid="{39FC13B1-4B9B-4035-8410-F33335AFEA5F}"/>
    <hyperlink ref="B6" r:id="rId9" xr:uid="{72754469-A379-48DB-978F-559D7183CB16}"/>
    <hyperlink ref="B10" r:id="rId10" xr:uid="{6E1D1CF9-6E8C-4F2B-922C-47263C93ADA8}"/>
    <hyperlink ref="B14" r:id="rId11" xr:uid="{179A7036-FB23-45AE-9821-90FC6DF89259}"/>
    <hyperlink ref="B9" r:id="rId12" xr:uid="{29BE6FB4-96B9-4E84-BEA4-A980B732D9C0}"/>
    <hyperlink ref="B15" r:id="rId13" xr:uid="{66EFFAE5-9AAB-4F21-BFDE-D94F8E17D834}"/>
    <hyperlink ref="B16" r:id="rId14" xr:uid="{457063D1-01F4-4809-81E1-9A2A908A763D}"/>
    <hyperlink ref="B8" r:id="rId15" xr:uid="{537D8017-0DCF-4070-92EA-91AFAAC02355}"/>
    <hyperlink ref="B17" r:id="rId16" xr:uid="{290B80B2-6A63-4824-B5B6-AEB1CA52CC4C}"/>
    <hyperlink ref="B18" r:id="rId17" xr:uid="{31B87B87-67FF-4581-B203-6BA0FD4E204D}"/>
    <hyperlink ref="B22" r:id="rId18" xr:uid="{6B06F45C-9853-4A6B-98D9-261186C6FB80}"/>
    <hyperlink ref="B13" r:id="rId19" xr:uid="{B876F3BA-E1AC-4AE0-8CC7-3F9BFE1073D5}"/>
    <hyperlink ref="B11" r:id="rId20" xr:uid="{6D7E5D09-9E5B-48F8-A913-ED66E7264C50}"/>
    <hyperlink ref="B12" r:id="rId21" xr:uid="{F51A3C5A-3F8B-4103-A469-DEAFF20B5FC5}"/>
    <hyperlink ref="B7" r:id="rId22" xr:uid="{E8226822-26D0-4F46-AD2F-142E1399B9D3}"/>
    <hyperlink ref="B27" r:id="rId23" xr:uid="{1C929DD2-D5EB-4A89-AA00-D1687D8CC4A4}"/>
    <hyperlink ref="B28" r:id="rId24" xr:uid="{25455CD0-F3C0-431B-B1AE-18FB63A312B4}"/>
    <hyperlink ref="B41:B50" r:id="rId25" display="Фото" xr:uid="{465E5151-ACE2-4730-A81C-3A2E4F5538D2}"/>
    <hyperlink ref="B74:B82" r:id="rId26" display="Фото" xr:uid="{DCEEF1E3-320E-4BEE-86EE-446D63535F4F}"/>
    <hyperlink ref="B51:B68" r:id="rId27" display="Презентация " xr:uid="{E4C21605-D117-4B19-A065-E22338D4ECD7}"/>
    <hyperlink ref="B29" r:id="rId28" xr:uid="{FBF54E50-19BB-4188-B6F1-C5E12BC15DC8}"/>
    <hyperlink ref="B30" r:id="rId29" xr:uid="{AB778EDA-E042-4AC9-AE84-34885FE47288}"/>
    <hyperlink ref="B31" r:id="rId30" xr:uid="{F0DBB596-6D12-475B-B73A-236E967B90E6}"/>
    <hyperlink ref="B32" r:id="rId31" xr:uid="{CB76A41A-1810-4DB8-B696-26942BD138ED}"/>
    <hyperlink ref="B33" r:id="rId32" xr:uid="{417BEA00-BE75-4409-855C-28116A320032}"/>
    <hyperlink ref="B34" r:id="rId33" xr:uid="{5B48262E-09C7-4571-8C42-F13712841A9E}"/>
    <hyperlink ref="B35" r:id="rId34" xr:uid="{A36ED42C-093B-4695-B783-73333B873027}"/>
    <hyperlink ref="B36" r:id="rId35" xr:uid="{8528EA64-2701-4105-A54C-855F395A542A}"/>
    <hyperlink ref="B37" r:id="rId36" xr:uid="{D6DCB413-780B-4D93-8112-DBF2459C7555}"/>
    <hyperlink ref="B38" r:id="rId37" xr:uid="{70385E42-709E-4A45-8038-5F76692CCFB7}"/>
    <hyperlink ref="B39" r:id="rId38" xr:uid="{4ED503C6-3D26-457F-9740-884F8F707E58}"/>
    <hyperlink ref="B40" r:id="rId39" xr:uid="{651B0655-9ACF-4360-BCD6-D081E4018BA6}"/>
    <hyperlink ref="D2" r:id="rId40" xr:uid="{5AA6547B-C776-41BC-9F2E-C2D38DF7D4A3}"/>
  </hyperlinks>
  <pageMargins left="0.7" right="0.7" top="0.75" bottom="0.75" header="0.3" footer="0.3"/>
  <pageSetup paperSize="9" orientation="portrait" verticalDpi="1200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C12A-C8E7-474B-A803-8171A7E3FF32}">
  <sheetPr>
    <tabColor rgb="FF92D050"/>
  </sheetPr>
  <dimension ref="A1:EO101"/>
  <sheetViews>
    <sheetView zoomScale="40" zoomScaleNormal="40" workbookViewId="0">
      <selection activeCell="I84" sqref="I84"/>
    </sheetView>
  </sheetViews>
  <sheetFormatPr baseColWidth="10" defaultColWidth="19.1640625" defaultRowHeight="16"/>
  <cols>
    <col min="1" max="1" width="15.6640625" style="7" customWidth="1"/>
    <col min="2" max="2" width="20.33203125" style="7" customWidth="1"/>
    <col min="3" max="3" width="25.5" style="7" customWidth="1"/>
    <col min="4" max="4" width="62.5" style="7" customWidth="1"/>
    <col min="5" max="11" width="15.83203125" style="7" customWidth="1"/>
    <col min="12" max="15" width="15.83203125" style="5" customWidth="1"/>
    <col min="16" max="16" width="19.1640625" style="5"/>
    <col min="17" max="18" width="20.83203125" style="7" customWidth="1"/>
    <col min="19" max="19" width="30.6640625" style="7" bestFit="1" customWidth="1"/>
    <col min="20" max="21" width="20.83203125" style="7" customWidth="1"/>
    <col min="22" max="16384" width="19.1640625" style="5"/>
  </cols>
  <sheetData>
    <row r="1" spans="1:145">
      <c r="D1" s="11"/>
    </row>
    <row r="2" spans="1:145" s="111" customFormat="1" ht="50" customHeight="1" thickBot="1">
      <c r="A2" s="7"/>
      <c r="B2" s="7"/>
      <c r="C2" s="116" t="s">
        <v>321</v>
      </c>
      <c r="D2" s="117" t="s">
        <v>322</v>
      </c>
      <c r="E2" s="7"/>
      <c r="F2" s="7"/>
      <c r="G2" s="7"/>
      <c r="H2" s="7"/>
      <c r="I2" s="7"/>
      <c r="J2" s="7"/>
      <c r="K2" s="7"/>
      <c r="P2" s="5"/>
      <c r="Q2" s="7"/>
      <c r="R2" s="7"/>
      <c r="S2" s="7"/>
      <c r="T2" s="7"/>
      <c r="U2" s="7"/>
    </row>
    <row r="3" spans="1:145" ht="20" thickBot="1">
      <c r="L3" s="157" t="s">
        <v>326</v>
      </c>
      <c r="M3" s="158"/>
      <c r="N3" s="157" t="s">
        <v>325</v>
      </c>
      <c r="O3" s="158"/>
    </row>
    <row r="4" spans="1:145" s="6" customFormat="1" ht="83.5" customHeight="1">
      <c r="A4" s="30" t="s">
        <v>174</v>
      </c>
      <c r="B4" s="31" t="s">
        <v>170</v>
      </c>
      <c r="C4" s="31" t="s">
        <v>160</v>
      </c>
      <c r="D4" s="32" t="s">
        <v>171</v>
      </c>
      <c r="E4" s="31" t="s">
        <v>161</v>
      </c>
      <c r="F4" s="31" t="s">
        <v>185</v>
      </c>
      <c r="G4" s="31" t="s">
        <v>172</v>
      </c>
      <c r="H4" s="31" t="s">
        <v>173</v>
      </c>
      <c r="I4" s="31" t="s">
        <v>166</v>
      </c>
      <c r="J4" s="31" t="s">
        <v>162</v>
      </c>
      <c r="K4" s="125" t="s">
        <v>207</v>
      </c>
      <c r="L4" s="97" t="s">
        <v>187</v>
      </c>
      <c r="M4" s="147" t="s">
        <v>163</v>
      </c>
      <c r="N4" s="124" t="s">
        <v>187</v>
      </c>
      <c r="O4" s="98" t="s">
        <v>163</v>
      </c>
      <c r="P4" s="148" t="s">
        <v>239</v>
      </c>
      <c r="Q4" s="41" t="s">
        <v>167</v>
      </c>
      <c r="R4" s="33" t="s">
        <v>175</v>
      </c>
      <c r="S4" s="33" t="s">
        <v>261</v>
      </c>
      <c r="T4" s="34" t="s">
        <v>168</v>
      </c>
      <c r="U4" s="34" t="s">
        <v>262</v>
      </c>
    </row>
    <row r="5" spans="1:145" s="28" customFormat="1" ht="15" customHeight="1">
      <c r="A5" s="13" t="s">
        <v>178</v>
      </c>
      <c r="B5" s="68" t="s">
        <v>229</v>
      </c>
      <c r="C5" s="50" t="s">
        <v>228</v>
      </c>
      <c r="D5" s="59" t="s">
        <v>196</v>
      </c>
      <c r="E5" s="13">
        <v>1</v>
      </c>
      <c r="F5" s="21">
        <v>1</v>
      </c>
      <c r="G5" s="13" t="s">
        <v>176</v>
      </c>
      <c r="H5" s="13" t="s">
        <v>180</v>
      </c>
      <c r="I5" s="13" t="s">
        <v>177</v>
      </c>
      <c r="J5" s="13">
        <v>1</v>
      </c>
      <c r="K5" s="126" t="s">
        <v>209</v>
      </c>
      <c r="L5" s="131">
        <v>233037</v>
      </c>
      <c r="M5" s="129">
        <v>18.5262152022813</v>
      </c>
      <c r="N5" s="131">
        <v>294789</v>
      </c>
      <c r="O5" s="129">
        <v>23.435439236109701</v>
      </c>
      <c r="P5" s="149">
        <v>1257877</v>
      </c>
      <c r="Q5" s="42">
        <v>5700000</v>
      </c>
      <c r="R5" s="23">
        <f>Q5*(1-10%)</f>
        <v>5130000</v>
      </c>
      <c r="S5" s="23">
        <v>0</v>
      </c>
      <c r="T5" s="25">
        <f>R5*F5</f>
        <v>5130000</v>
      </c>
      <c r="U5" s="39">
        <f>T5/140</f>
        <v>36642.857142857145</v>
      </c>
    </row>
    <row r="6" spans="1:145" s="28" customFormat="1" ht="15" customHeight="1">
      <c r="A6" s="13" t="s">
        <v>178</v>
      </c>
      <c r="B6" s="68" t="s">
        <v>229</v>
      </c>
      <c r="C6" s="50" t="s">
        <v>228</v>
      </c>
      <c r="D6" s="59" t="s">
        <v>275</v>
      </c>
      <c r="E6" s="13">
        <v>1</v>
      </c>
      <c r="F6" s="21">
        <v>1</v>
      </c>
      <c r="G6" s="13" t="s">
        <v>176</v>
      </c>
      <c r="H6" s="13" t="s">
        <v>180</v>
      </c>
      <c r="I6" s="13" t="s">
        <v>177</v>
      </c>
      <c r="J6" s="13">
        <v>1</v>
      </c>
      <c r="K6" s="126" t="s">
        <v>209</v>
      </c>
      <c r="L6" s="131">
        <v>424958</v>
      </c>
      <c r="M6" s="129">
        <v>33.783748331514097</v>
      </c>
      <c r="N6" s="131">
        <v>450576</v>
      </c>
      <c r="O6" s="129">
        <v>35.820354454370303</v>
      </c>
      <c r="P6" s="150">
        <v>1257877</v>
      </c>
      <c r="Q6" s="42">
        <v>5700000</v>
      </c>
      <c r="R6" s="23">
        <f t="shared" ref="R6:R16" si="0">Q6*(1-10%)</f>
        <v>5130000</v>
      </c>
      <c r="S6" s="23">
        <v>0</v>
      </c>
      <c r="T6" s="25">
        <f>R6*F6</f>
        <v>5130000</v>
      </c>
      <c r="U6" s="39">
        <f t="shared" ref="U6:U75" si="1">T6/140</f>
        <v>36642.857142857145</v>
      </c>
    </row>
    <row r="7" spans="1:145" s="28" customFormat="1" ht="15" customHeight="1">
      <c r="A7" s="13" t="s">
        <v>178</v>
      </c>
      <c r="B7" s="68" t="s">
        <v>229</v>
      </c>
      <c r="C7" s="50" t="s">
        <v>228</v>
      </c>
      <c r="D7" s="59" t="s">
        <v>276</v>
      </c>
      <c r="E7" s="13">
        <v>1</v>
      </c>
      <c r="F7" s="21">
        <v>1</v>
      </c>
      <c r="G7" s="13" t="s">
        <v>176</v>
      </c>
      <c r="H7" s="13" t="s">
        <v>180</v>
      </c>
      <c r="I7" s="13" t="s">
        <v>177</v>
      </c>
      <c r="J7" s="13">
        <v>1</v>
      </c>
      <c r="K7" s="126" t="s">
        <v>209</v>
      </c>
      <c r="L7" s="99">
        <v>929105</v>
      </c>
      <c r="M7" s="129">
        <v>73.862945264123596</v>
      </c>
      <c r="N7" s="99">
        <v>947760</v>
      </c>
      <c r="O7" s="129">
        <v>75.345999648614296</v>
      </c>
      <c r="P7" s="150">
        <v>1257877</v>
      </c>
      <c r="Q7" s="43">
        <v>13000000</v>
      </c>
      <c r="R7" s="23">
        <f>Q7*(1-15%)</f>
        <v>11050000</v>
      </c>
      <c r="S7" s="23">
        <v>0</v>
      </c>
      <c r="T7" s="25">
        <f>R7*F7</f>
        <v>11050000</v>
      </c>
      <c r="U7" s="39">
        <f t="shared" si="1"/>
        <v>78928.571428571435</v>
      </c>
    </row>
    <row r="8" spans="1:145" s="28" customFormat="1" ht="15" customHeight="1">
      <c r="A8" s="13" t="s">
        <v>178</v>
      </c>
      <c r="B8" s="68" t="s">
        <v>229</v>
      </c>
      <c r="C8" s="50" t="s">
        <v>228</v>
      </c>
      <c r="D8" s="59" t="s">
        <v>277</v>
      </c>
      <c r="E8" s="13">
        <v>1</v>
      </c>
      <c r="F8" s="21">
        <v>1</v>
      </c>
      <c r="G8" s="13" t="s">
        <v>176</v>
      </c>
      <c r="H8" s="13" t="s">
        <v>180</v>
      </c>
      <c r="I8" s="13" t="s">
        <v>177</v>
      </c>
      <c r="J8" s="13">
        <v>1</v>
      </c>
      <c r="K8" s="126" t="s">
        <v>209</v>
      </c>
      <c r="L8" s="99">
        <v>233524</v>
      </c>
      <c r="M8" s="129">
        <v>18.564931229365001</v>
      </c>
      <c r="N8" s="99">
        <v>290860</v>
      </c>
      <c r="O8" s="129">
        <v>23.123087551485501</v>
      </c>
      <c r="P8" s="150">
        <v>1257877</v>
      </c>
      <c r="Q8" s="43">
        <v>5000000</v>
      </c>
      <c r="R8" s="23">
        <f>Q8*(1-10%)</f>
        <v>4500000</v>
      </c>
      <c r="S8" s="23">
        <v>0</v>
      </c>
      <c r="T8" s="25">
        <f>R8*F8</f>
        <v>4500000</v>
      </c>
      <c r="U8" s="39">
        <f>T8/140</f>
        <v>32142.857142857141</v>
      </c>
    </row>
    <row r="9" spans="1:145" s="29" customFormat="1" ht="15" customHeight="1">
      <c r="A9" s="13" t="s">
        <v>178</v>
      </c>
      <c r="B9" s="68" t="s">
        <v>229</v>
      </c>
      <c r="C9" s="50" t="s">
        <v>228</v>
      </c>
      <c r="D9" s="59" t="s">
        <v>278</v>
      </c>
      <c r="E9" s="13">
        <v>1</v>
      </c>
      <c r="F9" s="21">
        <v>1</v>
      </c>
      <c r="G9" s="13" t="s">
        <v>176</v>
      </c>
      <c r="H9" s="13" t="s">
        <v>180</v>
      </c>
      <c r="I9" s="13" t="s">
        <v>177</v>
      </c>
      <c r="J9" s="13">
        <v>1</v>
      </c>
      <c r="K9" s="126" t="s">
        <v>209</v>
      </c>
      <c r="L9" s="99">
        <v>173818</v>
      </c>
      <c r="M9" s="129">
        <v>13.818362208705601</v>
      </c>
      <c r="N9" s="99">
        <v>159614</v>
      </c>
      <c r="O9" s="129">
        <v>12.689158001935001</v>
      </c>
      <c r="P9" s="150">
        <v>1257877</v>
      </c>
      <c r="Q9" s="42">
        <v>5000000</v>
      </c>
      <c r="R9" s="23">
        <f>Q9*(1-10%)</f>
        <v>4500000</v>
      </c>
      <c r="S9" s="23">
        <v>0</v>
      </c>
      <c r="T9" s="25">
        <f>R9*F9</f>
        <v>4500000</v>
      </c>
      <c r="U9" s="39">
        <f t="shared" si="1"/>
        <v>32142.857142857141</v>
      </c>
    </row>
    <row r="10" spans="1:145" s="28" customFormat="1" ht="15" customHeight="1">
      <c r="A10" s="13" t="s">
        <v>178</v>
      </c>
      <c r="B10" s="68" t="s">
        <v>229</v>
      </c>
      <c r="C10" s="50" t="s">
        <v>228</v>
      </c>
      <c r="D10" s="59" t="s">
        <v>279</v>
      </c>
      <c r="E10" s="13">
        <v>1</v>
      </c>
      <c r="F10" s="21">
        <v>1</v>
      </c>
      <c r="G10" s="13" t="s">
        <v>176</v>
      </c>
      <c r="H10" s="13" t="s">
        <v>180</v>
      </c>
      <c r="I10" s="13" t="s">
        <v>177</v>
      </c>
      <c r="J10" s="13">
        <v>1</v>
      </c>
      <c r="K10" s="126" t="s">
        <v>209</v>
      </c>
      <c r="L10" s="99">
        <v>338271</v>
      </c>
      <c r="M10" s="129">
        <v>26.8922160115814</v>
      </c>
      <c r="N10" s="99">
        <v>326905</v>
      </c>
      <c r="O10" s="129">
        <v>25.988630048883898</v>
      </c>
      <c r="P10" s="150">
        <v>1257877</v>
      </c>
      <c r="Q10" s="42">
        <v>6600000</v>
      </c>
      <c r="R10" s="23">
        <f>Q10*(1-15%)</f>
        <v>5610000</v>
      </c>
      <c r="S10" s="23">
        <v>0</v>
      </c>
      <c r="T10" s="25">
        <f>R10*F10</f>
        <v>5610000</v>
      </c>
      <c r="U10" s="39">
        <f t="shared" si="1"/>
        <v>40071.428571428572</v>
      </c>
    </row>
    <row r="11" spans="1:145" s="24" customFormat="1" ht="15" customHeight="1">
      <c r="A11" s="13" t="s">
        <v>178</v>
      </c>
      <c r="B11" s="68" t="s">
        <v>229</v>
      </c>
      <c r="C11" s="50" t="s">
        <v>228</v>
      </c>
      <c r="D11" s="59" t="s">
        <v>280</v>
      </c>
      <c r="E11" s="13">
        <v>1</v>
      </c>
      <c r="F11" s="21">
        <v>1</v>
      </c>
      <c r="G11" s="13" t="s">
        <v>176</v>
      </c>
      <c r="H11" s="13" t="s">
        <v>180</v>
      </c>
      <c r="I11" s="13" t="s">
        <v>177</v>
      </c>
      <c r="J11" s="13">
        <v>1</v>
      </c>
      <c r="K11" s="126" t="s">
        <v>209</v>
      </c>
      <c r="L11" s="99">
        <v>445501</v>
      </c>
      <c r="M11" s="129">
        <v>35.416896882604497</v>
      </c>
      <c r="N11" s="99">
        <v>370238</v>
      </c>
      <c r="O11" s="129">
        <v>29.433561469046602</v>
      </c>
      <c r="P11" s="150">
        <v>1257877</v>
      </c>
      <c r="Q11" s="42">
        <v>7000000</v>
      </c>
      <c r="R11" s="14">
        <f>Q11*(1-10% )</f>
        <v>6300000</v>
      </c>
      <c r="S11" s="23">
        <v>0</v>
      </c>
      <c r="T11" s="25">
        <f>R11*F11</f>
        <v>6300000</v>
      </c>
      <c r="U11" s="39">
        <f>T11/140</f>
        <v>45000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7"/>
    </row>
    <row r="12" spans="1:145" s="28" customFormat="1" ht="15" customHeight="1">
      <c r="A12" s="13" t="s">
        <v>178</v>
      </c>
      <c r="B12" s="72" t="s">
        <v>179</v>
      </c>
      <c r="C12" s="52" t="s">
        <v>165</v>
      </c>
      <c r="D12" s="53" t="s">
        <v>281</v>
      </c>
      <c r="E12" s="13">
        <v>1</v>
      </c>
      <c r="F12" s="21">
        <v>1</v>
      </c>
      <c r="G12" s="13" t="s">
        <v>176</v>
      </c>
      <c r="H12" s="13" t="s">
        <v>180</v>
      </c>
      <c r="I12" s="13" t="s">
        <v>177</v>
      </c>
      <c r="J12" s="13">
        <v>1</v>
      </c>
      <c r="K12" s="126" t="s">
        <v>209</v>
      </c>
      <c r="L12" s="99">
        <v>139241</v>
      </c>
      <c r="M12" s="129">
        <v>11.069524285760799</v>
      </c>
      <c r="N12" s="99">
        <v>177637</v>
      </c>
      <c r="O12" s="129">
        <v>14.121969000148599</v>
      </c>
      <c r="P12" s="150">
        <v>1257877</v>
      </c>
      <c r="Q12" s="43">
        <v>5600000</v>
      </c>
      <c r="R12" s="23">
        <f>Q12*(1-10%)</f>
        <v>5040000</v>
      </c>
      <c r="S12" s="23">
        <v>0</v>
      </c>
      <c r="T12" s="25">
        <f>R12*F12</f>
        <v>5040000</v>
      </c>
      <c r="U12" s="39">
        <f t="shared" si="1"/>
        <v>36000</v>
      </c>
    </row>
    <row r="13" spans="1:145" s="28" customFormat="1" ht="15" customHeight="1">
      <c r="A13" s="13" t="s">
        <v>178</v>
      </c>
      <c r="B13" s="72" t="s">
        <v>179</v>
      </c>
      <c r="C13" s="52" t="s">
        <v>165</v>
      </c>
      <c r="D13" s="73" t="s">
        <v>282</v>
      </c>
      <c r="E13" s="13">
        <v>1</v>
      </c>
      <c r="F13" s="21">
        <v>1</v>
      </c>
      <c r="G13" s="13" t="s">
        <v>176</v>
      </c>
      <c r="H13" s="13" t="s">
        <v>180</v>
      </c>
      <c r="I13" s="13" t="s">
        <v>177</v>
      </c>
      <c r="J13" s="13">
        <v>1</v>
      </c>
      <c r="K13" s="126" t="s">
        <v>209</v>
      </c>
      <c r="L13" s="99">
        <v>205871</v>
      </c>
      <c r="M13" s="129">
        <v>16.366544582657902</v>
      </c>
      <c r="N13" s="99">
        <v>240764</v>
      </c>
      <c r="O13" s="129">
        <v>19.140504198741201</v>
      </c>
      <c r="P13" s="150">
        <v>1257877</v>
      </c>
      <c r="Q13" s="43">
        <v>5000000</v>
      </c>
      <c r="R13" s="23">
        <f>Q13*(1-10%)</f>
        <v>4500000</v>
      </c>
      <c r="S13" s="23">
        <v>0</v>
      </c>
      <c r="T13" s="25">
        <f>R13*F13</f>
        <v>4500000</v>
      </c>
      <c r="U13" s="39">
        <f t="shared" si="1"/>
        <v>32142.857142857141</v>
      </c>
    </row>
    <row r="14" spans="1:145" s="28" customFormat="1" ht="15" customHeight="1">
      <c r="A14" s="13" t="s">
        <v>178</v>
      </c>
      <c r="B14" s="68" t="s">
        <v>229</v>
      </c>
      <c r="C14" s="50" t="s">
        <v>228</v>
      </c>
      <c r="D14" s="59" t="s">
        <v>283</v>
      </c>
      <c r="E14" s="13">
        <v>1</v>
      </c>
      <c r="F14" s="21">
        <v>1</v>
      </c>
      <c r="G14" s="13" t="s">
        <v>176</v>
      </c>
      <c r="H14" s="13" t="s">
        <v>180</v>
      </c>
      <c r="I14" s="13" t="s">
        <v>177</v>
      </c>
      <c r="J14" s="13">
        <v>1</v>
      </c>
      <c r="K14" s="126" t="s">
        <v>209</v>
      </c>
      <c r="L14" s="99">
        <v>370364</v>
      </c>
      <c r="M14" s="129">
        <v>29.443578346690401</v>
      </c>
      <c r="N14" s="99">
        <v>345641</v>
      </c>
      <c r="O14" s="129">
        <v>27.478123854717101</v>
      </c>
      <c r="P14" s="150">
        <v>1257877</v>
      </c>
      <c r="Q14" s="43">
        <v>11000000</v>
      </c>
      <c r="R14" s="23">
        <f>Q14*(1-15%)</f>
        <v>9350000</v>
      </c>
      <c r="S14" s="23">
        <v>0</v>
      </c>
      <c r="T14" s="25">
        <f>R14*F14</f>
        <v>9350000</v>
      </c>
      <c r="U14" s="39">
        <f t="shared" si="1"/>
        <v>66785.71428571429</v>
      </c>
    </row>
    <row r="15" spans="1:145" s="28" customFormat="1" ht="15" customHeight="1">
      <c r="A15" s="13" t="s">
        <v>178</v>
      </c>
      <c r="B15" s="68" t="s">
        <v>229</v>
      </c>
      <c r="C15" s="50" t="s">
        <v>228</v>
      </c>
      <c r="D15" s="51" t="s">
        <v>284</v>
      </c>
      <c r="E15" s="13">
        <v>1</v>
      </c>
      <c r="F15" s="21">
        <v>1</v>
      </c>
      <c r="G15" s="13" t="s">
        <v>176</v>
      </c>
      <c r="H15" s="13" t="s">
        <v>180</v>
      </c>
      <c r="I15" s="13" t="s">
        <v>177</v>
      </c>
      <c r="J15" s="13">
        <v>1</v>
      </c>
      <c r="K15" s="126" t="s">
        <v>209</v>
      </c>
      <c r="L15" s="99">
        <v>355259</v>
      </c>
      <c r="M15" s="129">
        <v>28.2427455148635</v>
      </c>
      <c r="N15" s="99">
        <v>315992</v>
      </c>
      <c r="O15" s="129">
        <v>25.121057146286901</v>
      </c>
      <c r="P15" s="150">
        <v>1257877</v>
      </c>
      <c r="Q15" s="42">
        <v>11310000</v>
      </c>
      <c r="R15" s="23">
        <f>Q15*(1-15%)</f>
        <v>9613500</v>
      </c>
      <c r="S15" s="23">
        <v>0</v>
      </c>
      <c r="T15" s="25">
        <f>R15*F15</f>
        <v>9613500</v>
      </c>
      <c r="U15" s="39">
        <f t="shared" si="1"/>
        <v>68667.857142857145</v>
      </c>
    </row>
    <row r="16" spans="1:145" s="28" customFormat="1" ht="15" customHeight="1">
      <c r="A16" s="13" t="s">
        <v>178</v>
      </c>
      <c r="B16" s="68" t="s">
        <v>229</v>
      </c>
      <c r="C16" s="50" t="s">
        <v>228</v>
      </c>
      <c r="D16" s="51" t="s">
        <v>285</v>
      </c>
      <c r="E16" s="13">
        <v>1</v>
      </c>
      <c r="F16" s="21">
        <v>1</v>
      </c>
      <c r="G16" s="13" t="s">
        <v>176</v>
      </c>
      <c r="H16" s="13" t="s">
        <v>180</v>
      </c>
      <c r="I16" s="13" t="s">
        <v>177</v>
      </c>
      <c r="J16" s="13">
        <v>1</v>
      </c>
      <c r="K16" s="126" t="s">
        <v>209</v>
      </c>
      <c r="L16" s="99">
        <v>1035978</v>
      </c>
      <c r="M16" s="129">
        <v>82.359244981822499</v>
      </c>
      <c r="N16" s="99">
        <v>874209</v>
      </c>
      <c r="O16" s="129">
        <v>69.498766572566296</v>
      </c>
      <c r="P16" s="150">
        <v>1257877</v>
      </c>
      <c r="Q16" s="42">
        <v>4500000</v>
      </c>
      <c r="R16" s="23">
        <f t="shared" si="0"/>
        <v>4050000</v>
      </c>
      <c r="S16" s="23">
        <v>0</v>
      </c>
      <c r="T16" s="25">
        <f>R16*F16</f>
        <v>4050000</v>
      </c>
      <c r="U16" s="39">
        <f t="shared" si="1"/>
        <v>28928.571428571428</v>
      </c>
    </row>
    <row r="17" spans="1:145" s="28" customFormat="1" ht="15" customHeight="1">
      <c r="A17" s="13" t="s">
        <v>178</v>
      </c>
      <c r="B17" s="68" t="s">
        <v>229</v>
      </c>
      <c r="C17" s="50" t="s">
        <v>228</v>
      </c>
      <c r="D17" s="59" t="s">
        <v>286</v>
      </c>
      <c r="E17" s="13">
        <v>1</v>
      </c>
      <c r="F17" s="21">
        <v>1</v>
      </c>
      <c r="G17" s="13" t="s">
        <v>176</v>
      </c>
      <c r="H17" s="13" t="s">
        <v>180</v>
      </c>
      <c r="I17" s="13" t="s">
        <v>177</v>
      </c>
      <c r="J17" s="13">
        <v>1</v>
      </c>
      <c r="K17" s="126" t="s">
        <v>209</v>
      </c>
      <c r="L17" s="99">
        <v>281262</v>
      </c>
      <c r="M17" s="129">
        <v>22.360055871917499</v>
      </c>
      <c r="N17" s="99">
        <v>292037</v>
      </c>
      <c r="O17" s="129">
        <v>23.216657908523601</v>
      </c>
      <c r="P17" s="150">
        <v>1257877</v>
      </c>
      <c r="Q17" s="42">
        <v>7000000</v>
      </c>
      <c r="R17" s="23">
        <f>Q17*(1-10%)</f>
        <v>6300000</v>
      </c>
      <c r="S17" s="23">
        <v>0</v>
      </c>
      <c r="T17" s="25">
        <f>R17*F17</f>
        <v>6300000</v>
      </c>
      <c r="U17" s="39">
        <f t="shared" si="1"/>
        <v>45000</v>
      </c>
    </row>
    <row r="18" spans="1:145" s="28" customFormat="1" ht="15" customHeight="1">
      <c r="A18" s="13" t="s">
        <v>178</v>
      </c>
      <c r="B18" s="68" t="s">
        <v>229</v>
      </c>
      <c r="C18" s="50" t="s">
        <v>228</v>
      </c>
      <c r="D18" s="59" t="s">
        <v>287</v>
      </c>
      <c r="E18" s="13">
        <v>1</v>
      </c>
      <c r="F18" s="21">
        <v>1</v>
      </c>
      <c r="G18" s="13" t="s">
        <v>176</v>
      </c>
      <c r="H18" s="13" t="s">
        <v>180</v>
      </c>
      <c r="I18" s="13" t="s">
        <v>177</v>
      </c>
      <c r="J18" s="13">
        <v>1</v>
      </c>
      <c r="K18" s="126" t="s">
        <v>209</v>
      </c>
      <c r="L18" s="99">
        <v>536525</v>
      </c>
      <c r="M18" s="129">
        <v>42.653216490960503</v>
      </c>
      <c r="N18" s="99">
        <v>368867</v>
      </c>
      <c r="O18" s="129">
        <v>29.324568300398202</v>
      </c>
      <c r="P18" s="150">
        <v>1257877</v>
      </c>
      <c r="Q18" s="42">
        <v>14300000</v>
      </c>
      <c r="R18" s="23">
        <f>Q18*(1-15%)</f>
        <v>12155000</v>
      </c>
      <c r="S18" s="23">
        <v>0</v>
      </c>
      <c r="T18" s="25">
        <f>R18*F18</f>
        <v>12155000</v>
      </c>
      <c r="U18" s="39">
        <f t="shared" si="1"/>
        <v>86821.428571428565</v>
      </c>
    </row>
    <row r="19" spans="1:145" s="29" customFormat="1" ht="15" customHeight="1">
      <c r="A19" s="13" t="s">
        <v>178</v>
      </c>
      <c r="B19" s="96" t="s">
        <v>179</v>
      </c>
      <c r="C19" s="50" t="s">
        <v>228</v>
      </c>
      <c r="D19" s="59" t="s">
        <v>288</v>
      </c>
      <c r="E19" s="13">
        <v>1</v>
      </c>
      <c r="F19" s="21">
        <v>1</v>
      </c>
      <c r="G19" s="13" t="s">
        <v>176</v>
      </c>
      <c r="H19" s="13" t="s">
        <v>180</v>
      </c>
      <c r="I19" s="13" t="s">
        <v>177</v>
      </c>
      <c r="J19" s="13">
        <v>1</v>
      </c>
      <c r="K19" s="126" t="s">
        <v>209</v>
      </c>
      <c r="L19" s="99">
        <v>222497</v>
      </c>
      <c r="M19" s="129">
        <v>17.688295437471201</v>
      </c>
      <c r="N19" s="99">
        <v>186083</v>
      </c>
      <c r="O19" s="129">
        <v>14.793417798401499</v>
      </c>
      <c r="P19" s="150">
        <v>1257877</v>
      </c>
      <c r="Q19" s="42">
        <v>4500000</v>
      </c>
      <c r="R19" s="23">
        <f>Q19*(1-15%)</f>
        <v>3825000</v>
      </c>
      <c r="S19" s="23">
        <v>0</v>
      </c>
      <c r="T19" s="25">
        <f>R19*F19</f>
        <v>3825000</v>
      </c>
      <c r="U19" s="39">
        <f t="shared" si="1"/>
        <v>27321.428571428572</v>
      </c>
    </row>
    <row r="20" spans="1:145" s="24" customFormat="1" ht="15" customHeight="1">
      <c r="A20" s="13" t="s">
        <v>178</v>
      </c>
      <c r="B20" s="68" t="s">
        <v>229</v>
      </c>
      <c r="C20" s="50" t="s">
        <v>228</v>
      </c>
      <c r="D20" s="59" t="s">
        <v>289</v>
      </c>
      <c r="E20" s="13">
        <v>1</v>
      </c>
      <c r="F20" s="21">
        <v>1</v>
      </c>
      <c r="G20" s="13" t="s">
        <v>176</v>
      </c>
      <c r="H20" s="13" t="s">
        <v>180</v>
      </c>
      <c r="I20" s="13" t="s">
        <v>177</v>
      </c>
      <c r="J20" s="13">
        <v>1</v>
      </c>
      <c r="K20" s="126" t="s">
        <v>209</v>
      </c>
      <c r="L20" s="99">
        <v>123035</v>
      </c>
      <c r="M20" s="129">
        <v>9.7811630230936704</v>
      </c>
      <c r="N20" s="99">
        <v>101894</v>
      </c>
      <c r="O20" s="129">
        <v>8.1004740527094405</v>
      </c>
      <c r="P20" s="150">
        <v>1257877</v>
      </c>
      <c r="Q20" s="42">
        <v>5000000</v>
      </c>
      <c r="R20" s="14">
        <f>Q20*(1-10% )</f>
        <v>4500000</v>
      </c>
      <c r="S20" s="23">
        <v>0</v>
      </c>
      <c r="T20" s="25">
        <f>R20*F20</f>
        <v>4500000</v>
      </c>
      <c r="U20" s="39">
        <f t="shared" si="1"/>
        <v>32142.857142857141</v>
      </c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7"/>
    </row>
    <row r="21" spans="1:145" s="24" customFormat="1" ht="15" customHeight="1">
      <c r="A21" s="13" t="s">
        <v>178</v>
      </c>
      <c r="B21" s="74" t="s">
        <v>179</v>
      </c>
      <c r="C21" s="52" t="s">
        <v>165</v>
      </c>
      <c r="D21" s="52" t="s">
        <v>290</v>
      </c>
      <c r="E21" s="13">
        <v>1</v>
      </c>
      <c r="F21" s="21">
        <v>1</v>
      </c>
      <c r="G21" s="13" t="s">
        <v>176</v>
      </c>
      <c r="H21" s="13" t="s">
        <v>180</v>
      </c>
      <c r="I21" s="13" t="s">
        <v>177</v>
      </c>
      <c r="J21" s="13">
        <v>1</v>
      </c>
      <c r="K21" s="126" t="s">
        <v>209</v>
      </c>
      <c r="L21" s="99">
        <v>219582</v>
      </c>
      <c r="M21" s="129">
        <v>17.456555768171199</v>
      </c>
      <c r="N21" s="99">
        <v>258943</v>
      </c>
      <c r="O21" s="129">
        <v>20.5857170454662</v>
      </c>
      <c r="P21" s="150">
        <v>1257877</v>
      </c>
      <c r="Q21" s="43">
        <v>5000000</v>
      </c>
      <c r="R21" s="14">
        <f>Q21*(1-15% )</f>
        <v>4250000</v>
      </c>
      <c r="S21" s="23">
        <v>0</v>
      </c>
      <c r="T21" s="25">
        <f>R21*F21</f>
        <v>4250000</v>
      </c>
      <c r="U21" s="39">
        <f t="shared" si="1"/>
        <v>30357.142857142859</v>
      </c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7"/>
    </row>
    <row r="22" spans="1:145" s="24" customFormat="1" ht="15" customHeight="1">
      <c r="A22" s="13" t="s">
        <v>178</v>
      </c>
      <c r="B22" s="68" t="s">
        <v>229</v>
      </c>
      <c r="C22" s="50" t="s">
        <v>228</v>
      </c>
      <c r="D22" s="59" t="s">
        <v>291</v>
      </c>
      <c r="E22" s="13">
        <v>1</v>
      </c>
      <c r="F22" s="21">
        <v>1</v>
      </c>
      <c r="G22" s="13" t="s">
        <v>176</v>
      </c>
      <c r="H22" s="13" t="s">
        <v>180</v>
      </c>
      <c r="I22" s="13" t="s">
        <v>177</v>
      </c>
      <c r="J22" s="13">
        <v>1</v>
      </c>
      <c r="K22" s="126" t="s">
        <v>209</v>
      </c>
      <c r="L22" s="99">
        <v>424578</v>
      </c>
      <c r="M22" s="129">
        <v>33.7535387005247</v>
      </c>
      <c r="N22" s="99">
        <v>391797</v>
      </c>
      <c r="O22" s="129">
        <v>31.147481033519099</v>
      </c>
      <c r="P22" s="150">
        <v>1257877</v>
      </c>
      <c r="Q22" s="43">
        <v>5700000</v>
      </c>
      <c r="R22" s="14">
        <f>Q22*(1-15% )</f>
        <v>4845000</v>
      </c>
      <c r="S22" s="23">
        <v>0</v>
      </c>
      <c r="T22" s="25">
        <f>R22*F22</f>
        <v>4845000</v>
      </c>
      <c r="U22" s="39">
        <f t="shared" si="1"/>
        <v>34607.142857142855</v>
      </c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7"/>
    </row>
    <row r="23" spans="1:145" s="64" customFormat="1" ht="15" customHeight="1">
      <c r="A23" s="13" t="s">
        <v>178</v>
      </c>
      <c r="B23" s="68" t="s">
        <v>229</v>
      </c>
      <c r="C23" s="50" t="s">
        <v>228</v>
      </c>
      <c r="D23" s="59" t="s">
        <v>292</v>
      </c>
      <c r="E23" s="13">
        <v>1</v>
      </c>
      <c r="F23" s="21">
        <v>1</v>
      </c>
      <c r="G23" s="13" t="s">
        <v>176</v>
      </c>
      <c r="H23" s="13" t="s">
        <v>180</v>
      </c>
      <c r="I23" s="61" t="s">
        <v>177</v>
      </c>
      <c r="J23" s="61">
        <v>1</v>
      </c>
      <c r="K23" s="126" t="s">
        <v>209</v>
      </c>
      <c r="L23" s="99">
        <v>479966</v>
      </c>
      <c r="M23" s="129">
        <v>38.156830914310298</v>
      </c>
      <c r="N23" s="99">
        <v>504408</v>
      </c>
      <c r="O23" s="129">
        <v>40.099946179157399</v>
      </c>
      <c r="P23" s="150">
        <v>1257877</v>
      </c>
      <c r="Q23" s="62">
        <v>7000000</v>
      </c>
      <c r="R23" s="14">
        <f t="shared" ref="R23:R75" si="2">Q23*(1-10% )</f>
        <v>6300000</v>
      </c>
      <c r="S23" s="23">
        <v>0</v>
      </c>
      <c r="T23" s="25">
        <f>R23*F23</f>
        <v>6300000</v>
      </c>
      <c r="U23" s="39">
        <f t="shared" si="1"/>
        <v>45000</v>
      </c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63"/>
    </row>
    <row r="24" spans="1:145" s="24" customFormat="1" ht="15" customHeight="1">
      <c r="A24" s="13" t="s">
        <v>178</v>
      </c>
      <c r="B24" s="75" t="s">
        <v>179</v>
      </c>
      <c r="C24" s="50" t="s">
        <v>228</v>
      </c>
      <c r="D24" s="59" t="s">
        <v>293</v>
      </c>
      <c r="E24" s="13">
        <v>1</v>
      </c>
      <c r="F24" s="21">
        <v>1</v>
      </c>
      <c r="G24" s="13" t="s">
        <v>176</v>
      </c>
      <c r="H24" s="13" t="s">
        <v>180</v>
      </c>
      <c r="I24" s="13" t="s">
        <v>177</v>
      </c>
      <c r="J24" s="13">
        <v>1</v>
      </c>
      <c r="K24" s="126" t="s">
        <v>209</v>
      </c>
      <c r="L24" s="99">
        <v>485258</v>
      </c>
      <c r="M24" s="129">
        <v>38.577539775351603</v>
      </c>
      <c r="N24" s="99">
        <v>274945</v>
      </c>
      <c r="O24" s="129">
        <v>21.857860506233902</v>
      </c>
      <c r="P24" s="150">
        <v>1257877</v>
      </c>
      <c r="Q24" s="42">
        <v>5000000</v>
      </c>
      <c r="R24" s="14">
        <f t="shared" si="2"/>
        <v>4500000</v>
      </c>
      <c r="S24" s="23">
        <v>0</v>
      </c>
      <c r="T24" s="25">
        <f>R24*F24</f>
        <v>4500000</v>
      </c>
      <c r="U24" s="39">
        <f t="shared" si="1"/>
        <v>32142.857142857141</v>
      </c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7"/>
    </row>
    <row r="25" spans="1:145" s="24" customFormat="1" ht="15" customHeight="1">
      <c r="A25" s="13" t="s">
        <v>178</v>
      </c>
      <c r="B25" s="68" t="s">
        <v>229</v>
      </c>
      <c r="C25" s="50" t="s">
        <v>228</v>
      </c>
      <c r="D25" s="59" t="s">
        <v>294</v>
      </c>
      <c r="E25" s="13">
        <v>1</v>
      </c>
      <c r="F25" s="21">
        <v>1</v>
      </c>
      <c r="G25" s="13" t="s">
        <v>176</v>
      </c>
      <c r="H25" s="13" t="s">
        <v>180</v>
      </c>
      <c r="I25" s="13" t="s">
        <v>177</v>
      </c>
      <c r="J25" s="13">
        <v>1</v>
      </c>
      <c r="K25" s="126" t="s">
        <v>209</v>
      </c>
      <c r="L25" s="99">
        <v>134533</v>
      </c>
      <c r="M25" s="129">
        <v>10.695242857608401</v>
      </c>
      <c r="N25" s="99">
        <v>142772</v>
      </c>
      <c r="O25" s="129">
        <v>11.3502353568751</v>
      </c>
      <c r="P25" s="150">
        <v>1257877</v>
      </c>
      <c r="Q25" s="42">
        <v>5000000</v>
      </c>
      <c r="R25" s="14">
        <f>Q25*(1-15% )</f>
        <v>4250000</v>
      </c>
      <c r="S25" s="23">
        <v>0</v>
      </c>
      <c r="T25" s="25">
        <f>R25*F25</f>
        <v>4250000</v>
      </c>
      <c r="U25" s="39">
        <f t="shared" si="1"/>
        <v>30357.142857142859</v>
      </c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7"/>
    </row>
    <row r="26" spans="1:145" s="24" customFormat="1" ht="15" customHeight="1">
      <c r="A26" s="13" t="s">
        <v>178</v>
      </c>
      <c r="B26" s="76" t="s">
        <v>179</v>
      </c>
      <c r="C26" s="52" t="s">
        <v>165</v>
      </c>
      <c r="D26" s="52" t="s">
        <v>295</v>
      </c>
      <c r="E26" s="13">
        <v>1</v>
      </c>
      <c r="F26" s="21">
        <v>1</v>
      </c>
      <c r="G26" s="13" t="s">
        <v>176</v>
      </c>
      <c r="H26" s="13" t="s">
        <v>180</v>
      </c>
      <c r="I26" s="13" t="s">
        <v>177</v>
      </c>
      <c r="J26" s="13">
        <v>1</v>
      </c>
      <c r="K26" s="126" t="s">
        <v>209</v>
      </c>
      <c r="L26" s="99">
        <v>371720</v>
      </c>
      <c r="M26" s="129">
        <v>29.5513790299051</v>
      </c>
      <c r="N26" s="99">
        <v>255836</v>
      </c>
      <c r="O26" s="129">
        <v>20.338713562613801</v>
      </c>
      <c r="P26" s="150">
        <v>1257877</v>
      </c>
      <c r="Q26" s="42">
        <v>5000000</v>
      </c>
      <c r="R26" s="14">
        <f t="shared" si="2"/>
        <v>4500000</v>
      </c>
      <c r="S26" s="23">
        <v>0</v>
      </c>
      <c r="T26" s="25">
        <f>R26*F26</f>
        <v>4500000</v>
      </c>
      <c r="U26" s="39">
        <f t="shared" si="1"/>
        <v>32142.857142857141</v>
      </c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7"/>
    </row>
    <row r="27" spans="1:145" s="24" customFormat="1" ht="15" customHeight="1">
      <c r="A27" s="13" t="s">
        <v>178</v>
      </c>
      <c r="B27" s="68" t="s">
        <v>229</v>
      </c>
      <c r="C27" s="50" t="s">
        <v>228</v>
      </c>
      <c r="D27" s="59" t="s">
        <v>296</v>
      </c>
      <c r="E27" s="13">
        <v>1</v>
      </c>
      <c r="F27" s="21">
        <v>1</v>
      </c>
      <c r="G27" s="13" t="s">
        <v>176</v>
      </c>
      <c r="H27" s="13" t="s">
        <v>180</v>
      </c>
      <c r="I27" s="13" t="s">
        <v>177</v>
      </c>
      <c r="J27" s="13">
        <v>1</v>
      </c>
      <c r="K27" s="126" t="s">
        <v>209</v>
      </c>
      <c r="L27" s="99">
        <v>422663</v>
      </c>
      <c r="M27" s="129">
        <v>33.601298060144103</v>
      </c>
      <c r="N27" s="99">
        <v>406686</v>
      </c>
      <c r="O27" s="129">
        <v>32.3311420750995</v>
      </c>
      <c r="P27" s="150">
        <v>1257877</v>
      </c>
      <c r="Q27" s="42">
        <v>11500000</v>
      </c>
      <c r="R27" s="14">
        <f>Q27*(1-15% )</f>
        <v>9775000</v>
      </c>
      <c r="S27" s="23">
        <v>0</v>
      </c>
      <c r="T27" s="25">
        <f>R27*F27</f>
        <v>9775000</v>
      </c>
      <c r="U27" s="39">
        <f t="shared" si="1"/>
        <v>69821.428571428565</v>
      </c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7"/>
    </row>
    <row r="28" spans="1:145" s="28" customFormat="1" ht="15" customHeight="1">
      <c r="A28" s="13" t="s">
        <v>178</v>
      </c>
      <c r="B28" s="68" t="s">
        <v>229</v>
      </c>
      <c r="C28" s="50" t="s">
        <v>228</v>
      </c>
      <c r="D28" s="59" t="s">
        <v>297</v>
      </c>
      <c r="E28" s="13">
        <v>1</v>
      </c>
      <c r="F28" s="21">
        <v>1</v>
      </c>
      <c r="G28" s="13" t="s">
        <v>176</v>
      </c>
      <c r="H28" s="13" t="s">
        <v>180</v>
      </c>
      <c r="I28" s="13" t="s">
        <v>177</v>
      </c>
      <c r="J28" s="13">
        <v>1</v>
      </c>
      <c r="K28" s="126" t="s">
        <v>209</v>
      </c>
      <c r="L28" s="99">
        <v>126936</v>
      </c>
      <c r="M28" s="129">
        <v>10.091288734908099</v>
      </c>
      <c r="N28" s="99">
        <v>164161</v>
      </c>
      <c r="O28" s="129">
        <v>13.050640086431301</v>
      </c>
      <c r="P28" s="150">
        <v>1257877</v>
      </c>
      <c r="Q28" s="43">
        <v>5700000</v>
      </c>
      <c r="R28" s="23">
        <f t="shared" ref="R28" si="3">Q28*(1-10%)</f>
        <v>5130000</v>
      </c>
      <c r="S28" s="23">
        <v>0</v>
      </c>
      <c r="T28" s="25">
        <f>R28*F28</f>
        <v>5130000</v>
      </c>
      <c r="U28" s="39">
        <f t="shared" si="1"/>
        <v>36642.857142857145</v>
      </c>
    </row>
    <row r="29" spans="1:145" s="24" customFormat="1" ht="15" customHeight="1">
      <c r="A29" s="13" t="s">
        <v>178</v>
      </c>
      <c r="B29" s="68" t="s">
        <v>229</v>
      </c>
      <c r="C29" s="50" t="s">
        <v>228</v>
      </c>
      <c r="D29" s="59" t="s">
        <v>298</v>
      </c>
      <c r="E29" s="13">
        <v>1</v>
      </c>
      <c r="F29" s="21">
        <v>1</v>
      </c>
      <c r="G29" s="13" t="s">
        <v>176</v>
      </c>
      <c r="H29" s="13" t="s">
        <v>180</v>
      </c>
      <c r="I29" s="13" t="s">
        <v>177</v>
      </c>
      <c r="J29" s="13">
        <v>1</v>
      </c>
      <c r="K29" s="126" t="s">
        <v>209</v>
      </c>
      <c r="L29" s="99">
        <v>171076</v>
      </c>
      <c r="M29" s="129">
        <v>13.6003758714087</v>
      </c>
      <c r="N29" s="99">
        <v>178640</v>
      </c>
      <c r="O29" s="129">
        <v>14.2017065261547</v>
      </c>
      <c r="P29" s="150">
        <v>1257877</v>
      </c>
      <c r="Q29" s="42">
        <v>11500000</v>
      </c>
      <c r="R29" s="14">
        <f>Q29*(1-10% )</f>
        <v>10350000</v>
      </c>
      <c r="S29" s="23">
        <v>0</v>
      </c>
      <c r="T29" s="25">
        <f>R29*F29</f>
        <v>10350000</v>
      </c>
      <c r="U29" s="39">
        <f t="shared" si="1"/>
        <v>73928.571428571435</v>
      </c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7"/>
    </row>
    <row r="30" spans="1:145" s="24" customFormat="1" ht="15" customHeight="1">
      <c r="A30" s="13" t="s">
        <v>178</v>
      </c>
      <c r="B30" s="68" t="s">
        <v>229</v>
      </c>
      <c r="C30" s="50" t="s">
        <v>228</v>
      </c>
      <c r="D30" s="51" t="s">
        <v>299</v>
      </c>
      <c r="E30" s="13">
        <v>1</v>
      </c>
      <c r="F30" s="21">
        <v>1</v>
      </c>
      <c r="G30" s="13" t="s">
        <v>176</v>
      </c>
      <c r="H30" s="13" t="s">
        <v>180</v>
      </c>
      <c r="I30" s="13" t="s">
        <v>177</v>
      </c>
      <c r="J30" s="13">
        <v>1</v>
      </c>
      <c r="K30" s="126" t="s">
        <v>209</v>
      </c>
      <c r="L30" s="99">
        <v>1041597</v>
      </c>
      <c r="M30" s="129">
        <v>82.805950025320399</v>
      </c>
      <c r="N30" s="99">
        <v>1224480</v>
      </c>
      <c r="O30" s="129">
        <v>97.344970931180001</v>
      </c>
      <c r="P30" s="150">
        <v>1257877</v>
      </c>
      <c r="Q30" s="42">
        <v>15000000</v>
      </c>
      <c r="R30" s="14">
        <f>Q30*(1-10% )</f>
        <v>13500000</v>
      </c>
      <c r="S30" s="23">
        <v>0</v>
      </c>
      <c r="T30" s="25">
        <f>R30*F30</f>
        <v>13500000</v>
      </c>
      <c r="U30" s="39">
        <f t="shared" si="1"/>
        <v>96428.571428571435</v>
      </c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7"/>
    </row>
    <row r="31" spans="1:145" s="24" customFormat="1" ht="15" customHeight="1">
      <c r="A31" s="13" t="s">
        <v>178</v>
      </c>
      <c r="B31" s="68" t="s">
        <v>229</v>
      </c>
      <c r="C31" s="50" t="s">
        <v>228</v>
      </c>
      <c r="D31" s="59" t="s">
        <v>300</v>
      </c>
      <c r="E31" s="13">
        <v>1</v>
      </c>
      <c r="F31" s="21">
        <v>1</v>
      </c>
      <c r="G31" s="13" t="s">
        <v>176</v>
      </c>
      <c r="H31" s="13" t="s">
        <v>180</v>
      </c>
      <c r="I31" s="13" t="s">
        <v>177</v>
      </c>
      <c r="J31" s="13">
        <v>1</v>
      </c>
      <c r="K31" s="126" t="s">
        <v>209</v>
      </c>
      <c r="L31" s="99">
        <v>402579</v>
      </c>
      <c r="M31" s="129">
        <v>32.0046395633277</v>
      </c>
      <c r="N31" s="99">
        <v>432283</v>
      </c>
      <c r="O31" s="129">
        <v>34.366078718348398</v>
      </c>
      <c r="P31" s="150">
        <v>1257877</v>
      </c>
      <c r="Q31" s="42">
        <v>7500000</v>
      </c>
      <c r="R31" s="14">
        <f>Q31*(1-10% )</f>
        <v>6750000</v>
      </c>
      <c r="S31" s="23">
        <v>0</v>
      </c>
      <c r="T31" s="25">
        <f>R31*F31</f>
        <v>6750000</v>
      </c>
      <c r="U31" s="39">
        <f t="shared" si="1"/>
        <v>48214.285714285717</v>
      </c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7"/>
    </row>
    <row r="32" spans="1:145" s="24" customFormat="1" ht="15" customHeight="1">
      <c r="A32" s="13" t="s">
        <v>178</v>
      </c>
      <c r="B32" s="68" t="s">
        <v>229</v>
      </c>
      <c r="C32" s="50" t="s">
        <v>228</v>
      </c>
      <c r="D32" s="51" t="s">
        <v>301</v>
      </c>
      <c r="E32" s="13">
        <v>1</v>
      </c>
      <c r="F32" s="21">
        <v>1</v>
      </c>
      <c r="G32" s="13" t="s">
        <v>176</v>
      </c>
      <c r="H32" s="13" t="s">
        <v>180</v>
      </c>
      <c r="I32" s="13" t="s">
        <v>177</v>
      </c>
      <c r="J32" s="13">
        <v>1</v>
      </c>
      <c r="K32" s="126" t="s">
        <v>209</v>
      </c>
      <c r="L32" s="99">
        <v>1774811</v>
      </c>
      <c r="M32" s="129">
        <v>141.09575101540099</v>
      </c>
      <c r="N32" s="99">
        <v>1717366</v>
      </c>
      <c r="O32" s="129">
        <v>136.52892929912801</v>
      </c>
      <c r="P32" s="150">
        <v>1257877</v>
      </c>
      <c r="Q32" s="42">
        <v>17800000</v>
      </c>
      <c r="R32" s="14">
        <f>Q32*(1-10% )</f>
        <v>16020000</v>
      </c>
      <c r="S32" s="23">
        <v>0</v>
      </c>
      <c r="T32" s="25">
        <f>R32*F32</f>
        <v>16020000</v>
      </c>
      <c r="U32" s="39">
        <f t="shared" si="1"/>
        <v>114428.57142857143</v>
      </c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7"/>
    </row>
    <row r="33" spans="1:145" s="24" customFormat="1" ht="15" customHeight="1">
      <c r="A33" s="13" t="s">
        <v>178</v>
      </c>
      <c r="B33" s="68" t="s">
        <v>229</v>
      </c>
      <c r="C33" s="50" t="s">
        <v>228</v>
      </c>
      <c r="D33" s="59" t="s">
        <v>302</v>
      </c>
      <c r="E33" s="13">
        <v>1</v>
      </c>
      <c r="F33" s="21">
        <v>1</v>
      </c>
      <c r="G33" s="13" t="s">
        <v>176</v>
      </c>
      <c r="H33" s="13" t="s">
        <v>180</v>
      </c>
      <c r="I33" s="13" t="s">
        <v>177</v>
      </c>
      <c r="J33" s="13">
        <v>1</v>
      </c>
      <c r="K33" s="126" t="s">
        <v>209</v>
      </c>
      <c r="L33" s="99">
        <v>274472</v>
      </c>
      <c r="M33" s="129">
        <v>21.820257465554999</v>
      </c>
      <c r="N33" s="99">
        <v>290156</v>
      </c>
      <c r="O33" s="129">
        <v>23.0671202351263</v>
      </c>
      <c r="P33" s="150">
        <v>1257877</v>
      </c>
      <c r="Q33" s="42">
        <v>11000000</v>
      </c>
      <c r="R33" s="14">
        <f>Q33*(1-15% )</f>
        <v>9350000</v>
      </c>
      <c r="S33" s="23">
        <v>0</v>
      </c>
      <c r="T33" s="25">
        <f>R33*F33</f>
        <v>9350000</v>
      </c>
      <c r="U33" s="39">
        <f t="shared" si="1"/>
        <v>66785.71428571429</v>
      </c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7"/>
    </row>
    <row r="34" spans="1:145" s="24" customFormat="1" ht="15" customHeight="1">
      <c r="A34" s="13" t="s">
        <v>178</v>
      </c>
      <c r="B34" s="82" t="s">
        <v>179</v>
      </c>
      <c r="C34" s="50" t="s">
        <v>228</v>
      </c>
      <c r="D34" s="59" t="s">
        <v>303</v>
      </c>
      <c r="E34" s="13">
        <v>1</v>
      </c>
      <c r="F34" s="21">
        <v>1</v>
      </c>
      <c r="G34" s="13" t="s">
        <v>176</v>
      </c>
      <c r="H34" s="13" t="s">
        <v>180</v>
      </c>
      <c r="I34" s="13" t="s">
        <v>177</v>
      </c>
      <c r="J34" s="13">
        <v>1</v>
      </c>
      <c r="K34" s="126" t="s">
        <v>209</v>
      </c>
      <c r="L34" s="99">
        <v>151498</v>
      </c>
      <c r="M34" s="129">
        <v>12.043943883225401</v>
      </c>
      <c r="N34" s="99">
        <v>148557</v>
      </c>
      <c r="O34" s="129">
        <v>11.810137239173599</v>
      </c>
      <c r="P34" s="150">
        <v>1257877</v>
      </c>
      <c r="Q34" s="42">
        <v>4500000</v>
      </c>
      <c r="R34" s="14">
        <f>Q34*(1-10% )</f>
        <v>4050000</v>
      </c>
      <c r="S34" s="23">
        <v>0</v>
      </c>
      <c r="T34" s="25">
        <f>R34*F34</f>
        <v>4050000</v>
      </c>
      <c r="U34" s="39">
        <f t="shared" si="1"/>
        <v>28928.571428571428</v>
      </c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7"/>
    </row>
    <row r="35" spans="1:145" s="24" customFormat="1" ht="15" customHeight="1">
      <c r="A35" s="13" t="s">
        <v>178</v>
      </c>
      <c r="B35" s="68" t="s">
        <v>229</v>
      </c>
      <c r="C35" s="50" t="s">
        <v>228</v>
      </c>
      <c r="D35" s="59" t="s">
        <v>315</v>
      </c>
      <c r="E35" s="13">
        <v>1</v>
      </c>
      <c r="F35" s="21">
        <v>1</v>
      </c>
      <c r="G35" s="13" t="s">
        <v>176</v>
      </c>
      <c r="H35" s="13" t="s">
        <v>180</v>
      </c>
      <c r="I35" s="13" t="s">
        <v>177</v>
      </c>
      <c r="J35" s="13">
        <v>1</v>
      </c>
      <c r="K35" s="126" t="s">
        <v>209</v>
      </c>
      <c r="L35" s="99">
        <v>555448</v>
      </c>
      <c r="M35" s="129">
        <v>44.157576615201599</v>
      </c>
      <c r="N35" s="99">
        <v>563088</v>
      </c>
      <c r="O35" s="129">
        <v>44.764949196145501</v>
      </c>
      <c r="P35" s="150">
        <v>1257877</v>
      </c>
      <c r="Q35" s="42">
        <v>12000000</v>
      </c>
      <c r="R35" s="14">
        <f>Q35*(1-10% )</f>
        <v>10800000</v>
      </c>
      <c r="S35" s="23">
        <v>0</v>
      </c>
      <c r="T35" s="25">
        <f>R35*F35</f>
        <v>10800000</v>
      </c>
      <c r="U35" s="39">
        <f t="shared" si="1"/>
        <v>77142.857142857145</v>
      </c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7"/>
    </row>
    <row r="36" spans="1:145" s="24" customFormat="1" ht="15" customHeight="1">
      <c r="A36" s="13" t="s">
        <v>178</v>
      </c>
      <c r="B36" s="68" t="s">
        <v>229</v>
      </c>
      <c r="C36" s="50" t="s">
        <v>228</v>
      </c>
      <c r="D36" s="59" t="s">
        <v>316</v>
      </c>
      <c r="E36" s="13">
        <v>1</v>
      </c>
      <c r="F36" s="21">
        <v>1</v>
      </c>
      <c r="G36" s="13" t="s">
        <v>176</v>
      </c>
      <c r="H36" s="13" t="s">
        <v>180</v>
      </c>
      <c r="I36" s="13" t="s">
        <v>177</v>
      </c>
      <c r="J36" s="13">
        <v>1</v>
      </c>
      <c r="K36" s="126" t="s">
        <v>209</v>
      </c>
      <c r="L36" s="99">
        <v>236664</v>
      </c>
      <c r="M36" s="129">
        <v>18.814558180171801</v>
      </c>
      <c r="N36" s="99">
        <v>200588</v>
      </c>
      <c r="O36" s="129">
        <v>15.9465512128769</v>
      </c>
      <c r="P36" s="150">
        <v>1257877</v>
      </c>
      <c r="Q36" s="42">
        <v>4500000</v>
      </c>
      <c r="R36" s="14">
        <f>Q36*(1-10% )</f>
        <v>4050000</v>
      </c>
      <c r="S36" s="23">
        <v>0</v>
      </c>
      <c r="T36" s="25">
        <f>R36*F36</f>
        <v>4050000</v>
      </c>
      <c r="U36" s="39">
        <f t="shared" si="1"/>
        <v>28928.571428571428</v>
      </c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7"/>
    </row>
    <row r="37" spans="1:145" s="24" customFormat="1" ht="15" customHeight="1">
      <c r="A37" s="13" t="s">
        <v>178</v>
      </c>
      <c r="B37" s="68" t="s">
        <v>229</v>
      </c>
      <c r="C37" s="50" t="s">
        <v>228</v>
      </c>
      <c r="D37" s="59" t="s">
        <v>317</v>
      </c>
      <c r="E37" s="13">
        <v>1</v>
      </c>
      <c r="F37" s="21">
        <v>1</v>
      </c>
      <c r="G37" s="13" t="s">
        <v>176</v>
      </c>
      <c r="H37" s="13" t="s">
        <v>180</v>
      </c>
      <c r="I37" s="13" t="s">
        <v>177</v>
      </c>
      <c r="J37" s="13">
        <v>1</v>
      </c>
      <c r="K37" s="126" t="s">
        <v>209</v>
      </c>
      <c r="L37" s="99">
        <v>629068</v>
      </c>
      <c r="M37" s="129">
        <v>50.010295124244998</v>
      </c>
      <c r="N37" s="99">
        <v>801206</v>
      </c>
      <c r="O37" s="129">
        <v>63.695098964366103</v>
      </c>
      <c r="P37" s="150">
        <v>1257877</v>
      </c>
      <c r="Q37" s="42">
        <v>5700000</v>
      </c>
      <c r="R37" s="14">
        <f>Q37*(1-10% )</f>
        <v>5130000</v>
      </c>
      <c r="S37" s="23">
        <v>0</v>
      </c>
      <c r="T37" s="25">
        <f>R37*F37</f>
        <v>5130000</v>
      </c>
      <c r="U37" s="39">
        <f t="shared" si="1"/>
        <v>36642.857142857145</v>
      </c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7"/>
    </row>
    <row r="38" spans="1:145" s="24" customFormat="1" ht="15" customHeight="1">
      <c r="A38" s="13" t="s">
        <v>186</v>
      </c>
      <c r="B38" s="153" t="s">
        <v>179</v>
      </c>
      <c r="C38" s="13" t="s">
        <v>165</v>
      </c>
      <c r="D38" s="26" t="s">
        <v>264</v>
      </c>
      <c r="E38" s="13">
        <v>1</v>
      </c>
      <c r="F38" s="21">
        <v>1</v>
      </c>
      <c r="G38" s="13" t="s">
        <v>176</v>
      </c>
      <c r="H38" s="13" t="s">
        <v>180</v>
      </c>
      <c r="I38" s="13" t="s">
        <v>177</v>
      </c>
      <c r="J38" s="13">
        <v>1</v>
      </c>
      <c r="K38" s="126" t="s">
        <v>209</v>
      </c>
      <c r="L38" s="99">
        <v>181481</v>
      </c>
      <c r="M38" s="129">
        <v>14.4275632673146</v>
      </c>
      <c r="N38" s="99">
        <v>294957</v>
      </c>
      <c r="O38" s="129">
        <v>23.4487950729681</v>
      </c>
      <c r="P38" s="150">
        <v>1257877</v>
      </c>
      <c r="Q38" s="42">
        <v>2300000</v>
      </c>
      <c r="R38" s="14">
        <f t="shared" si="2"/>
        <v>2070000</v>
      </c>
      <c r="S38" s="23">
        <v>0</v>
      </c>
      <c r="T38" s="25">
        <f>R38*F38</f>
        <v>2070000</v>
      </c>
      <c r="U38" s="39">
        <f t="shared" si="1"/>
        <v>14785.714285714286</v>
      </c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7"/>
    </row>
    <row r="39" spans="1:145" s="28" customFormat="1" ht="15">
      <c r="A39" s="13" t="s">
        <v>186</v>
      </c>
      <c r="B39" s="153"/>
      <c r="C39" s="13" t="s">
        <v>165</v>
      </c>
      <c r="D39" s="26" t="s">
        <v>263</v>
      </c>
      <c r="E39" s="13">
        <v>1</v>
      </c>
      <c r="F39" s="21">
        <v>1</v>
      </c>
      <c r="G39" s="13" t="s">
        <v>176</v>
      </c>
      <c r="H39" s="13" t="s">
        <v>180</v>
      </c>
      <c r="I39" s="13" t="s">
        <v>177</v>
      </c>
      <c r="J39" s="13">
        <v>1</v>
      </c>
      <c r="K39" s="126" t="s">
        <v>209</v>
      </c>
      <c r="L39" s="99">
        <v>52788</v>
      </c>
      <c r="M39" s="129">
        <v>4.1965947385952598</v>
      </c>
      <c r="N39" s="99">
        <v>58067</v>
      </c>
      <c r="O39" s="129">
        <v>4.6162701122605698</v>
      </c>
      <c r="P39" s="150">
        <v>1257877</v>
      </c>
      <c r="Q39" s="42">
        <v>2300000</v>
      </c>
      <c r="R39" s="14">
        <f t="shared" si="2"/>
        <v>2070000</v>
      </c>
      <c r="S39" s="23">
        <v>0</v>
      </c>
      <c r="T39" s="25">
        <f>R39*F39</f>
        <v>2070000</v>
      </c>
      <c r="U39" s="39">
        <f t="shared" si="1"/>
        <v>14785.714285714286</v>
      </c>
    </row>
    <row r="40" spans="1:145" s="28" customFormat="1" ht="15" customHeight="1">
      <c r="A40" s="13" t="s">
        <v>186</v>
      </c>
      <c r="B40" s="153"/>
      <c r="C40" s="13" t="s">
        <v>165</v>
      </c>
      <c r="D40" s="26" t="s">
        <v>265</v>
      </c>
      <c r="E40" s="13">
        <v>1</v>
      </c>
      <c r="F40" s="21">
        <v>1</v>
      </c>
      <c r="G40" s="13" t="s">
        <v>176</v>
      </c>
      <c r="H40" s="13" t="s">
        <v>180</v>
      </c>
      <c r="I40" s="13" t="s">
        <v>177</v>
      </c>
      <c r="J40" s="13">
        <v>1</v>
      </c>
      <c r="K40" s="126" t="s">
        <v>209</v>
      </c>
      <c r="L40" s="99">
        <v>165429</v>
      </c>
      <c r="M40" s="129">
        <v>13.151444855100999</v>
      </c>
      <c r="N40" s="99">
        <v>181085</v>
      </c>
      <c r="O40" s="129">
        <v>14.3960816518626</v>
      </c>
      <c r="P40" s="150">
        <v>1257877</v>
      </c>
      <c r="Q40" s="42">
        <v>2300000</v>
      </c>
      <c r="R40" s="14">
        <f t="shared" si="2"/>
        <v>2070000</v>
      </c>
      <c r="S40" s="23">
        <v>0</v>
      </c>
      <c r="T40" s="25">
        <f>R40*F40</f>
        <v>2070000</v>
      </c>
      <c r="U40" s="39">
        <f t="shared" si="1"/>
        <v>14785.714285714286</v>
      </c>
    </row>
    <row r="41" spans="1:145" s="28" customFormat="1" ht="15" customHeight="1">
      <c r="A41" s="13" t="s">
        <v>186</v>
      </c>
      <c r="B41" s="153"/>
      <c r="C41" s="13" t="s">
        <v>165</v>
      </c>
      <c r="D41" s="26" t="s">
        <v>267</v>
      </c>
      <c r="E41" s="13">
        <v>1</v>
      </c>
      <c r="F41" s="21">
        <v>1</v>
      </c>
      <c r="G41" s="13" t="s">
        <v>176</v>
      </c>
      <c r="H41" s="13" t="s">
        <v>180</v>
      </c>
      <c r="I41" s="13" t="s">
        <v>177</v>
      </c>
      <c r="J41" s="13">
        <v>1</v>
      </c>
      <c r="K41" s="126" t="s">
        <v>209</v>
      </c>
      <c r="L41" s="99">
        <v>171187</v>
      </c>
      <c r="M41" s="129">
        <v>13.6092002636187</v>
      </c>
      <c r="N41" s="99">
        <v>186812</v>
      </c>
      <c r="O41" s="129">
        <v>14.8513725904838</v>
      </c>
      <c r="P41" s="150">
        <v>1257877</v>
      </c>
      <c r="Q41" s="42">
        <v>2300000</v>
      </c>
      <c r="R41" s="14">
        <f t="shared" si="2"/>
        <v>2070000</v>
      </c>
      <c r="S41" s="23">
        <v>0</v>
      </c>
      <c r="T41" s="25">
        <f>R41*F41</f>
        <v>2070000</v>
      </c>
      <c r="U41" s="39">
        <f t="shared" si="1"/>
        <v>14785.714285714286</v>
      </c>
    </row>
    <row r="42" spans="1:145" s="28" customFormat="1" ht="15" customHeight="1">
      <c r="A42" s="13" t="s">
        <v>186</v>
      </c>
      <c r="B42" s="153"/>
      <c r="C42" s="13" t="s">
        <v>165</v>
      </c>
      <c r="D42" s="26" t="s">
        <v>268</v>
      </c>
      <c r="E42" s="13">
        <v>1</v>
      </c>
      <c r="F42" s="21">
        <v>1</v>
      </c>
      <c r="G42" s="13" t="s">
        <v>176</v>
      </c>
      <c r="H42" s="13" t="s">
        <v>180</v>
      </c>
      <c r="I42" s="13" t="s">
        <v>177</v>
      </c>
      <c r="J42" s="13">
        <v>1</v>
      </c>
      <c r="K42" s="126" t="s">
        <v>209</v>
      </c>
      <c r="L42" s="99">
        <v>160233</v>
      </c>
      <c r="M42" s="129">
        <v>12.738367900836</v>
      </c>
      <c r="N42" s="99">
        <v>223874</v>
      </c>
      <c r="O42" s="129">
        <v>17.797765600293101</v>
      </c>
      <c r="P42" s="150">
        <v>1257877</v>
      </c>
      <c r="Q42" s="42">
        <v>2300000</v>
      </c>
      <c r="R42" s="14">
        <f t="shared" si="2"/>
        <v>2070000</v>
      </c>
      <c r="S42" s="23">
        <v>0</v>
      </c>
      <c r="T42" s="25">
        <f>R42*F42</f>
        <v>2070000</v>
      </c>
      <c r="U42" s="39">
        <f t="shared" si="1"/>
        <v>14785.714285714286</v>
      </c>
    </row>
    <row r="43" spans="1:145" s="28" customFormat="1" ht="15" customHeight="1">
      <c r="A43" s="13" t="s">
        <v>186</v>
      </c>
      <c r="B43" s="153"/>
      <c r="C43" s="13" t="s">
        <v>165</v>
      </c>
      <c r="D43" s="26" t="s">
        <v>191</v>
      </c>
      <c r="E43" s="13">
        <v>1</v>
      </c>
      <c r="F43" s="21">
        <v>1</v>
      </c>
      <c r="G43" s="13" t="s">
        <v>176</v>
      </c>
      <c r="H43" s="13" t="s">
        <v>180</v>
      </c>
      <c r="I43" s="13" t="s">
        <v>177</v>
      </c>
      <c r="J43" s="13">
        <v>1</v>
      </c>
      <c r="K43" s="126" t="s">
        <v>209</v>
      </c>
      <c r="L43" s="99">
        <v>269244</v>
      </c>
      <c r="M43" s="129">
        <v>21.404636542364599</v>
      </c>
      <c r="N43" s="99">
        <v>289711</v>
      </c>
      <c r="O43" s="129">
        <v>23.031743167257201</v>
      </c>
      <c r="P43" s="150">
        <v>1257877</v>
      </c>
      <c r="Q43" s="42">
        <v>2800000</v>
      </c>
      <c r="R43" s="14">
        <f t="shared" si="2"/>
        <v>2520000</v>
      </c>
      <c r="S43" s="23">
        <v>0</v>
      </c>
      <c r="T43" s="25">
        <f>R43*F43</f>
        <v>2520000</v>
      </c>
      <c r="U43" s="39">
        <f t="shared" si="1"/>
        <v>18000</v>
      </c>
    </row>
    <row r="44" spans="1:145" s="28" customFormat="1" ht="15" customHeight="1">
      <c r="A44" s="13" t="s">
        <v>186</v>
      </c>
      <c r="B44" s="153"/>
      <c r="C44" s="13" t="s">
        <v>165</v>
      </c>
      <c r="D44" s="26" t="s">
        <v>266</v>
      </c>
      <c r="E44" s="13">
        <v>1</v>
      </c>
      <c r="F44" s="21">
        <v>1</v>
      </c>
      <c r="G44" s="13" t="s">
        <v>176</v>
      </c>
      <c r="H44" s="13" t="s">
        <v>180</v>
      </c>
      <c r="I44" s="13" t="s">
        <v>177</v>
      </c>
      <c r="J44" s="13">
        <v>1</v>
      </c>
      <c r="K44" s="126" t="s">
        <v>209</v>
      </c>
      <c r="L44" s="99">
        <v>405896</v>
      </c>
      <c r="M44" s="129">
        <v>32.268337842253203</v>
      </c>
      <c r="N44" s="99">
        <v>512046</v>
      </c>
      <c r="O44" s="129">
        <v>40.707159762043503</v>
      </c>
      <c r="P44" s="150">
        <v>1257877</v>
      </c>
      <c r="Q44" s="42">
        <v>2800000</v>
      </c>
      <c r="R44" s="14">
        <f t="shared" si="2"/>
        <v>2520000</v>
      </c>
      <c r="S44" s="23">
        <v>0</v>
      </c>
      <c r="T44" s="25">
        <f>R44*F44</f>
        <v>2520000</v>
      </c>
      <c r="U44" s="39">
        <f t="shared" si="1"/>
        <v>18000</v>
      </c>
    </row>
    <row r="45" spans="1:145" s="28" customFormat="1" ht="15" customHeight="1">
      <c r="A45" s="13" t="s">
        <v>186</v>
      </c>
      <c r="B45" s="153"/>
      <c r="C45" s="13" t="s">
        <v>165</v>
      </c>
      <c r="D45" s="26" t="s">
        <v>192</v>
      </c>
      <c r="E45" s="13">
        <v>1</v>
      </c>
      <c r="F45" s="21">
        <v>1</v>
      </c>
      <c r="G45" s="13" t="s">
        <v>176</v>
      </c>
      <c r="H45" s="13" t="s">
        <v>180</v>
      </c>
      <c r="I45" s="13" t="s">
        <v>177</v>
      </c>
      <c r="J45" s="13">
        <v>1</v>
      </c>
      <c r="K45" s="126" t="s">
        <v>209</v>
      </c>
      <c r="L45" s="99">
        <v>225227</v>
      </c>
      <c r="M45" s="129">
        <v>17.905327786421001</v>
      </c>
      <c r="N45" s="99">
        <v>220294</v>
      </c>
      <c r="O45" s="129">
        <v>17.513159076761799</v>
      </c>
      <c r="P45" s="150">
        <v>1257877</v>
      </c>
      <c r="Q45" s="42">
        <v>2800000</v>
      </c>
      <c r="R45" s="14">
        <f t="shared" si="2"/>
        <v>2520000</v>
      </c>
      <c r="S45" s="23">
        <v>0</v>
      </c>
      <c r="T45" s="25">
        <f>R45*F45</f>
        <v>2520000</v>
      </c>
      <c r="U45" s="39">
        <f t="shared" si="1"/>
        <v>18000</v>
      </c>
    </row>
    <row r="46" spans="1:145" s="28" customFormat="1" ht="15" customHeight="1">
      <c r="A46" s="13" t="s">
        <v>186</v>
      </c>
      <c r="B46" s="153"/>
      <c r="C46" s="13" t="s">
        <v>165</v>
      </c>
      <c r="D46" s="26" t="s">
        <v>193</v>
      </c>
      <c r="E46" s="13">
        <v>1</v>
      </c>
      <c r="F46" s="21">
        <v>1</v>
      </c>
      <c r="G46" s="13" t="s">
        <v>176</v>
      </c>
      <c r="H46" s="13" t="s">
        <v>180</v>
      </c>
      <c r="I46" s="13" t="s">
        <v>177</v>
      </c>
      <c r="J46" s="13">
        <v>1</v>
      </c>
      <c r="K46" s="126" t="s">
        <v>209</v>
      </c>
      <c r="L46" s="99">
        <v>127028</v>
      </c>
      <c r="M46" s="129">
        <v>10.098602645568601</v>
      </c>
      <c r="N46" s="99">
        <v>149281</v>
      </c>
      <c r="O46" s="129">
        <v>11.8676945361112</v>
      </c>
      <c r="P46" s="150">
        <v>1257877</v>
      </c>
      <c r="Q46" s="42">
        <v>2800000</v>
      </c>
      <c r="R46" s="14">
        <f t="shared" si="2"/>
        <v>2520000</v>
      </c>
      <c r="S46" s="23">
        <v>0</v>
      </c>
      <c r="T46" s="25">
        <f>R46*F46</f>
        <v>2520000</v>
      </c>
      <c r="U46" s="39">
        <f t="shared" si="1"/>
        <v>18000</v>
      </c>
    </row>
    <row r="47" spans="1:145" s="28" customFormat="1" ht="15" customHeight="1">
      <c r="A47" s="13" t="s">
        <v>186</v>
      </c>
      <c r="B47" s="153"/>
      <c r="C47" s="13" t="s">
        <v>165</v>
      </c>
      <c r="D47" s="26" t="s">
        <v>194</v>
      </c>
      <c r="E47" s="13">
        <v>1</v>
      </c>
      <c r="F47" s="21">
        <v>1</v>
      </c>
      <c r="G47" s="13" t="s">
        <v>176</v>
      </c>
      <c r="H47" s="13" t="s">
        <v>180</v>
      </c>
      <c r="I47" s="13" t="s">
        <v>177</v>
      </c>
      <c r="J47" s="13">
        <v>1</v>
      </c>
      <c r="K47" s="126" t="s">
        <v>209</v>
      </c>
      <c r="L47" s="99">
        <v>212807</v>
      </c>
      <c r="M47" s="129">
        <v>16.9179498472426</v>
      </c>
      <c r="N47" s="99">
        <v>293142</v>
      </c>
      <c r="O47" s="129">
        <v>23.3045043354795</v>
      </c>
      <c r="P47" s="150">
        <v>1257877</v>
      </c>
      <c r="Q47" s="42">
        <v>2800000</v>
      </c>
      <c r="R47" s="14">
        <f t="shared" si="2"/>
        <v>2520000</v>
      </c>
      <c r="S47" s="23">
        <v>0</v>
      </c>
      <c r="T47" s="25">
        <f>R47*F47</f>
        <v>2520000</v>
      </c>
      <c r="U47" s="39">
        <f t="shared" si="1"/>
        <v>18000</v>
      </c>
    </row>
    <row r="48" spans="1:145" s="28" customFormat="1" ht="15" customHeight="1">
      <c r="A48" s="13" t="s">
        <v>178</v>
      </c>
      <c r="B48" s="154" t="s">
        <v>260</v>
      </c>
      <c r="C48" s="13" t="s">
        <v>210</v>
      </c>
      <c r="D48" s="21" t="s">
        <v>211</v>
      </c>
      <c r="E48" s="13">
        <v>1</v>
      </c>
      <c r="F48" s="21">
        <v>1</v>
      </c>
      <c r="G48" s="13" t="s">
        <v>176</v>
      </c>
      <c r="H48" s="13" t="s">
        <v>180</v>
      </c>
      <c r="I48" s="13" t="s">
        <v>177</v>
      </c>
      <c r="J48" s="13">
        <v>1</v>
      </c>
      <c r="K48" s="126" t="s">
        <v>209</v>
      </c>
      <c r="L48" s="99">
        <v>64619</v>
      </c>
      <c r="M48" s="129">
        <v>41.056350108964303</v>
      </c>
      <c r="N48" s="99">
        <v>71063</v>
      </c>
      <c r="O48" s="129">
        <v>45.150612169692003</v>
      </c>
      <c r="P48" s="150">
        <v>157391</v>
      </c>
      <c r="Q48" s="42">
        <v>3500000</v>
      </c>
      <c r="R48" s="14">
        <f t="shared" si="2"/>
        <v>3150000</v>
      </c>
      <c r="S48" s="23">
        <v>0</v>
      </c>
      <c r="T48" s="25">
        <f>R48*F48</f>
        <v>3150000</v>
      </c>
      <c r="U48" s="39">
        <f t="shared" si="1"/>
        <v>22500</v>
      </c>
    </row>
    <row r="49" spans="1:21" s="28" customFormat="1" ht="15" customHeight="1">
      <c r="A49" s="13" t="s">
        <v>178</v>
      </c>
      <c r="B49" s="155"/>
      <c r="C49" s="13" t="s">
        <v>210</v>
      </c>
      <c r="D49" s="21" t="s">
        <v>212</v>
      </c>
      <c r="E49" s="13">
        <v>1</v>
      </c>
      <c r="F49" s="21">
        <v>1</v>
      </c>
      <c r="G49" s="13" t="s">
        <v>176</v>
      </c>
      <c r="H49" s="13" t="s">
        <v>180</v>
      </c>
      <c r="I49" s="13" t="s">
        <v>177</v>
      </c>
      <c r="J49" s="13">
        <v>1</v>
      </c>
      <c r="K49" s="126" t="s">
        <v>209</v>
      </c>
      <c r="L49" s="99">
        <v>50777</v>
      </c>
      <c r="M49" s="129">
        <v>32.2616922187418</v>
      </c>
      <c r="N49" s="99">
        <v>55848</v>
      </c>
      <c r="O49" s="129">
        <v>35.483604526307097</v>
      </c>
      <c r="P49" s="150">
        <v>157391</v>
      </c>
      <c r="Q49" s="42">
        <v>3500000</v>
      </c>
      <c r="R49" s="14">
        <f t="shared" si="2"/>
        <v>3150000</v>
      </c>
      <c r="S49" s="23">
        <v>0</v>
      </c>
      <c r="T49" s="25">
        <f>R49*F49</f>
        <v>3150000</v>
      </c>
      <c r="U49" s="39">
        <f t="shared" si="1"/>
        <v>22500</v>
      </c>
    </row>
    <row r="50" spans="1:21" s="28" customFormat="1" ht="15" customHeight="1">
      <c r="A50" s="13" t="s">
        <v>178</v>
      </c>
      <c r="B50" s="155"/>
      <c r="C50" s="13" t="s">
        <v>210</v>
      </c>
      <c r="D50" s="21" t="s">
        <v>213</v>
      </c>
      <c r="E50" s="13">
        <v>1</v>
      </c>
      <c r="F50" s="21">
        <v>1</v>
      </c>
      <c r="G50" s="13" t="s">
        <v>176</v>
      </c>
      <c r="H50" s="13" t="s">
        <v>180</v>
      </c>
      <c r="I50" s="13" t="s">
        <v>177</v>
      </c>
      <c r="J50" s="13">
        <v>1</v>
      </c>
      <c r="K50" s="126" t="s">
        <v>209</v>
      </c>
      <c r="L50" s="99">
        <v>36358</v>
      </c>
      <c r="M50" s="129">
        <v>23.100431409673899</v>
      </c>
      <c r="N50" s="99">
        <v>39948</v>
      </c>
      <c r="O50" s="129">
        <v>25.381375046857801</v>
      </c>
      <c r="P50" s="150">
        <v>157391</v>
      </c>
      <c r="Q50" s="42">
        <v>3500000</v>
      </c>
      <c r="R50" s="14">
        <f t="shared" si="2"/>
        <v>3150000</v>
      </c>
      <c r="S50" s="23">
        <v>0</v>
      </c>
      <c r="T50" s="25">
        <f>R50*F50</f>
        <v>3150000</v>
      </c>
      <c r="U50" s="39">
        <f t="shared" si="1"/>
        <v>22500</v>
      </c>
    </row>
    <row r="51" spans="1:21" s="28" customFormat="1" ht="15" customHeight="1">
      <c r="A51" s="13" t="s">
        <v>178</v>
      </c>
      <c r="B51" s="155"/>
      <c r="C51" s="13" t="s">
        <v>210</v>
      </c>
      <c r="D51" s="83" t="s">
        <v>214</v>
      </c>
      <c r="E51" s="13">
        <v>1</v>
      </c>
      <c r="F51" s="21">
        <v>1</v>
      </c>
      <c r="G51" s="13" t="s">
        <v>176</v>
      </c>
      <c r="H51" s="13" t="s">
        <v>180</v>
      </c>
      <c r="I51" s="13" t="s">
        <v>177</v>
      </c>
      <c r="J51" s="13">
        <v>1</v>
      </c>
      <c r="K51" s="126" t="s">
        <v>209</v>
      </c>
      <c r="L51" s="99">
        <v>38111</v>
      </c>
      <c r="M51" s="129">
        <v>24.2142180937918</v>
      </c>
      <c r="N51" s="99">
        <v>41922</v>
      </c>
      <c r="O51" s="129">
        <v>26.635576367136601</v>
      </c>
      <c r="P51" s="150">
        <v>157391</v>
      </c>
      <c r="Q51" s="42">
        <v>3500000</v>
      </c>
      <c r="R51" s="14">
        <f t="shared" si="2"/>
        <v>3150000</v>
      </c>
      <c r="S51" s="23">
        <v>0</v>
      </c>
      <c r="T51" s="25">
        <f>R51*F51</f>
        <v>3150000</v>
      </c>
      <c r="U51" s="39">
        <f t="shared" si="1"/>
        <v>22500</v>
      </c>
    </row>
    <row r="52" spans="1:21" s="28" customFormat="1" ht="15" customHeight="1">
      <c r="A52" s="13" t="s">
        <v>178</v>
      </c>
      <c r="B52" s="155"/>
      <c r="C52" s="13" t="s">
        <v>210</v>
      </c>
      <c r="D52" s="21" t="s">
        <v>215</v>
      </c>
      <c r="E52" s="13">
        <v>1</v>
      </c>
      <c r="F52" s="21">
        <v>1</v>
      </c>
      <c r="G52" s="13" t="s">
        <v>176</v>
      </c>
      <c r="H52" s="13" t="s">
        <v>180</v>
      </c>
      <c r="I52" s="13" t="s">
        <v>177</v>
      </c>
      <c r="J52" s="13">
        <v>1</v>
      </c>
      <c r="K52" s="126" t="s">
        <v>209</v>
      </c>
      <c r="L52" s="99">
        <v>70545</v>
      </c>
      <c r="M52" s="129">
        <v>44.821495511179101</v>
      </c>
      <c r="N52" s="99">
        <v>76784</v>
      </c>
      <c r="O52" s="129">
        <v>48.7855087012599</v>
      </c>
      <c r="P52" s="150">
        <v>157391</v>
      </c>
      <c r="Q52" s="42">
        <v>3500000</v>
      </c>
      <c r="R52" s="14">
        <f t="shared" si="2"/>
        <v>3150000</v>
      </c>
      <c r="S52" s="23">
        <v>0</v>
      </c>
      <c r="T52" s="25">
        <f>R52*F52</f>
        <v>3150000</v>
      </c>
      <c r="U52" s="39">
        <f t="shared" si="1"/>
        <v>22500</v>
      </c>
    </row>
    <row r="53" spans="1:21" s="28" customFormat="1" ht="15" customHeight="1">
      <c r="A53" s="13" t="s">
        <v>178</v>
      </c>
      <c r="B53" s="155"/>
      <c r="C53" s="13" t="s">
        <v>210</v>
      </c>
      <c r="D53" s="21" t="s">
        <v>216</v>
      </c>
      <c r="E53" s="13">
        <v>1</v>
      </c>
      <c r="F53" s="21">
        <v>1</v>
      </c>
      <c r="G53" s="13" t="s">
        <v>176</v>
      </c>
      <c r="H53" s="13" t="s">
        <v>180</v>
      </c>
      <c r="I53" s="13" t="s">
        <v>177</v>
      </c>
      <c r="J53" s="13">
        <v>1</v>
      </c>
      <c r="K53" s="126" t="s">
        <v>209</v>
      </c>
      <c r="L53" s="99">
        <v>47546</v>
      </c>
      <c r="M53" s="129">
        <v>30.208842945276398</v>
      </c>
      <c r="N53" s="99">
        <v>52302</v>
      </c>
      <c r="O53" s="129">
        <v>33.2306167442865</v>
      </c>
      <c r="P53" s="150">
        <v>157391</v>
      </c>
      <c r="Q53" s="42">
        <v>3500000</v>
      </c>
      <c r="R53" s="14">
        <f t="shared" si="2"/>
        <v>3150000</v>
      </c>
      <c r="S53" s="23">
        <v>0</v>
      </c>
      <c r="T53" s="25">
        <f>R53*F53</f>
        <v>3150000</v>
      </c>
      <c r="U53" s="39">
        <f t="shared" si="1"/>
        <v>22500</v>
      </c>
    </row>
    <row r="54" spans="1:21" s="28" customFormat="1" ht="15" customHeight="1">
      <c r="A54" s="13" t="s">
        <v>178</v>
      </c>
      <c r="B54" s="155"/>
      <c r="C54" s="13" t="s">
        <v>210</v>
      </c>
      <c r="D54" s="21" t="s">
        <v>318</v>
      </c>
      <c r="E54" s="13">
        <v>1</v>
      </c>
      <c r="F54" s="21">
        <v>1</v>
      </c>
      <c r="G54" s="13" t="s">
        <v>176</v>
      </c>
      <c r="H54" s="13" t="s">
        <v>180</v>
      </c>
      <c r="I54" s="13" t="s">
        <v>177</v>
      </c>
      <c r="J54" s="13">
        <v>1</v>
      </c>
      <c r="K54" s="126" t="s">
        <v>209</v>
      </c>
      <c r="L54" s="99">
        <v>36512</v>
      </c>
      <c r="M54" s="129">
        <v>23.198276902745299</v>
      </c>
      <c r="N54" s="99">
        <v>40165</v>
      </c>
      <c r="O54" s="129">
        <v>25.519248241640199</v>
      </c>
      <c r="P54" s="150">
        <v>157391</v>
      </c>
      <c r="Q54" s="42">
        <v>3500000</v>
      </c>
      <c r="R54" s="14">
        <f t="shared" si="2"/>
        <v>3150000</v>
      </c>
      <c r="S54" s="23">
        <v>0</v>
      </c>
      <c r="T54" s="25">
        <f>R54*F54</f>
        <v>3150000</v>
      </c>
      <c r="U54" s="39">
        <f t="shared" si="1"/>
        <v>22500</v>
      </c>
    </row>
    <row r="55" spans="1:21" s="28" customFormat="1" ht="15" customHeight="1">
      <c r="A55" s="13" t="s">
        <v>178</v>
      </c>
      <c r="B55" s="155"/>
      <c r="C55" s="13" t="s">
        <v>210</v>
      </c>
      <c r="D55" s="21" t="s">
        <v>319</v>
      </c>
      <c r="E55" s="13">
        <v>1</v>
      </c>
      <c r="F55" s="21">
        <v>1</v>
      </c>
      <c r="G55" s="13" t="s">
        <v>176</v>
      </c>
      <c r="H55" s="13" t="s">
        <v>180</v>
      </c>
      <c r="I55" s="13" t="s">
        <v>177</v>
      </c>
      <c r="J55" s="13">
        <v>1</v>
      </c>
      <c r="K55" s="126" t="s">
        <v>209</v>
      </c>
      <c r="L55" s="99">
        <v>41147</v>
      </c>
      <c r="M55" s="129">
        <v>26.1431721000565</v>
      </c>
      <c r="N55" s="99">
        <v>45265</v>
      </c>
      <c r="O55" s="129">
        <v>28.759585999199398</v>
      </c>
      <c r="P55" s="150">
        <v>157391</v>
      </c>
      <c r="Q55" s="42">
        <v>3500000</v>
      </c>
      <c r="R55" s="14">
        <f t="shared" si="2"/>
        <v>3150000</v>
      </c>
      <c r="S55" s="23">
        <v>0</v>
      </c>
      <c r="T55" s="25">
        <f>R55*F55</f>
        <v>3150000</v>
      </c>
      <c r="U55" s="39">
        <f t="shared" si="1"/>
        <v>22500</v>
      </c>
    </row>
    <row r="56" spans="1:21" s="28" customFormat="1" ht="15" customHeight="1">
      <c r="A56" s="13" t="s">
        <v>178</v>
      </c>
      <c r="B56" s="155"/>
      <c r="C56" s="13" t="s">
        <v>217</v>
      </c>
      <c r="D56" s="21" t="s">
        <v>218</v>
      </c>
      <c r="E56" s="13">
        <v>1</v>
      </c>
      <c r="F56" s="21">
        <v>1</v>
      </c>
      <c r="G56" s="13" t="s">
        <v>176</v>
      </c>
      <c r="H56" s="13" t="s">
        <v>180</v>
      </c>
      <c r="I56" s="13" t="s">
        <v>177</v>
      </c>
      <c r="J56" s="13">
        <v>1</v>
      </c>
      <c r="K56" s="126" t="s">
        <v>209</v>
      </c>
      <c r="L56" s="99">
        <v>165637</v>
      </c>
      <c r="M56" s="129">
        <v>69.097758161809395</v>
      </c>
      <c r="N56" s="99">
        <v>182117</v>
      </c>
      <c r="O56" s="129">
        <v>75.972617369031397</v>
      </c>
      <c r="P56" s="150">
        <v>239714</v>
      </c>
      <c r="Q56" s="42">
        <v>3500000</v>
      </c>
      <c r="R56" s="14">
        <f t="shared" si="2"/>
        <v>3150000</v>
      </c>
      <c r="S56" s="23">
        <v>0</v>
      </c>
      <c r="T56" s="25">
        <f>R56*F56</f>
        <v>3150000</v>
      </c>
      <c r="U56" s="39">
        <f t="shared" si="1"/>
        <v>22500</v>
      </c>
    </row>
    <row r="57" spans="1:21" s="28" customFormat="1" ht="15" customHeight="1">
      <c r="A57" s="13" t="s">
        <v>178</v>
      </c>
      <c r="B57" s="155"/>
      <c r="C57" s="13" t="s">
        <v>217</v>
      </c>
      <c r="D57" s="21" t="s">
        <v>219</v>
      </c>
      <c r="E57" s="13">
        <v>1</v>
      </c>
      <c r="F57" s="21">
        <v>1</v>
      </c>
      <c r="G57" s="13" t="s">
        <v>176</v>
      </c>
      <c r="H57" s="13" t="s">
        <v>180</v>
      </c>
      <c r="I57" s="13" t="s">
        <v>177</v>
      </c>
      <c r="J57" s="13">
        <v>1</v>
      </c>
      <c r="K57" s="126" t="s">
        <v>209</v>
      </c>
      <c r="L57" s="99">
        <v>182485</v>
      </c>
      <c r="M57" s="129">
        <v>76.126133642590702</v>
      </c>
      <c r="N57" s="99">
        <v>200679</v>
      </c>
      <c r="O57" s="129">
        <v>83.716011580466699</v>
      </c>
      <c r="P57" s="150">
        <v>239714</v>
      </c>
      <c r="Q57" s="42">
        <v>3500000</v>
      </c>
      <c r="R57" s="14">
        <f t="shared" si="2"/>
        <v>3150000</v>
      </c>
      <c r="S57" s="23">
        <v>0</v>
      </c>
      <c r="T57" s="25">
        <f>R57*F57</f>
        <v>3150000</v>
      </c>
      <c r="U57" s="39">
        <f t="shared" si="1"/>
        <v>22500</v>
      </c>
    </row>
    <row r="58" spans="1:21" s="28" customFormat="1" ht="15" customHeight="1">
      <c r="A58" s="13" t="s">
        <v>178</v>
      </c>
      <c r="B58" s="155"/>
      <c r="C58" s="13" t="s">
        <v>217</v>
      </c>
      <c r="D58" s="21" t="s">
        <v>220</v>
      </c>
      <c r="E58" s="13">
        <v>1</v>
      </c>
      <c r="F58" s="21">
        <v>1</v>
      </c>
      <c r="G58" s="13" t="s">
        <v>176</v>
      </c>
      <c r="H58" s="13" t="s">
        <v>180</v>
      </c>
      <c r="I58" s="13" t="s">
        <v>177</v>
      </c>
      <c r="J58" s="13">
        <v>1</v>
      </c>
      <c r="K58" s="126" t="s">
        <v>209</v>
      </c>
      <c r="L58" s="99">
        <v>124506</v>
      </c>
      <c r="M58" s="129">
        <v>51.939394445047</v>
      </c>
      <c r="N58" s="99">
        <v>136959</v>
      </c>
      <c r="O58" s="129">
        <v>57.134335082640099</v>
      </c>
      <c r="P58" s="150">
        <v>239714</v>
      </c>
      <c r="Q58" s="42">
        <v>3500000</v>
      </c>
      <c r="R58" s="14">
        <f t="shared" si="2"/>
        <v>3150000</v>
      </c>
      <c r="S58" s="23">
        <v>0</v>
      </c>
      <c r="T58" s="25">
        <f>R58*F58</f>
        <v>3150000</v>
      </c>
      <c r="U58" s="39">
        <f t="shared" si="1"/>
        <v>22500</v>
      </c>
    </row>
    <row r="59" spans="1:21" s="28" customFormat="1" ht="15" customHeight="1">
      <c r="A59" s="13" t="s">
        <v>178</v>
      </c>
      <c r="B59" s="155"/>
      <c r="C59" s="13" t="s">
        <v>217</v>
      </c>
      <c r="D59" s="21" t="s">
        <v>221</v>
      </c>
      <c r="E59" s="13">
        <v>1</v>
      </c>
      <c r="F59" s="21">
        <v>1</v>
      </c>
      <c r="G59" s="13" t="s">
        <v>176</v>
      </c>
      <c r="H59" s="13" t="s">
        <v>180</v>
      </c>
      <c r="I59" s="13" t="s">
        <v>177</v>
      </c>
      <c r="J59" s="13">
        <v>1</v>
      </c>
      <c r="K59" s="126" t="s">
        <v>209</v>
      </c>
      <c r="L59" s="99">
        <v>54155</v>
      </c>
      <c r="M59" s="129">
        <v>22.591504876644599</v>
      </c>
      <c r="N59" s="99">
        <v>59572</v>
      </c>
      <c r="O59" s="129">
        <v>24.851281109989401</v>
      </c>
      <c r="P59" s="150">
        <v>239714</v>
      </c>
      <c r="Q59" s="42">
        <v>3500000</v>
      </c>
      <c r="R59" s="14">
        <f t="shared" si="2"/>
        <v>3150000</v>
      </c>
      <c r="S59" s="23">
        <v>0</v>
      </c>
      <c r="T59" s="25">
        <f>R59*F59</f>
        <v>3150000</v>
      </c>
      <c r="U59" s="39">
        <f t="shared" si="1"/>
        <v>22500</v>
      </c>
    </row>
    <row r="60" spans="1:21" s="28" customFormat="1" ht="15" customHeight="1">
      <c r="A60" s="13" t="s">
        <v>178</v>
      </c>
      <c r="B60" s="155"/>
      <c r="C60" s="13" t="s">
        <v>217</v>
      </c>
      <c r="D60" s="21" t="s">
        <v>222</v>
      </c>
      <c r="E60" s="13">
        <v>1</v>
      </c>
      <c r="F60" s="21">
        <v>1</v>
      </c>
      <c r="G60" s="13" t="s">
        <v>176</v>
      </c>
      <c r="H60" s="13" t="s">
        <v>180</v>
      </c>
      <c r="I60" s="13" t="s">
        <v>177</v>
      </c>
      <c r="J60" s="13">
        <v>1</v>
      </c>
      <c r="K60" s="126" t="s">
        <v>209</v>
      </c>
      <c r="L60" s="99">
        <v>26224</v>
      </c>
      <c r="M60" s="129">
        <v>10.939703146249199</v>
      </c>
      <c r="N60" s="99">
        <v>28842</v>
      </c>
      <c r="O60" s="129">
        <v>12.031837940212</v>
      </c>
      <c r="P60" s="150">
        <v>239714</v>
      </c>
      <c r="Q60" s="42">
        <v>3500000</v>
      </c>
      <c r="R60" s="14">
        <f t="shared" si="2"/>
        <v>3150000</v>
      </c>
      <c r="S60" s="23">
        <v>0</v>
      </c>
      <c r="T60" s="25">
        <f>R60*F60</f>
        <v>3150000</v>
      </c>
      <c r="U60" s="39">
        <f t="shared" si="1"/>
        <v>22500</v>
      </c>
    </row>
    <row r="61" spans="1:21" s="28" customFormat="1" ht="15" customHeight="1">
      <c r="A61" s="13" t="s">
        <v>178</v>
      </c>
      <c r="B61" s="155"/>
      <c r="C61" s="13" t="s">
        <v>217</v>
      </c>
      <c r="D61" s="21" t="s">
        <v>223</v>
      </c>
      <c r="E61" s="13">
        <v>1</v>
      </c>
      <c r="F61" s="21">
        <v>1</v>
      </c>
      <c r="G61" s="13" t="s">
        <v>176</v>
      </c>
      <c r="H61" s="13" t="s">
        <v>180</v>
      </c>
      <c r="I61" s="13" t="s">
        <v>177</v>
      </c>
      <c r="J61" s="13">
        <v>1</v>
      </c>
      <c r="K61" s="126" t="s">
        <v>209</v>
      </c>
      <c r="L61" s="99">
        <v>52267</v>
      </c>
      <c r="M61" s="129">
        <v>21.803899647079401</v>
      </c>
      <c r="N61" s="99">
        <v>57496</v>
      </c>
      <c r="O61" s="129">
        <v>23.985249088497099</v>
      </c>
      <c r="P61" s="150">
        <v>239714</v>
      </c>
      <c r="Q61" s="42">
        <v>3500000</v>
      </c>
      <c r="R61" s="14">
        <f t="shared" si="2"/>
        <v>3150000</v>
      </c>
      <c r="S61" s="23">
        <v>0</v>
      </c>
      <c r="T61" s="25">
        <f>R61*F61</f>
        <v>3150000</v>
      </c>
      <c r="U61" s="39">
        <f t="shared" si="1"/>
        <v>22500</v>
      </c>
    </row>
    <row r="62" spans="1:21" s="28" customFormat="1" ht="15" customHeight="1">
      <c r="A62" s="13" t="s">
        <v>178</v>
      </c>
      <c r="B62" s="155"/>
      <c r="C62" s="13" t="s">
        <v>217</v>
      </c>
      <c r="D62" s="21" t="s">
        <v>224</v>
      </c>
      <c r="E62" s="13">
        <v>1</v>
      </c>
      <c r="F62" s="21">
        <v>1</v>
      </c>
      <c r="G62" s="13" t="s">
        <v>176</v>
      </c>
      <c r="H62" s="13" t="s">
        <v>180</v>
      </c>
      <c r="I62" s="13" t="s">
        <v>177</v>
      </c>
      <c r="J62" s="13">
        <v>1</v>
      </c>
      <c r="K62" s="126" t="s">
        <v>209</v>
      </c>
      <c r="L62" s="99">
        <v>67693</v>
      </c>
      <c r="M62" s="129">
        <v>28.239068222965699</v>
      </c>
      <c r="N62" s="99">
        <v>74464</v>
      </c>
      <c r="O62" s="129">
        <v>31.063684223699902</v>
      </c>
      <c r="P62" s="150">
        <v>239714</v>
      </c>
      <c r="Q62" s="42">
        <v>3500000</v>
      </c>
      <c r="R62" s="14">
        <f t="shared" si="2"/>
        <v>3150000</v>
      </c>
      <c r="S62" s="23">
        <v>0</v>
      </c>
      <c r="T62" s="25">
        <f>R62*F62</f>
        <v>3150000</v>
      </c>
      <c r="U62" s="39">
        <f t="shared" si="1"/>
        <v>22500</v>
      </c>
    </row>
    <row r="63" spans="1:21" s="28" customFormat="1" ht="15" customHeight="1">
      <c r="A63" s="13" t="s">
        <v>178</v>
      </c>
      <c r="B63" s="155"/>
      <c r="C63" s="13" t="s">
        <v>217</v>
      </c>
      <c r="D63" s="21" t="s">
        <v>225</v>
      </c>
      <c r="E63" s="13">
        <v>1</v>
      </c>
      <c r="F63" s="21">
        <v>1</v>
      </c>
      <c r="G63" s="13" t="s">
        <v>176</v>
      </c>
      <c r="H63" s="13" t="s">
        <v>180</v>
      </c>
      <c r="I63" s="13" t="s">
        <v>177</v>
      </c>
      <c r="J63" s="13">
        <v>1</v>
      </c>
      <c r="K63" s="126" t="s">
        <v>209</v>
      </c>
      <c r="L63" s="99">
        <v>50517</v>
      </c>
      <c r="M63" s="129">
        <v>21.073863020098901</v>
      </c>
      <c r="N63" s="99">
        <v>55212</v>
      </c>
      <c r="O63" s="129">
        <v>23.032446999340799</v>
      </c>
      <c r="P63" s="150">
        <v>239714</v>
      </c>
      <c r="Q63" s="42">
        <v>3500000</v>
      </c>
      <c r="R63" s="14">
        <f t="shared" si="2"/>
        <v>3150000</v>
      </c>
      <c r="S63" s="23">
        <v>0</v>
      </c>
      <c r="T63" s="25">
        <f>R63*F63</f>
        <v>3150000</v>
      </c>
      <c r="U63" s="39">
        <f t="shared" si="1"/>
        <v>22500</v>
      </c>
    </row>
    <row r="64" spans="1:21" s="28" customFormat="1" ht="15" customHeight="1">
      <c r="A64" s="13" t="s">
        <v>178</v>
      </c>
      <c r="B64" s="155"/>
      <c r="C64" s="13" t="s">
        <v>217</v>
      </c>
      <c r="D64" s="21" t="s">
        <v>226</v>
      </c>
      <c r="E64" s="13">
        <v>1</v>
      </c>
      <c r="F64" s="21">
        <v>1</v>
      </c>
      <c r="G64" s="13" t="s">
        <v>176</v>
      </c>
      <c r="H64" s="13" t="s">
        <v>180</v>
      </c>
      <c r="I64" s="13" t="s">
        <v>177</v>
      </c>
      <c r="J64" s="13">
        <v>1</v>
      </c>
      <c r="K64" s="126" t="s">
        <v>209</v>
      </c>
      <c r="L64" s="99">
        <v>84572</v>
      </c>
      <c r="M64" s="129">
        <v>35.280375781139099</v>
      </c>
      <c r="N64" s="99">
        <v>87850</v>
      </c>
      <c r="O64" s="129">
        <v>36.647838674420299</v>
      </c>
      <c r="P64" s="150">
        <v>239714</v>
      </c>
      <c r="Q64" s="42">
        <v>3500000</v>
      </c>
      <c r="R64" s="14">
        <f t="shared" si="2"/>
        <v>3150000</v>
      </c>
      <c r="S64" s="23">
        <v>0</v>
      </c>
      <c r="T64" s="25">
        <f>R64*F64</f>
        <v>3150000</v>
      </c>
      <c r="U64" s="39">
        <f t="shared" si="1"/>
        <v>22500</v>
      </c>
    </row>
    <row r="65" spans="1:21" s="28" customFormat="1" ht="15" customHeight="1">
      <c r="A65" s="13" t="s">
        <v>178</v>
      </c>
      <c r="B65" s="155"/>
      <c r="C65" s="13" t="s">
        <v>217</v>
      </c>
      <c r="D65" s="21" t="s">
        <v>227</v>
      </c>
      <c r="E65" s="13">
        <v>1</v>
      </c>
      <c r="F65" s="21">
        <v>1</v>
      </c>
      <c r="G65" s="13" t="s">
        <v>176</v>
      </c>
      <c r="H65" s="13" t="s">
        <v>180</v>
      </c>
      <c r="I65" s="13" t="s">
        <v>177</v>
      </c>
      <c r="J65" s="13">
        <v>1</v>
      </c>
      <c r="K65" s="126" t="s">
        <v>209</v>
      </c>
      <c r="L65" s="99">
        <v>15154</v>
      </c>
      <c r="M65" s="129">
        <v>6.3217000258641498</v>
      </c>
      <c r="N65" s="99">
        <v>16666</v>
      </c>
      <c r="O65" s="129">
        <v>6.9524516715752904</v>
      </c>
      <c r="P65" s="150">
        <v>239714</v>
      </c>
      <c r="Q65" s="42">
        <v>3500000</v>
      </c>
      <c r="R65" s="14">
        <f t="shared" si="2"/>
        <v>3150000</v>
      </c>
      <c r="S65" s="23">
        <v>0</v>
      </c>
      <c r="T65" s="25">
        <f>R65*F65</f>
        <v>3150000</v>
      </c>
      <c r="U65" s="39">
        <f t="shared" si="1"/>
        <v>22500</v>
      </c>
    </row>
    <row r="66" spans="1:21" s="28" customFormat="1" ht="15" customHeight="1">
      <c r="A66" s="13" t="s">
        <v>178</v>
      </c>
      <c r="B66" s="155"/>
      <c r="C66" s="13" t="s">
        <v>217</v>
      </c>
      <c r="D66" s="21" t="s">
        <v>304</v>
      </c>
      <c r="E66" s="13">
        <v>1</v>
      </c>
      <c r="F66" s="21">
        <v>1</v>
      </c>
      <c r="G66" s="13" t="s">
        <v>176</v>
      </c>
      <c r="H66" s="13" t="s">
        <v>180</v>
      </c>
      <c r="I66" s="13" t="s">
        <v>177</v>
      </c>
      <c r="J66" s="13">
        <v>1</v>
      </c>
      <c r="K66" s="126" t="s">
        <v>209</v>
      </c>
      <c r="L66" s="99">
        <v>238527</v>
      </c>
      <c r="M66" s="129">
        <v>99.504826585013802</v>
      </c>
      <c r="N66" s="99">
        <v>262201</v>
      </c>
      <c r="O66" s="129">
        <v>109.38076207480501</v>
      </c>
      <c r="P66" s="150">
        <v>239714</v>
      </c>
      <c r="Q66" s="42">
        <v>8500000</v>
      </c>
      <c r="R66" s="14">
        <f t="shared" si="2"/>
        <v>7650000</v>
      </c>
      <c r="S66" s="23">
        <v>0</v>
      </c>
      <c r="T66" s="25">
        <f>R66*F66</f>
        <v>7650000</v>
      </c>
      <c r="U66" s="39">
        <f t="shared" si="1"/>
        <v>54642.857142857145</v>
      </c>
    </row>
    <row r="67" spans="1:21" s="28" customFormat="1" ht="15" customHeight="1">
      <c r="A67" s="13" t="s">
        <v>178</v>
      </c>
      <c r="B67" s="155"/>
      <c r="C67" s="13" t="s">
        <v>217</v>
      </c>
      <c r="D67" s="26" t="s">
        <v>305</v>
      </c>
      <c r="E67" s="13">
        <v>1</v>
      </c>
      <c r="F67" s="21">
        <v>1</v>
      </c>
      <c r="G67" s="13" t="s">
        <v>176</v>
      </c>
      <c r="H67" s="13" t="s">
        <v>180</v>
      </c>
      <c r="I67" s="13" t="s">
        <v>177</v>
      </c>
      <c r="J67" s="13">
        <v>1</v>
      </c>
      <c r="K67" s="126" t="s">
        <v>209</v>
      </c>
      <c r="L67" s="99">
        <v>126730</v>
      </c>
      <c r="M67" s="129">
        <v>52.867166706992499</v>
      </c>
      <c r="N67" s="99">
        <v>139408</v>
      </c>
      <c r="O67" s="129">
        <v>58.155969196625897</v>
      </c>
      <c r="P67" s="150">
        <v>239714</v>
      </c>
      <c r="Q67" s="42">
        <v>8500000</v>
      </c>
      <c r="R67" s="14">
        <f t="shared" si="2"/>
        <v>7650000</v>
      </c>
      <c r="S67" s="23">
        <v>0</v>
      </c>
      <c r="T67" s="25">
        <f>R67*F67</f>
        <v>7650000</v>
      </c>
      <c r="U67" s="39">
        <f t="shared" si="1"/>
        <v>54642.857142857145</v>
      </c>
    </row>
    <row r="68" spans="1:21" s="28" customFormat="1" ht="15" customHeight="1">
      <c r="A68" s="13" t="s">
        <v>178</v>
      </c>
      <c r="B68" s="155"/>
      <c r="C68" s="13" t="s">
        <v>217</v>
      </c>
      <c r="D68" s="77" t="s">
        <v>306</v>
      </c>
      <c r="E68" s="13">
        <v>1</v>
      </c>
      <c r="F68" s="21">
        <v>1</v>
      </c>
      <c r="G68" s="13" t="s">
        <v>176</v>
      </c>
      <c r="H68" s="13" t="s">
        <v>180</v>
      </c>
      <c r="I68" s="13" t="s">
        <v>177</v>
      </c>
      <c r="J68" s="13">
        <v>1</v>
      </c>
      <c r="K68" s="126" t="s">
        <v>209</v>
      </c>
      <c r="L68" s="99">
        <v>70168</v>
      </c>
      <c r="M68" s="129">
        <v>29.271548595409499</v>
      </c>
      <c r="N68" s="99">
        <v>77114</v>
      </c>
      <c r="O68" s="129">
        <v>32.169168258841701</v>
      </c>
      <c r="P68" s="150">
        <v>239714</v>
      </c>
      <c r="Q68" s="42">
        <v>3500000</v>
      </c>
      <c r="R68" s="14">
        <f t="shared" si="2"/>
        <v>3150000</v>
      </c>
      <c r="S68" s="23">
        <v>0</v>
      </c>
      <c r="T68" s="25">
        <f>R68*F68</f>
        <v>3150000</v>
      </c>
      <c r="U68" s="39">
        <f t="shared" si="1"/>
        <v>22500</v>
      </c>
    </row>
    <row r="69" spans="1:21" s="28" customFormat="1" ht="15" customHeight="1">
      <c r="A69" s="13" t="s">
        <v>178</v>
      </c>
      <c r="B69" s="155"/>
      <c r="C69" s="13" t="s">
        <v>217</v>
      </c>
      <c r="D69" s="78" t="s">
        <v>307</v>
      </c>
      <c r="E69" s="13">
        <v>1</v>
      </c>
      <c r="F69" s="21">
        <v>1</v>
      </c>
      <c r="G69" s="13" t="s">
        <v>176</v>
      </c>
      <c r="H69" s="13" t="s">
        <v>180</v>
      </c>
      <c r="I69" s="13" t="s">
        <v>177</v>
      </c>
      <c r="J69" s="13">
        <v>1</v>
      </c>
      <c r="K69" s="126" t="s">
        <v>209</v>
      </c>
      <c r="L69" s="99">
        <v>29950</v>
      </c>
      <c r="M69" s="129">
        <v>12.4940554160374</v>
      </c>
      <c r="N69" s="99">
        <v>32948</v>
      </c>
      <c r="O69" s="129">
        <v>13.7447124490017</v>
      </c>
      <c r="P69" s="150">
        <v>239714</v>
      </c>
      <c r="Q69" s="42">
        <v>3500000</v>
      </c>
      <c r="R69" s="14">
        <f t="shared" si="2"/>
        <v>3150000</v>
      </c>
      <c r="S69" s="23">
        <v>0</v>
      </c>
      <c r="T69" s="25">
        <f>R69*F69</f>
        <v>3150000</v>
      </c>
      <c r="U69" s="39">
        <f t="shared" si="1"/>
        <v>22500</v>
      </c>
    </row>
    <row r="70" spans="1:21" s="28" customFormat="1" ht="15" customHeight="1">
      <c r="A70" s="13" t="s">
        <v>178</v>
      </c>
      <c r="B70" s="156"/>
      <c r="C70" s="13" t="s">
        <v>217</v>
      </c>
      <c r="D70" s="77" t="s">
        <v>308</v>
      </c>
      <c r="E70" s="13">
        <v>1</v>
      </c>
      <c r="F70" s="21">
        <v>1</v>
      </c>
      <c r="G70" s="13" t="s">
        <v>176</v>
      </c>
      <c r="H70" s="13" t="s">
        <v>180</v>
      </c>
      <c r="I70" s="13" t="s">
        <v>177</v>
      </c>
      <c r="J70" s="13">
        <v>1</v>
      </c>
      <c r="K70" s="126" t="s">
        <v>209</v>
      </c>
      <c r="L70" s="99">
        <v>208806</v>
      </c>
      <c r="M70" s="129">
        <v>87.106301676164094</v>
      </c>
      <c r="N70" s="99">
        <v>226829</v>
      </c>
      <c r="O70" s="129">
        <v>94.624844606489404</v>
      </c>
      <c r="P70" s="150">
        <v>239714</v>
      </c>
      <c r="Q70" s="42">
        <v>3500000</v>
      </c>
      <c r="R70" s="14">
        <f t="shared" si="2"/>
        <v>3150000</v>
      </c>
      <c r="S70" s="23">
        <v>0</v>
      </c>
      <c r="T70" s="25">
        <f>R70*F70</f>
        <v>3150000</v>
      </c>
      <c r="U70" s="39">
        <f t="shared" si="1"/>
        <v>22500</v>
      </c>
    </row>
    <row r="71" spans="1:21" s="28" customFormat="1" ht="15" customHeight="1">
      <c r="A71" s="13" t="s">
        <v>234</v>
      </c>
      <c r="B71" s="154" t="s">
        <v>179</v>
      </c>
      <c r="C71" s="13" t="s">
        <v>217</v>
      </c>
      <c r="D71" s="21" t="s">
        <v>235</v>
      </c>
      <c r="E71" s="13">
        <v>1</v>
      </c>
      <c r="F71" s="21">
        <v>1</v>
      </c>
      <c r="G71" s="13" t="s">
        <v>238</v>
      </c>
      <c r="H71" s="13" t="s">
        <v>195</v>
      </c>
      <c r="I71" s="13" t="s">
        <v>195</v>
      </c>
      <c r="J71" s="13" t="s">
        <v>195</v>
      </c>
      <c r="K71" s="127" t="s">
        <v>195</v>
      </c>
      <c r="L71" s="99">
        <v>133421</v>
      </c>
      <c r="M71" s="129">
        <v>55.658409604779003</v>
      </c>
      <c r="N71" s="99">
        <v>146768</v>
      </c>
      <c r="O71" s="129">
        <v>61.226294667812397</v>
      </c>
      <c r="P71" s="150">
        <v>239714</v>
      </c>
      <c r="Q71" s="42">
        <v>2500000</v>
      </c>
      <c r="R71" s="14">
        <f t="shared" si="2"/>
        <v>2250000</v>
      </c>
      <c r="S71" s="14">
        <v>1500000</v>
      </c>
      <c r="T71" s="25">
        <f>R71*F71</f>
        <v>2250000</v>
      </c>
      <c r="U71" s="39">
        <f t="shared" si="1"/>
        <v>16071.428571428571</v>
      </c>
    </row>
    <row r="72" spans="1:21" s="28" customFormat="1" ht="15" customHeight="1">
      <c r="A72" s="13" t="s">
        <v>234</v>
      </c>
      <c r="B72" s="155"/>
      <c r="C72" s="13" t="s">
        <v>217</v>
      </c>
      <c r="D72" s="21" t="s">
        <v>235</v>
      </c>
      <c r="E72" s="13">
        <v>1</v>
      </c>
      <c r="F72" s="21">
        <v>1</v>
      </c>
      <c r="G72" s="13" t="s">
        <v>238</v>
      </c>
      <c r="H72" s="13" t="s">
        <v>195</v>
      </c>
      <c r="I72" s="13" t="s">
        <v>195</v>
      </c>
      <c r="J72" s="13" t="s">
        <v>195</v>
      </c>
      <c r="K72" s="127" t="s">
        <v>195</v>
      </c>
      <c r="L72" s="99">
        <v>205709</v>
      </c>
      <c r="M72" s="129">
        <v>85.814345428302005</v>
      </c>
      <c r="N72" s="99">
        <v>226278</v>
      </c>
      <c r="O72" s="129">
        <v>94.394987359937204</v>
      </c>
      <c r="P72" s="150">
        <v>239714</v>
      </c>
      <c r="Q72" s="42">
        <v>2500000</v>
      </c>
      <c r="R72" s="14">
        <f t="shared" si="2"/>
        <v>2250000</v>
      </c>
      <c r="S72" s="14">
        <v>1500000</v>
      </c>
      <c r="T72" s="25">
        <f>R72*F72</f>
        <v>2250000</v>
      </c>
      <c r="U72" s="39">
        <f t="shared" si="1"/>
        <v>16071.428571428571</v>
      </c>
    </row>
    <row r="73" spans="1:21" s="28" customFormat="1" ht="15" customHeight="1">
      <c r="A73" s="13" t="s">
        <v>234</v>
      </c>
      <c r="B73" s="155"/>
      <c r="C73" s="13" t="s">
        <v>217</v>
      </c>
      <c r="D73" s="21" t="s">
        <v>235</v>
      </c>
      <c r="E73" s="13">
        <v>1</v>
      </c>
      <c r="F73" s="21">
        <v>1</v>
      </c>
      <c r="G73" s="13" t="s">
        <v>238</v>
      </c>
      <c r="H73" s="13" t="s">
        <v>195</v>
      </c>
      <c r="I73" s="13" t="s">
        <v>195</v>
      </c>
      <c r="J73" s="13" t="s">
        <v>195</v>
      </c>
      <c r="K73" s="127" t="s">
        <v>195</v>
      </c>
      <c r="L73" s="99">
        <v>278303</v>
      </c>
      <c r="M73" s="129">
        <v>116.09793337059899</v>
      </c>
      <c r="N73" s="99">
        <v>306137</v>
      </c>
      <c r="O73" s="129">
        <v>127.709270213671</v>
      </c>
      <c r="P73" s="150">
        <v>239714</v>
      </c>
      <c r="Q73" s="42">
        <v>2500000</v>
      </c>
      <c r="R73" s="14">
        <f t="shared" si="2"/>
        <v>2250000</v>
      </c>
      <c r="S73" s="14">
        <v>1500000</v>
      </c>
      <c r="T73" s="25">
        <f>R73*F73</f>
        <v>2250000</v>
      </c>
      <c r="U73" s="39">
        <f t="shared" si="1"/>
        <v>16071.428571428571</v>
      </c>
    </row>
    <row r="74" spans="1:21" s="28" customFormat="1" ht="15" customHeight="1">
      <c r="A74" s="13" t="s">
        <v>234</v>
      </c>
      <c r="B74" s="155"/>
      <c r="C74" s="13" t="s">
        <v>217</v>
      </c>
      <c r="D74" s="21" t="s">
        <v>235</v>
      </c>
      <c r="E74" s="13">
        <v>1</v>
      </c>
      <c r="F74" s="21">
        <v>1</v>
      </c>
      <c r="G74" s="13" t="s">
        <v>238</v>
      </c>
      <c r="H74" s="13" t="s">
        <v>195</v>
      </c>
      <c r="I74" s="13" t="s">
        <v>195</v>
      </c>
      <c r="J74" s="13" t="s">
        <v>195</v>
      </c>
      <c r="K74" s="127" t="s">
        <v>195</v>
      </c>
      <c r="L74" s="99">
        <v>116994</v>
      </c>
      <c r="M74" s="129">
        <v>48.805660078259898</v>
      </c>
      <c r="N74" s="99">
        <v>128695</v>
      </c>
      <c r="O74" s="129">
        <v>53.686893548144802</v>
      </c>
      <c r="P74" s="150">
        <v>239714</v>
      </c>
      <c r="Q74" s="42">
        <v>2500000</v>
      </c>
      <c r="R74" s="14">
        <f t="shared" si="2"/>
        <v>2250000</v>
      </c>
      <c r="S74" s="14">
        <v>1500000</v>
      </c>
      <c r="T74" s="25">
        <f>R74*F74</f>
        <v>2250000</v>
      </c>
      <c r="U74" s="39">
        <f t="shared" si="1"/>
        <v>16071.428571428571</v>
      </c>
    </row>
    <row r="75" spans="1:21" s="28" customFormat="1" ht="15" customHeight="1">
      <c r="A75" s="13" t="s">
        <v>234</v>
      </c>
      <c r="B75" s="155"/>
      <c r="C75" s="13" t="s">
        <v>217</v>
      </c>
      <c r="D75" s="21" t="s">
        <v>235</v>
      </c>
      <c r="E75" s="13">
        <v>1</v>
      </c>
      <c r="F75" s="21">
        <v>1</v>
      </c>
      <c r="G75" s="13" t="s">
        <v>238</v>
      </c>
      <c r="H75" s="13" t="s">
        <v>195</v>
      </c>
      <c r="I75" s="13" t="s">
        <v>195</v>
      </c>
      <c r="J75" s="13" t="s">
        <v>195</v>
      </c>
      <c r="K75" s="127" t="s">
        <v>195</v>
      </c>
      <c r="L75" s="99">
        <v>127200</v>
      </c>
      <c r="M75" s="129">
        <v>53.063233686810101</v>
      </c>
      <c r="N75" s="99">
        <v>139925</v>
      </c>
      <c r="O75" s="129">
        <v>58.371642874425298</v>
      </c>
      <c r="P75" s="150">
        <v>239714</v>
      </c>
      <c r="Q75" s="42">
        <v>2500000</v>
      </c>
      <c r="R75" s="14">
        <f t="shared" si="2"/>
        <v>2250000</v>
      </c>
      <c r="S75" s="14">
        <v>1500000</v>
      </c>
      <c r="T75" s="25">
        <f>R75*F75</f>
        <v>2250000</v>
      </c>
      <c r="U75" s="39">
        <f t="shared" si="1"/>
        <v>16071.428571428571</v>
      </c>
    </row>
    <row r="76" spans="1:21" s="28" customFormat="1" ht="15" customHeight="1">
      <c r="A76" s="13" t="s">
        <v>234</v>
      </c>
      <c r="B76" s="155"/>
      <c r="C76" s="13" t="s">
        <v>210</v>
      </c>
      <c r="D76" s="21" t="s">
        <v>235</v>
      </c>
      <c r="E76" s="13">
        <v>1</v>
      </c>
      <c r="F76" s="21">
        <v>1</v>
      </c>
      <c r="G76" s="13" t="s">
        <v>238</v>
      </c>
      <c r="H76" s="13" t="s">
        <v>195</v>
      </c>
      <c r="I76" s="13" t="s">
        <v>195</v>
      </c>
      <c r="J76" s="13" t="s">
        <v>195</v>
      </c>
      <c r="K76" s="127" t="s">
        <v>195</v>
      </c>
      <c r="L76" s="99">
        <v>46617</v>
      </c>
      <c r="M76" s="129">
        <v>29.618593185124901</v>
      </c>
      <c r="N76" s="99">
        <v>51277</v>
      </c>
      <c r="O76" s="129">
        <v>32.5793723910515</v>
      </c>
      <c r="P76" s="150">
        <v>157391</v>
      </c>
      <c r="Q76" s="42">
        <v>2500000</v>
      </c>
      <c r="R76" s="14">
        <f>Q76*(1-10% )</f>
        <v>2250000</v>
      </c>
      <c r="S76" s="14">
        <v>1500000</v>
      </c>
      <c r="T76" s="25">
        <f>R76*F76</f>
        <v>2250000</v>
      </c>
      <c r="U76" s="39">
        <f>T76/140</f>
        <v>16071.428571428571</v>
      </c>
    </row>
    <row r="77" spans="1:21" s="28" customFormat="1" ht="15" customHeight="1">
      <c r="A77" s="13" t="s">
        <v>234</v>
      </c>
      <c r="B77" s="155"/>
      <c r="C77" s="13" t="s">
        <v>210</v>
      </c>
      <c r="D77" s="21" t="s">
        <v>235</v>
      </c>
      <c r="E77" s="13">
        <v>1</v>
      </c>
      <c r="F77" s="21">
        <v>1</v>
      </c>
      <c r="G77" s="13" t="s">
        <v>238</v>
      </c>
      <c r="H77" s="13" t="s">
        <v>195</v>
      </c>
      <c r="I77" s="13" t="s">
        <v>195</v>
      </c>
      <c r="J77" s="13" t="s">
        <v>195</v>
      </c>
      <c r="K77" s="127" t="s">
        <v>195</v>
      </c>
      <c r="L77" s="99">
        <v>78163</v>
      </c>
      <c r="M77" s="129">
        <v>49.661670616490099</v>
      </c>
      <c r="N77" s="99">
        <v>85971</v>
      </c>
      <c r="O77" s="129">
        <v>54.622564187278797</v>
      </c>
      <c r="P77" s="150">
        <v>157391</v>
      </c>
      <c r="Q77" s="42">
        <v>2500000</v>
      </c>
      <c r="R77" s="14">
        <f>Q77*(1-10% )</f>
        <v>2250000</v>
      </c>
      <c r="S77" s="14">
        <v>1500000</v>
      </c>
      <c r="T77" s="25">
        <f>R77*F77</f>
        <v>2250000</v>
      </c>
      <c r="U77" s="39">
        <f>T77/140</f>
        <v>16071.428571428571</v>
      </c>
    </row>
    <row r="78" spans="1:21" s="28" customFormat="1" ht="15" customHeight="1">
      <c r="A78" s="13" t="s">
        <v>234</v>
      </c>
      <c r="B78" s="155"/>
      <c r="C78" s="13" t="s">
        <v>210</v>
      </c>
      <c r="D78" s="21" t="s">
        <v>235</v>
      </c>
      <c r="E78" s="13">
        <v>1</v>
      </c>
      <c r="F78" s="21">
        <v>1</v>
      </c>
      <c r="G78" s="13" t="s">
        <v>238</v>
      </c>
      <c r="H78" s="13" t="s">
        <v>195</v>
      </c>
      <c r="I78" s="13" t="s">
        <v>195</v>
      </c>
      <c r="J78" s="13" t="s">
        <v>195</v>
      </c>
      <c r="K78" s="127" t="s">
        <v>195</v>
      </c>
      <c r="L78" s="99">
        <v>70747</v>
      </c>
      <c r="M78" s="129">
        <v>44.949838300792202</v>
      </c>
      <c r="N78" s="99">
        <v>77823</v>
      </c>
      <c r="O78" s="129">
        <v>49.445648099319499</v>
      </c>
      <c r="P78" s="150">
        <v>157391</v>
      </c>
      <c r="Q78" s="42">
        <v>2500000</v>
      </c>
      <c r="R78" s="14">
        <f>Q78*(1-10% )</f>
        <v>2250000</v>
      </c>
      <c r="S78" s="14">
        <v>1500000</v>
      </c>
      <c r="T78" s="25">
        <f>R78*F78</f>
        <v>2250000</v>
      </c>
      <c r="U78" s="39">
        <f>T78/140</f>
        <v>16071.428571428571</v>
      </c>
    </row>
    <row r="79" spans="1:21" s="28" customFormat="1" ht="15" customHeight="1" thickBot="1">
      <c r="A79" s="13" t="s">
        <v>234</v>
      </c>
      <c r="B79" s="156"/>
      <c r="C79" s="13" t="s">
        <v>210</v>
      </c>
      <c r="D79" s="21" t="s">
        <v>235</v>
      </c>
      <c r="E79" s="13">
        <v>1</v>
      </c>
      <c r="F79" s="21">
        <v>1</v>
      </c>
      <c r="G79" s="13" t="s">
        <v>238</v>
      </c>
      <c r="H79" s="13" t="s">
        <v>195</v>
      </c>
      <c r="I79" s="13" t="s">
        <v>195</v>
      </c>
      <c r="J79" s="13" t="s">
        <v>195</v>
      </c>
      <c r="K79" s="127" t="s">
        <v>195</v>
      </c>
      <c r="L79" s="141">
        <v>89432</v>
      </c>
      <c r="M79" s="142">
        <v>56.821546340006698</v>
      </c>
      <c r="N79" s="141">
        <v>98377</v>
      </c>
      <c r="O79" s="142">
        <v>62.504844622627701</v>
      </c>
      <c r="P79" s="149">
        <v>157391</v>
      </c>
      <c r="Q79" s="42">
        <v>2500000</v>
      </c>
      <c r="R79" s="14">
        <f>Q79*(1-10% )</f>
        <v>2250000</v>
      </c>
      <c r="S79" s="14">
        <v>1500000</v>
      </c>
      <c r="T79" s="25">
        <f>R79*F79</f>
        <v>2250000</v>
      </c>
      <c r="U79" s="39">
        <f>T79/140</f>
        <v>16071.428571428571</v>
      </c>
    </row>
    <row r="80" spans="1:21" s="4" customFormat="1" ht="17" thickBot="1">
      <c r="A80" s="84"/>
      <c r="B80" s="84"/>
      <c r="C80" s="85"/>
      <c r="D80" s="86"/>
      <c r="E80" s="87"/>
      <c r="F80" s="87"/>
      <c r="G80" s="87"/>
      <c r="H80" s="87"/>
      <c r="I80" s="87"/>
      <c r="J80" s="87"/>
      <c r="K80" s="146"/>
      <c r="L80" s="143">
        <f>SUM(L5:L79)</f>
        <v>18951607</v>
      </c>
      <c r="M80" s="151"/>
      <c r="N80" s="143">
        <f>SUM(N5:N79)</f>
        <v>19431952</v>
      </c>
      <c r="O80" s="151"/>
      <c r="P80" s="152"/>
      <c r="Q80" s="88">
        <f>SUM(Q5:Q79)</f>
        <v>394110000</v>
      </c>
      <c r="R80" s="88">
        <f t="shared" ref="R80:T80" si="4">SUM(R5:R79)</f>
        <v>349753500</v>
      </c>
      <c r="S80" s="88">
        <f t="shared" si="4"/>
        <v>13500000</v>
      </c>
      <c r="T80" s="88">
        <f t="shared" si="4"/>
        <v>349753500</v>
      </c>
      <c r="U80" s="89">
        <f>SUM(U5:U79)</f>
        <v>2498239.2857142859</v>
      </c>
    </row>
    <row r="81" spans="1:21">
      <c r="A81" s="8"/>
      <c r="B81" s="8"/>
      <c r="Q81" s="9"/>
      <c r="R81" s="9"/>
      <c r="S81" s="9"/>
      <c r="T81" s="10"/>
      <c r="U81" s="10"/>
    </row>
    <row r="82" spans="1:21">
      <c r="T82" s="10"/>
      <c r="U82" s="10"/>
    </row>
    <row r="83" spans="1:21" ht="17" thickBot="1"/>
    <row r="84" spans="1:21" ht="25" customHeight="1">
      <c r="G84" s="15"/>
      <c r="Q84" s="17"/>
      <c r="S84" s="118" t="s">
        <v>323</v>
      </c>
      <c r="T84" s="104">
        <f>T80</f>
        <v>349753500</v>
      </c>
      <c r="U84" s="66"/>
    </row>
    <row r="85" spans="1:21" ht="25" customHeight="1">
      <c r="G85" s="15"/>
      <c r="Q85" s="17"/>
      <c r="S85" s="119" t="s">
        <v>324</v>
      </c>
      <c r="T85" s="120">
        <f>S80</f>
        <v>13500000</v>
      </c>
      <c r="U85" s="66"/>
    </row>
    <row r="86" spans="1:21" ht="25" customHeight="1">
      <c r="G86" s="15"/>
      <c r="Q86" s="17"/>
      <c r="S86" s="121" t="s">
        <v>164</v>
      </c>
      <c r="T86" s="106">
        <f>(T84+T85)*5%</f>
        <v>18162675</v>
      </c>
      <c r="U86" s="67"/>
    </row>
    <row r="87" spans="1:21" ht="25" customHeight="1" thickBot="1">
      <c r="G87" s="16"/>
      <c r="Q87" s="18"/>
      <c r="S87" s="122" t="s">
        <v>169</v>
      </c>
      <c r="T87" s="110">
        <f>(T84+T86+T85)*1.12</f>
        <v>427186116.00000006</v>
      </c>
      <c r="U87" s="67"/>
    </row>
    <row r="88" spans="1:21">
      <c r="G88" s="19"/>
      <c r="Q88" s="17"/>
      <c r="T88" s="12"/>
      <c r="U88" s="12"/>
    </row>
    <row r="89" spans="1:21">
      <c r="G89" s="19"/>
      <c r="Q89" s="20"/>
      <c r="T89" s="10"/>
      <c r="U89" s="10"/>
    </row>
    <row r="90" spans="1:21">
      <c r="G90" s="19"/>
      <c r="Q90" s="17"/>
    </row>
    <row r="91" spans="1:21">
      <c r="G91" s="19"/>
      <c r="Q91" s="18"/>
    </row>
    <row r="92" spans="1:21">
      <c r="G92" s="15"/>
      <c r="Q92" s="15"/>
      <c r="T92" s="10"/>
    </row>
    <row r="93" spans="1:21">
      <c r="G93" s="19"/>
      <c r="Q93" s="17"/>
    </row>
    <row r="94" spans="1:21">
      <c r="G94" s="15"/>
      <c r="Q94" s="17"/>
    </row>
    <row r="95" spans="1:21">
      <c r="G95" s="15"/>
      <c r="Q95" s="17"/>
    </row>
    <row r="96" spans="1:21">
      <c r="G96" s="15"/>
      <c r="Q96" s="17"/>
    </row>
    <row r="97" spans="7:17">
      <c r="G97" s="19"/>
      <c r="Q97" s="17"/>
    </row>
    <row r="98" spans="7:17">
      <c r="G98" s="15"/>
      <c r="Q98" s="15"/>
    </row>
    <row r="99" spans="7:17">
      <c r="G99" s="15"/>
      <c r="Q99" s="15"/>
    </row>
    <row r="100" spans="7:17">
      <c r="G100" s="19"/>
      <c r="Q100" s="17"/>
    </row>
    <row r="101" spans="7:17">
      <c r="G101" s="19"/>
      <c r="Q101" s="17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Q84:Q92" name="Диапазон1_2"/>
    <protectedRange algorithmName="SHA-512" hashValue="20tZejZtY/ZGRcGLZm0ZbWfCu51ejQGMqdRYwv0b9rb/5Q/ejFDHQOXySZDQbnMuPhvZC4Bfbq/BWdBxp9Ls4w==" saltValue="Q+V8rXhHsE4u/j5xUQJeAg==" spinCount="100000" sqref="H21:H22" name="Диапазон1_5"/>
    <protectedRange algorithmName="SHA-512" hashValue="20tZejZtY/ZGRcGLZm0ZbWfCu51ejQGMqdRYwv0b9rb/5Q/ejFDHQOXySZDQbnMuPhvZC4Bfbq/BWdBxp9Ls4w==" saltValue="Q+V8rXhHsE4u/j5xUQJeAg==" spinCount="100000" sqref="I21:I22" name="Диапазон1_12"/>
    <protectedRange algorithmName="SHA-512" hashValue="20tZejZtY/ZGRcGLZm0ZbWfCu51ejQGMqdRYwv0b9rb/5Q/ejFDHQOXySZDQbnMuPhvZC4Bfbq/BWdBxp9Ls4w==" saltValue="Q+V8rXhHsE4u/j5xUQJeAg==" spinCount="100000" sqref="G20:G22 E20:E22" name="Диапазон1_5_9"/>
    <protectedRange algorithmName="SHA-512" hashValue="20tZejZtY/ZGRcGLZm0ZbWfCu51ejQGMqdRYwv0b9rb/5Q/ejFDHQOXySZDQbnMuPhvZC4Bfbq/BWdBxp9Ls4w==" saltValue="Q+V8rXhHsE4u/j5xUQJeAg==" spinCount="100000" sqref="C20:D22" name="Диапазон1_2_4"/>
    <protectedRange algorithmName="SHA-512" hashValue="20tZejZtY/ZGRcGLZm0ZbWfCu51ejQGMqdRYwv0b9rb/5Q/ejFDHQOXySZDQbnMuPhvZC4Bfbq/BWdBxp9Ls4w==" saltValue="Q+V8rXhHsE4u/j5xUQJeAg==" spinCount="100000" sqref="B20:B22" name="Диапазон1_9_1_1_1_1"/>
    <protectedRange algorithmName="SHA-512" hashValue="20tZejZtY/ZGRcGLZm0ZbWfCu51ejQGMqdRYwv0b9rb/5Q/ejFDHQOXySZDQbnMuPhvZC4Bfbq/BWdBxp9Ls4w==" saltValue="Q+V8rXhHsE4u/j5xUQJeAg==" spinCount="100000" sqref="Q93" name="Диапазон1_2_1"/>
    <protectedRange algorithmName="SHA-512" hashValue="20tZejZtY/ZGRcGLZm0ZbWfCu51ejQGMqdRYwv0b9rb/5Q/ejFDHQOXySZDQbnMuPhvZC4Bfbq/BWdBxp9Ls4w==" saltValue="Q+V8rXhHsE4u/j5xUQJeAg==" spinCount="100000" sqref="Q94" name="Диапазон1_2_2"/>
    <protectedRange algorithmName="SHA-512" hashValue="20tZejZtY/ZGRcGLZm0ZbWfCu51ejQGMqdRYwv0b9rb/5Q/ejFDHQOXySZDQbnMuPhvZC4Bfbq/BWdBxp9Ls4w==" saltValue="Q+V8rXhHsE4u/j5xUQJeAg==" spinCount="100000" sqref="Q97" name="Диапазон1_2_5"/>
    <protectedRange algorithmName="SHA-512" hashValue="20tZejZtY/ZGRcGLZm0ZbWfCu51ejQGMqdRYwv0b9rb/5Q/ejFDHQOXySZDQbnMuPhvZC4Bfbq/BWdBxp9Ls4w==" saltValue="Q+V8rXhHsE4u/j5xUQJeAg==" spinCount="100000" sqref="Q95:Q96" name="Диапазон1_2_6"/>
    <protectedRange algorithmName="SHA-512" hashValue="20tZejZtY/ZGRcGLZm0ZbWfCu51ejQGMqdRYwv0b9rb/5Q/ejFDHQOXySZDQbnMuPhvZC4Bfbq/BWdBxp9Ls4w==" saltValue="Q+V8rXhHsE4u/j5xUQJeAg==" spinCount="100000" sqref="Q98" name="Диапазон1_2_7"/>
    <protectedRange algorithmName="SHA-512" hashValue="20tZejZtY/ZGRcGLZm0ZbWfCu51ejQGMqdRYwv0b9rb/5Q/ejFDHQOXySZDQbnMuPhvZC4Bfbq/BWdBxp9Ls4w==" saltValue="Q+V8rXhHsE4u/j5xUQJeAg==" spinCount="100000" sqref="Q99" name="Диапазон1_2_9"/>
    <protectedRange algorithmName="SHA-512" hashValue="20tZejZtY/ZGRcGLZm0ZbWfCu51ejQGMqdRYwv0b9rb/5Q/ejFDHQOXySZDQbnMuPhvZC4Bfbq/BWdBxp9Ls4w==" saltValue="Q+V8rXhHsE4u/j5xUQJeAg==" spinCount="100000" sqref="Q100" name="Диапазон1_2_10"/>
    <protectedRange algorithmName="SHA-512" hashValue="20tZejZtY/ZGRcGLZm0ZbWfCu51ejQGMqdRYwv0b9rb/5Q/ejFDHQOXySZDQbnMuPhvZC4Bfbq/BWdBxp9Ls4w==" saltValue="Q+V8rXhHsE4u/j5xUQJeAg==" spinCount="100000" sqref="Q101" name="Диапазон1_2_11"/>
    <protectedRange algorithmName="SHA-512" hashValue="20tZejZtY/ZGRcGLZm0ZbWfCu51ejQGMqdRYwv0b9rb/5Q/ejFDHQOXySZDQbnMuPhvZC4Bfbq/BWdBxp9Ls4w==" saltValue="Q+V8rXhHsE4u/j5xUQJeAg==" spinCount="100000" sqref="H23" name="Диапазон1_5_11"/>
    <protectedRange algorithmName="SHA-512" hashValue="20tZejZtY/ZGRcGLZm0ZbWfCu51ejQGMqdRYwv0b9rb/5Q/ejFDHQOXySZDQbnMuPhvZC4Bfbq/BWdBxp9Ls4w==" saltValue="Q+V8rXhHsE4u/j5xUQJeAg==" spinCount="100000" sqref="R20:R27 R71:S79 R38:R70" name="Диапазон1_2_12"/>
    <protectedRange algorithmName="SHA-512" hashValue="20tZejZtY/ZGRcGLZm0ZbWfCu51ejQGMqdRYwv0b9rb/5Q/ejFDHQOXySZDQbnMuPhvZC4Bfbq/BWdBxp9Ls4w==" saltValue="Q+V8rXhHsE4u/j5xUQJeAg==" spinCount="100000" sqref="I23" name="Диапазон1_6"/>
    <protectedRange algorithmName="SHA-512" hashValue="20tZejZtY/ZGRcGLZm0ZbWfCu51ejQGMqdRYwv0b9rb/5Q/ejFDHQOXySZDQbnMuPhvZC4Bfbq/BWdBxp9Ls4w==" saltValue="Q+V8rXhHsE4u/j5xUQJeAg==" spinCount="100000" sqref="J23" name="Диапазон1_1_2"/>
    <protectedRange algorithmName="SHA-512" hashValue="20tZejZtY/ZGRcGLZm0ZbWfCu51ejQGMqdRYwv0b9rb/5Q/ejFDHQOXySZDQbnMuPhvZC4Bfbq/BWdBxp9Ls4w==" saltValue="Q+V8rXhHsE4u/j5xUQJeAg==" spinCount="100000" sqref="C23" name="Диапазон1_2_1_1"/>
    <protectedRange algorithmName="SHA-512" hashValue="20tZejZtY/ZGRcGLZm0ZbWfCu51ejQGMqdRYwv0b9rb/5Q/ejFDHQOXySZDQbnMuPhvZC4Bfbq/BWdBxp9Ls4w==" saltValue="Q+V8rXhHsE4u/j5xUQJeAg==" spinCount="100000" sqref="D23 Q23" name="Диапазон1_1_2_1_3"/>
    <protectedRange algorithmName="SHA-512" hashValue="20tZejZtY/ZGRcGLZm0ZbWfCu51ejQGMqdRYwv0b9rb/5Q/ejFDHQOXySZDQbnMuPhvZC4Bfbq/BWdBxp9Ls4w==" saltValue="Q+V8rXhHsE4u/j5xUQJeAg==" spinCount="100000" sqref="G23 E23" name="Диапазон1_5_2_1"/>
    <protectedRange algorithmName="SHA-512" hashValue="20tZejZtY/ZGRcGLZm0ZbWfCu51ejQGMqdRYwv0b9rb/5Q/ejFDHQOXySZDQbnMuPhvZC4Bfbq/BWdBxp9Ls4w==" saltValue="Q+V8rXhHsE4u/j5xUQJeAg==" spinCount="100000" sqref="B23" name="Диапазон1_2_1_1_1"/>
    <protectedRange algorithmName="SHA-512" hashValue="20tZejZtY/ZGRcGLZm0ZbWfCu51ejQGMqdRYwv0b9rb/5Q/ejFDHQOXySZDQbnMuPhvZC4Bfbq/BWdBxp9Ls4w==" saltValue="Q+V8rXhHsE4u/j5xUQJeAg==" spinCount="100000" sqref="H24:H27 I71:K79 H38:H79" name="Диапазон1_5_12"/>
    <protectedRange algorithmName="SHA-512" hashValue="20tZejZtY/ZGRcGLZm0ZbWfCu51ejQGMqdRYwv0b9rb/5Q/ejFDHQOXySZDQbnMuPhvZC4Bfbq/BWdBxp9Ls4w==" saltValue="Q+V8rXhHsE4u/j5xUQJeAg==" spinCount="100000" sqref="I24:I27 I38:I70" name="Диапазон1_12_12"/>
    <protectedRange algorithmName="SHA-512" hashValue="20tZejZtY/ZGRcGLZm0ZbWfCu51ejQGMqdRYwv0b9rb/5Q/ejFDHQOXySZDQbnMuPhvZC4Bfbq/BWdBxp9Ls4w==" saltValue="Q+V8rXhHsE4u/j5xUQJeAg==" spinCount="100000" sqref="G24:G27 E24:E27 G38:G79 E38:E79" name="Диапазон1_5_9_11"/>
    <protectedRange algorithmName="SHA-512" hashValue="20tZejZtY/ZGRcGLZm0ZbWfCu51ejQGMqdRYwv0b9rb/5Q/ejFDHQOXySZDQbnMuPhvZC4Bfbq/BWdBxp9Ls4w==" saltValue="Q+V8rXhHsE4u/j5xUQJeAg==" spinCount="100000" sqref="C38:D47 C24:D27" name="Диапазон1_2_4_11"/>
    <protectedRange algorithmName="SHA-512" hashValue="20tZejZtY/ZGRcGLZm0ZbWfCu51ejQGMqdRYwv0b9rb/5Q/ejFDHQOXySZDQbnMuPhvZC4Bfbq/BWdBxp9Ls4w==" saltValue="Q+V8rXhHsE4u/j5xUQJeAg==" spinCount="100000" sqref="H5:H8 H10 H12:H14" name="Диапазон1_5_2"/>
    <protectedRange algorithmName="SHA-512" hashValue="20tZejZtY/ZGRcGLZm0ZbWfCu51ejQGMqdRYwv0b9rb/5Q/ejFDHQOXySZDQbnMuPhvZC4Bfbq/BWdBxp9Ls4w==" saltValue="Q+V8rXhHsE4u/j5xUQJeAg==" spinCount="100000" sqref="R12:R19 I5:I8 R5:R10 I10 I12:I14 S5:S70" name="Диапазон1_12_11"/>
    <protectedRange algorithmName="SHA-512" hashValue="20tZejZtY/ZGRcGLZm0ZbWfCu51ejQGMqdRYwv0b9rb/5Q/ejFDHQOXySZDQbnMuPhvZC4Bfbq/BWdBxp9Ls4w==" saltValue="Q+V8rXhHsE4u/j5xUQJeAg==" spinCount="100000" sqref="G8 E5:E6 G5:G6 E8 G10 E10" name="Диапазон1_5_9_7"/>
    <protectedRange algorithmName="SHA-512" hashValue="20tZejZtY/ZGRcGLZm0ZbWfCu51ejQGMqdRYwv0b9rb/5Q/ejFDHQOXySZDQbnMuPhvZC4Bfbq/BWdBxp9Ls4w==" saltValue="Q+V8rXhHsE4u/j5xUQJeAg==" spinCount="100000" sqref="C8:D8 C10:D10 C5:D6" name="Диапазон1_2_4_9"/>
    <protectedRange algorithmName="SHA-512" hashValue="20tZejZtY/ZGRcGLZm0ZbWfCu51ejQGMqdRYwv0b9rb/5Q/ejFDHQOXySZDQbnMuPhvZC4Bfbq/BWdBxp9Ls4w==" saltValue="Q+V8rXhHsE4u/j5xUQJeAg==" spinCount="100000" sqref="B5:B6 B8 B10" name="Диапазон1_9_1_1_1_1_7"/>
    <protectedRange algorithmName="SHA-512" hashValue="20tZejZtY/ZGRcGLZm0ZbWfCu51ejQGMqdRYwv0b9rb/5Q/ejFDHQOXySZDQbnMuPhvZC4Bfbq/BWdBxp9Ls4w==" saltValue="Q+V8rXhHsE4u/j5xUQJeAg==" spinCount="100000" sqref="E7 G12:G14 E12:E14 G7" name="Диапазон1_5_9_1_1"/>
    <protectedRange algorithmName="SHA-512" hashValue="20tZejZtY/ZGRcGLZm0ZbWfCu51ejQGMqdRYwv0b9rb/5Q/ejFDHQOXySZDQbnMuPhvZC4Bfbq/BWdBxp9Ls4w==" saltValue="Q+V8rXhHsE4u/j5xUQJeAg==" spinCount="100000" sqref="C7:D7 C12:D14" name="Диапазон1_2_4_1_2"/>
    <protectedRange algorithmName="SHA-512" hashValue="20tZejZtY/ZGRcGLZm0ZbWfCu51ejQGMqdRYwv0b9rb/5Q/ejFDHQOXySZDQbnMuPhvZC4Bfbq/BWdBxp9Ls4w==" saltValue="Q+V8rXhHsE4u/j5xUQJeAg==" spinCount="100000" sqref="H15" name="Диапазон1_5_6"/>
    <protectedRange algorithmName="SHA-512" hashValue="20tZejZtY/ZGRcGLZm0ZbWfCu51ejQGMqdRYwv0b9rb/5Q/ejFDHQOXySZDQbnMuPhvZC4Bfbq/BWdBxp9Ls4w==" saltValue="Q+V8rXhHsE4u/j5xUQJeAg==" spinCount="100000" sqref="I15" name="Диапазон1_12_6_1"/>
    <protectedRange algorithmName="SHA-512" hashValue="20tZejZtY/ZGRcGLZm0ZbWfCu51ejQGMqdRYwv0b9rb/5Q/ejFDHQOXySZDQbnMuPhvZC4Bfbq/BWdBxp9Ls4w==" saltValue="Q+V8rXhHsE4u/j5xUQJeAg==" spinCount="100000" sqref="E15 G15" name="Диапазон1_5_9_6_1"/>
    <protectedRange algorithmName="SHA-512" hashValue="20tZejZtY/ZGRcGLZm0ZbWfCu51ejQGMqdRYwv0b9rb/5Q/ejFDHQOXySZDQbnMuPhvZC4Bfbq/BWdBxp9Ls4w==" saltValue="Q+V8rXhHsE4u/j5xUQJeAg==" spinCount="100000" sqref="C15:D15" name="Диапазон1_2_4_6_2"/>
    <protectedRange algorithmName="SHA-512" hashValue="20tZejZtY/ZGRcGLZm0ZbWfCu51ejQGMqdRYwv0b9rb/5Q/ejFDHQOXySZDQbnMuPhvZC4Bfbq/BWdBxp9Ls4w==" saltValue="Q+V8rXhHsE4u/j5xUQJeAg==" spinCount="100000" sqref="B15" name="Диапазон1_9_1_1_1_1_6_1"/>
    <protectedRange algorithmName="SHA-512" hashValue="20tZejZtY/ZGRcGLZm0ZbWfCu51ejQGMqdRYwv0b9rb/5Q/ejFDHQOXySZDQbnMuPhvZC4Bfbq/BWdBxp9Ls4w==" saltValue="Q+V8rXhHsE4u/j5xUQJeAg==" spinCount="100000" sqref="H16" name="Диапазон1_5_1_1"/>
    <protectedRange algorithmName="SHA-512" hashValue="20tZejZtY/ZGRcGLZm0ZbWfCu51ejQGMqdRYwv0b9rb/5Q/ejFDHQOXySZDQbnMuPhvZC4Bfbq/BWdBxp9Ls4w==" saltValue="Q+V8rXhHsE4u/j5xUQJeAg==" spinCount="100000" sqref="I16" name="Диапазон1_12_3_1"/>
    <protectedRange algorithmName="SHA-512" hashValue="20tZejZtY/ZGRcGLZm0ZbWfCu51ejQGMqdRYwv0b9rb/5Q/ejFDHQOXySZDQbnMuPhvZC4Bfbq/BWdBxp9Ls4w==" saltValue="Q+V8rXhHsE4u/j5xUQJeAg==" spinCount="100000" sqref="E16 G16" name="Диапазон1_5_9_3_1"/>
    <protectedRange algorithmName="SHA-512" hashValue="20tZejZtY/ZGRcGLZm0ZbWfCu51ejQGMqdRYwv0b9rb/5Q/ejFDHQOXySZDQbnMuPhvZC4Bfbq/BWdBxp9Ls4w==" saltValue="Q+V8rXhHsE4u/j5xUQJeAg==" spinCount="100000" sqref="C16:D16" name="Диапазон1_2_4_3_2"/>
    <protectedRange algorithmName="SHA-512" hashValue="20tZejZtY/ZGRcGLZm0ZbWfCu51ejQGMqdRYwv0b9rb/5Q/ejFDHQOXySZDQbnMuPhvZC4Bfbq/BWdBxp9Ls4w==" saltValue="Q+V8rXhHsE4u/j5xUQJeAg==" spinCount="100000" sqref="B16" name="Диапазон1_9_1_1_1_1_3_1"/>
    <protectedRange algorithmName="SHA-512" hashValue="20tZejZtY/ZGRcGLZm0ZbWfCu51ejQGMqdRYwv0b9rb/5Q/ejFDHQOXySZDQbnMuPhvZC4Bfbq/BWdBxp9Ls4w==" saltValue="Q+V8rXhHsE4u/j5xUQJeAg==" spinCount="100000" sqref="G17:G18 E17:E18" name="Диапазон1_5_9_11_1_1"/>
    <protectedRange algorithmName="SHA-512" hashValue="20tZejZtY/ZGRcGLZm0ZbWfCu51ejQGMqdRYwv0b9rb/5Q/ejFDHQOXySZDQbnMuPhvZC4Bfbq/BWdBxp9Ls4w==" saltValue="Q+V8rXhHsE4u/j5xUQJeAg==" spinCount="100000" sqref="C17:D18" name="Диапазон1_2_4_11_2"/>
    <protectedRange algorithmName="SHA-512" hashValue="20tZejZtY/ZGRcGLZm0ZbWfCu51ejQGMqdRYwv0b9rb/5Q/ejFDHQOXySZDQbnMuPhvZC4Bfbq/BWdBxp9Ls4w==" saltValue="Q+V8rXhHsE4u/j5xUQJeAg==" spinCount="100000" sqref="B17:B18" name="Диапазон1_9_1_1_1_1_11_1_1"/>
    <protectedRange algorithmName="SHA-512" hashValue="20tZejZtY/ZGRcGLZm0ZbWfCu51ejQGMqdRYwv0b9rb/5Q/ejFDHQOXySZDQbnMuPhvZC4Bfbq/BWdBxp9Ls4w==" saltValue="Q+V8rXhHsE4u/j5xUQJeAg==" spinCount="100000" sqref="F5:F79" name="Диапазон1_2_4_13_2"/>
    <protectedRange algorithmName="SHA-512" hashValue="20tZejZtY/ZGRcGLZm0ZbWfCu51ejQGMqdRYwv0b9rb/5Q/ejFDHQOXySZDQbnMuPhvZC4Bfbq/BWdBxp9Ls4w==" saltValue="Q+V8rXhHsE4u/j5xUQJeAg==" spinCount="100000" sqref="H9" name="Диапазон1_5_13"/>
    <protectedRange algorithmName="SHA-512" hashValue="20tZejZtY/ZGRcGLZm0ZbWfCu51ejQGMqdRYwv0b9rb/5Q/ejFDHQOXySZDQbnMuPhvZC4Bfbq/BWdBxp9Ls4w==" saltValue="Q+V8rXhHsE4u/j5xUQJeAg==" spinCount="100000" sqref="I20 I9" name="Диапазон1_12_16"/>
    <protectedRange algorithmName="SHA-512" hashValue="20tZejZtY/ZGRcGLZm0ZbWfCu51ejQGMqdRYwv0b9rb/5Q/ejFDHQOXySZDQbnMuPhvZC4Bfbq/BWdBxp9Ls4w==" saltValue="Q+V8rXhHsE4u/j5xUQJeAg==" spinCount="100000" sqref="C19:D19 C9:D9" name="Диапазон1_2_4_15"/>
    <protectedRange algorithmName="SHA-512" hashValue="20tZejZtY/ZGRcGLZm0ZbWfCu51ejQGMqdRYwv0b9rb/5Q/ejFDHQOXySZDQbnMuPhvZC4Bfbq/BWdBxp9Ls4w==" saltValue="Q+V8rXhHsE4u/j5xUQJeAg==" spinCount="100000" sqref="B9 B19" name="Диапазон1_9_1_1_1_1_13"/>
    <protectedRange algorithmName="SHA-512" hashValue="20tZejZtY/ZGRcGLZm0ZbWfCu51ejQGMqdRYwv0b9rb/5Q/ejFDHQOXySZDQbnMuPhvZC4Bfbq/BWdBxp9Ls4w==" saltValue="Q+V8rXhHsE4u/j5xUQJeAg==" spinCount="100000" sqref="D71:D79 D48:D53" name="Диапазон1_17"/>
    <protectedRange algorithmName="SHA-512" hashValue="20tZejZtY/ZGRcGLZm0ZbWfCu51ejQGMqdRYwv0b9rb/5Q/ejFDHQOXySZDQbnMuPhvZC4Bfbq/BWdBxp9Ls4w==" saltValue="Q+V8rXhHsE4u/j5xUQJeAg==" spinCount="100000" sqref="C76:C79 C48:C55" name="Диапазон1_2_3"/>
    <protectedRange algorithmName="SHA-512" hashValue="20tZejZtY/ZGRcGLZm0ZbWfCu51ejQGMqdRYwv0b9rb/5Q/ejFDHQOXySZDQbnMuPhvZC4Bfbq/BWdBxp9Ls4w==" saltValue="Q+V8rXhHsE4u/j5xUQJeAg==" spinCount="100000" sqref="D56:D65" name="Диапазон1_17_2"/>
    <protectedRange algorithmName="SHA-512" hashValue="20tZejZtY/ZGRcGLZm0ZbWfCu51ejQGMqdRYwv0b9rb/5Q/ejFDHQOXySZDQbnMuPhvZC4Bfbq/BWdBxp9Ls4w==" saltValue="Q+V8rXhHsE4u/j5xUQJeAg==" spinCount="100000" sqref="C71:C75 C56:C65" name="Диапазон1_2_8"/>
    <protectedRange algorithmName="SHA-512" hashValue="20tZejZtY/ZGRcGLZm0ZbWfCu51ejQGMqdRYwv0b9rb/5Q/ejFDHQOXySZDQbnMuPhvZC4Bfbq/BWdBxp9Ls4w==" saltValue="Q+V8rXhHsE4u/j5xUQJeAg==" spinCount="100000" sqref="H28" name="Диапазон1_5_2_2"/>
    <protectedRange algorithmName="SHA-512" hashValue="20tZejZtY/ZGRcGLZm0ZbWfCu51ejQGMqdRYwv0b9rb/5Q/ejFDHQOXySZDQbnMuPhvZC4Bfbq/BWdBxp9Ls4w==" saltValue="Q+V8rXhHsE4u/j5xUQJeAg==" spinCount="100000" sqref="R28 I28" name="Диапазон1_12_11_1"/>
    <protectedRange algorithmName="SHA-512" hashValue="20tZejZtY/ZGRcGLZm0ZbWfCu51ejQGMqdRYwv0b9rb/5Q/ejFDHQOXySZDQbnMuPhvZC4Bfbq/BWdBxp9Ls4w==" saltValue="Q+V8rXhHsE4u/j5xUQJeAg==" spinCount="100000" sqref="G28 E28" name="Диапазон1_5_9_1_1_1"/>
    <protectedRange algorithmName="SHA-512" hashValue="20tZejZtY/ZGRcGLZm0ZbWfCu51ejQGMqdRYwv0b9rb/5Q/ejFDHQOXySZDQbnMuPhvZC4Bfbq/BWdBxp9Ls4w==" saltValue="Q+V8rXhHsE4u/j5xUQJeAg==" spinCount="100000" sqref="C28:D28" name="Диапазон1_2_4_1_2_1"/>
    <protectedRange algorithmName="SHA-512" hashValue="20tZejZtY/ZGRcGLZm0ZbWfCu51ejQGMqdRYwv0b9rb/5Q/ejFDHQOXySZDQbnMuPhvZC4Bfbq/BWdBxp9Ls4w==" saltValue="Q+V8rXhHsE4u/j5xUQJeAg==" spinCount="100000" sqref="I11 I29:I37" name="Диапазон1_12_1"/>
    <protectedRange algorithmName="SHA-512" hashValue="20tZejZtY/ZGRcGLZm0ZbWfCu51ejQGMqdRYwv0b9rb/5Q/ejFDHQOXySZDQbnMuPhvZC4Bfbq/BWdBxp9Ls4w==" saltValue="Q+V8rXhHsE4u/j5xUQJeAg==" spinCount="100000" sqref="E11 G11 G29:G37 E29:E37" name="Диапазон1_5_9_1"/>
    <protectedRange algorithmName="SHA-512" hashValue="20tZejZtY/ZGRcGLZm0ZbWfCu51ejQGMqdRYwv0b9rb/5Q/ejFDHQOXySZDQbnMuPhvZC4Bfbq/BWdBxp9Ls4w==" saltValue="Q+V8rXhHsE4u/j5xUQJeAg==" spinCount="100000" sqref="C29:D37 C11:D11" name="Диапазон1_2_4_1"/>
    <protectedRange algorithmName="SHA-512" hashValue="20tZejZtY/ZGRcGLZm0ZbWfCu51ejQGMqdRYwv0b9rb/5Q/ejFDHQOXySZDQbnMuPhvZC4Bfbq/BWdBxp9Ls4w==" saltValue="Q+V8rXhHsE4u/j5xUQJeAg==" spinCount="100000" sqref="B11 B29:B37" name="Диапазон1_9_1_1_1_1_1"/>
    <protectedRange algorithmName="SHA-512" hashValue="20tZejZtY/ZGRcGLZm0ZbWfCu51ejQGMqdRYwv0b9rb/5Q/ejFDHQOXySZDQbnMuPhvZC4Bfbq/BWdBxp9Ls4w==" saltValue="Q+V8rXhHsE4u/j5xUQJeAg==" spinCount="100000" sqref="R11 R29:R37" name="Диапазон1_2_12_1"/>
    <protectedRange algorithmName="SHA-512" hashValue="20tZejZtY/ZGRcGLZm0ZbWfCu51ejQGMqdRYwv0b9rb/5Q/ejFDHQOXySZDQbnMuPhvZC4Bfbq/BWdBxp9Ls4w==" saltValue="Q+V8rXhHsE4u/j5xUQJeAg==" spinCount="100000" sqref="C66:C67" name="Диапазон1_1_10_1_2"/>
    <protectedRange algorithmName="SHA-512" hashValue="20tZejZtY/ZGRcGLZm0ZbWfCu51ejQGMqdRYwv0b9rb/5Q/ejFDHQOXySZDQbnMuPhvZC4Bfbq/BWdBxp9Ls4w==" saltValue="Q+V8rXhHsE4u/j5xUQJeAg==" spinCount="100000" sqref="D66:D67" name="Диапазон1_17_25"/>
    <protectedRange algorithmName="SHA-512" hashValue="20tZejZtY/ZGRcGLZm0ZbWfCu51ejQGMqdRYwv0b9rb/5Q/ejFDHQOXySZDQbnMuPhvZC4Bfbq/BWdBxp9Ls4w==" saltValue="Q+V8rXhHsE4u/j5xUQJeAg==" spinCount="100000" sqref="D68:D70" name="Диапазон1_19_1_2"/>
    <protectedRange algorithmName="SHA-512" hashValue="20tZejZtY/ZGRcGLZm0ZbWfCu51ejQGMqdRYwv0b9rb/5Q/ejFDHQOXySZDQbnMuPhvZC4Bfbq/BWdBxp9Ls4w==" saltValue="Q+V8rXhHsE4u/j5xUQJeAg==" spinCount="100000" sqref="C68:C70" name="Диапазон1_1_10_1_2_1"/>
    <protectedRange algorithmName="SHA-512" hashValue="20tZejZtY/ZGRcGLZm0ZbWfCu51ejQGMqdRYwv0b9rb/5Q/ejFDHQOXySZDQbnMuPhvZC4Bfbq/BWdBxp9Ls4w==" saltValue="Q+V8rXhHsE4u/j5xUQJeAg==" spinCount="100000" sqref="D54:D55" name="Диапазон1_17_3"/>
    <protectedRange sqref="N4:O4" name="Range1_2"/>
    <protectedRange sqref="N5:O79" name="Range1_1"/>
    <protectedRange sqref="L5:M79" name="Range1_2_1"/>
    <protectedRange sqref="P5:P79" name="Range1_4"/>
    <protectedRange sqref="P4" name="Range1_1_1"/>
  </protectedRanges>
  <autoFilter ref="A4:U80" xr:uid="{EFB76DF0-1883-4996-A868-E6FBB2D5328F}"/>
  <mergeCells count="5">
    <mergeCell ref="B38:B47"/>
    <mergeCell ref="B48:B70"/>
    <mergeCell ref="B71:B79"/>
    <mergeCell ref="L3:M3"/>
    <mergeCell ref="N3:O3"/>
  </mergeCells>
  <phoneticPr fontId="22" type="noConversion"/>
  <hyperlinks>
    <hyperlink ref="B38:B47" r:id="rId1" display="Фото" xr:uid="{8DBFB782-5C7F-4D3D-AC9C-FCFE936331BB}"/>
    <hyperlink ref="B71:B79" r:id="rId2" display="Фото" xr:uid="{1689F507-6FD9-483D-AFE4-F3B16E4CCD1C}"/>
    <hyperlink ref="B48:B65" r:id="rId3" display="Презентация " xr:uid="{D95AB0CB-4245-477D-87DB-E7717570C8D7}"/>
    <hyperlink ref="B5" r:id="rId4" xr:uid="{34991843-7F99-426C-A682-730C24F022C6}"/>
    <hyperlink ref="B6" r:id="rId5" xr:uid="{828736BB-C25E-4352-8361-B0D44EDDB291}"/>
    <hyperlink ref="B7" r:id="rId6" xr:uid="{5B2FD5D0-E24A-4B98-A6CA-B1922D2E65CE}"/>
    <hyperlink ref="B8" r:id="rId7" xr:uid="{75EDBE9A-45AA-4134-A41F-361AD5618A56}"/>
    <hyperlink ref="B9" r:id="rId8" xr:uid="{3B357E29-461D-4882-A4FD-2D623B985ABF}"/>
    <hyperlink ref="B10" r:id="rId9" xr:uid="{1B674D2E-1022-411B-8244-21D75F0DE4BE}"/>
    <hyperlink ref="B11" r:id="rId10" xr:uid="{ED93653B-BAB4-4971-A589-561C9D0E8850}"/>
    <hyperlink ref="B12" r:id="rId11" xr:uid="{A42C7B2C-AF34-477B-A566-0F60D1757FEA}"/>
    <hyperlink ref="B13" r:id="rId12" xr:uid="{EB6B596D-027D-40E2-B8B1-0041A65EFFB9}"/>
    <hyperlink ref="B14" r:id="rId13" xr:uid="{304AF9EC-27A2-4DFF-8FFF-247670678BAF}"/>
    <hyperlink ref="B15" r:id="rId14" xr:uid="{D1CA5710-FD33-49F8-82D1-3E67A84139BC}"/>
    <hyperlink ref="B16" r:id="rId15" xr:uid="{0D1B247F-1443-4BDC-B5B6-D167C16FBE9A}"/>
    <hyperlink ref="B17" r:id="rId16" xr:uid="{E224A1B7-CD90-486C-9DA8-500F8F6DCE74}"/>
    <hyperlink ref="B18" r:id="rId17" xr:uid="{5209A55B-EE58-4C47-9AAE-32E60225426F}"/>
    <hyperlink ref="B20" r:id="rId18" xr:uid="{4C5AE9EF-E72D-4C57-A24A-6E85ADE43930}"/>
    <hyperlink ref="B21" r:id="rId19" xr:uid="{49F9483C-CB12-49C0-B2C9-1D54028FE211}"/>
    <hyperlink ref="B22" r:id="rId20" xr:uid="{4DB6018F-200E-49CD-97D7-BB8A02369301}"/>
    <hyperlink ref="B23" r:id="rId21" xr:uid="{5995BFF7-FB78-4EE6-8D9F-C0E095668675}"/>
    <hyperlink ref="B24" r:id="rId22" xr:uid="{0EF98B8B-525A-478B-80E3-414743082DB0}"/>
    <hyperlink ref="B25" r:id="rId23" xr:uid="{34C35A51-2E1B-4A06-93D2-D196AA939A37}"/>
    <hyperlink ref="B26" r:id="rId24" xr:uid="{7A88F129-EAAF-4976-B808-6C02E9388F87}"/>
    <hyperlink ref="B27" r:id="rId25" xr:uid="{7D36916B-C8BA-4200-9661-92B313957289}"/>
    <hyperlink ref="B28" r:id="rId26" xr:uid="{48BDB9AA-0497-446C-8EF9-E9DA419936A1}"/>
    <hyperlink ref="B29" r:id="rId27" xr:uid="{87A9C184-3A3B-4AB8-84E5-DAB8BA051213}"/>
    <hyperlink ref="B30" r:id="rId28" xr:uid="{02DBDB64-3B34-47B7-B4AE-6B0B95C55731}"/>
    <hyperlink ref="B31" r:id="rId29" xr:uid="{A3C6C4E3-4742-4C54-80DE-2466A2C4482D}"/>
    <hyperlink ref="B32" r:id="rId30" xr:uid="{E4992B9B-6ABB-4BD8-9430-786879F83B77}"/>
    <hyperlink ref="B33" r:id="rId31" xr:uid="{95199648-E551-40FF-87CE-1CD541C7C5B5}"/>
    <hyperlink ref="B34" r:id="rId32" xr:uid="{2000C7C8-9050-4153-8053-65E6ABAA063D}"/>
    <hyperlink ref="B35" r:id="rId33" xr:uid="{592EFDA8-FBDB-4191-AACA-8F8D253B0038}"/>
    <hyperlink ref="B36" r:id="rId34" xr:uid="{79A9E11A-4F1C-4C28-B873-AEE07A96021C}"/>
    <hyperlink ref="B37" r:id="rId35" xr:uid="{7115D527-ACE1-4AA2-8264-64E3CFE10928}"/>
    <hyperlink ref="D2" r:id="rId36" xr:uid="{C760332F-8D31-4A40-A494-12CF3D8E2D85}"/>
    <hyperlink ref="B19" r:id="rId37" xr:uid="{48DB8898-3A7D-4C4F-8434-7C40F2002E6F}"/>
  </hyperlinks>
  <pageMargins left="0.7" right="0.7" top="0.75" bottom="0.75" header="0.3" footer="0.3"/>
  <pageSetup paperSize="9" orientation="portrait" verticalDpi="1200" r:id="rId3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7FE4-8873-4E02-BE38-F9760851B6BE}">
  <sheetPr>
    <tabColor rgb="FF92D050"/>
  </sheetPr>
  <dimension ref="B2:AH71"/>
  <sheetViews>
    <sheetView tabSelected="1" zoomScale="55" zoomScaleNormal="55" workbookViewId="0">
      <selection activeCell="P54" sqref="P54"/>
    </sheetView>
  </sheetViews>
  <sheetFormatPr baseColWidth="10" defaultColWidth="8.83203125" defaultRowHeight="15"/>
  <cols>
    <col min="2" max="2" width="12.83203125" customWidth="1"/>
    <col min="3" max="3" width="15.1640625" bestFit="1" customWidth="1"/>
    <col min="4" max="4" width="15.83203125" customWidth="1"/>
    <col min="5" max="5" width="12.83203125" customWidth="1"/>
    <col min="6" max="7" width="12.83203125" hidden="1" customWidth="1"/>
    <col min="8" max="12" width="12.83203125" customWidth="1"/>
    <col min="13" max="13" width="15.83203125" bestFit="1" customWidth="1"/>
    <col min="14" max="14" width="12.83203125" customWidth="1"/>
    <col min="15" max="15" width="15.83203125" customWidth="1"/>
    <col min="16" max="16" width="12.83203125" customWidth="1"/>
    <col min="17" max="18" width="12.83203125" hidden="1" customWidth="1"/>
    <col min="19" max="20" width="12.83203125" customWidth="1"/>
    <col min="21" max="21" width="15.1640625" bestFit="1" customWidth="1"/>
    <col min="22" max="23" width="12.83203125" customWidth="1"/>
    <col min="24" max="25" width="12.83203125" hidden="1" customWidth="1"/>
    <col min="26" max="27" width="12.83203125" customWidth="1"/>
  </cols>
  <sheetData>
    <row r="2" spans="2:34">
      <c r="B2" s="159" t="s">
        <v>327</v>
      </c>
      <c r="C2" s="45" t="s">
        <v>240</v>
      </c>
      <c r="D2" s="45" t="s">
        <v>240</v>
      </c>
      <c r="E2" s="45" t="s">
        <v>240</v>
      </c>
      <c r="F2" s="45" t="s">
        <v>240</v>
      </c>
      <c r="G2" s="45" t="s">
        <v>240</v>
      </c>
      <c r="H2" s="45" t="s">
        <v>186</v>
      </c>
      <c r="I2" s="45" t="s">
        <v>234</v>
      </c>
      <c r="J2" s="45" t="s">
        <v>234</v>
      </c>
      <c r="K2" s="45" t="s">
        <v>234</v>
      </c>
      <c r="L2" s="45" t="s">
        <v>178</v>
      </c>
      <c r="M2" s="45" t="s">
        <v>178</v>
      </c>
      <c r="N2" s="45" t="s">
        <v>178</v>
      </c>
      <c r="O2" s="45" t="s">
        <v>178</v>
      </c>
      <c r="P2" s="45" t="s">
        <v>178</v>
      </c>
      <c r="T2" s="159" t="s">
        <v>328</v>
      </c>
      <c r="U2" s="45" t="s">
        <v>240</v>
      </c>
      <c r="V2" s="45" t="s">
        <v>240</v>
      </c>
      <c r="W2" s="45" t="s">
        <v>240</v>
      </c>
      <c r="X2" s="45" t="s">
        <v>240</v>
      </c>
      <c r="Y2" s="45" t="s">
        <v>240</v>
      </c>
      <c r="Z2" s="45" t="s">
        <v>186</v>
      </c>
      <c r="AA2" s="45" t="s">
        <v>234</v>
      </c>
      <c r="AB2" s="45" t="s">
        <v>234</v>
      </c>
      <c r="AC2" s="45" t="s">
        <v>234</v>
      </c>
      <c r="AD2" s="45" t="s">
        <v>178</v>
      </c>
      <c r="AE2" s="45" t="s">
        <v>178</v>
      </c>
      <c r="AF2" s="45" t="s">
        <v>178</v>
      </c>
      <c r="AG2" s="45" t="s">
        <v>178</v>
      </c>
      <c r="AH2" s="45" t="s">
        <v>178</v>
      </c>
    </row>
    <row r="3" spans="2:34">
      <c r="B3" s="160"/>
      <c r="C3" s="45" t="s">
        <v>241</v>
      </c>
      <c r="D3" s="45" t="s">
        <v>242</v>
      </c>
      <c r="E3" s="45" t="s">
        <v>165</v>
      </c>
      <c r="F3" s="45" t="s">
        <v>210</v>
      </c>
      <c r="G3" s="45" t="s">
        <v>217</v>
      </c>
      <c r="H3" s="45" t="s">
        <v>165</v>
      </c>
      <c r="I3" s="45" t="s">
        <v>241</v>
      </c>
      <c r="J3" s="45" t="s">
        <v>217</v>
      </c>
      <c r="K3" s="45" t="s">
        <v>210</v>
      </c>
      <c r="L3" s="45" t="s">
        <v>241</v>
      </c>
      <c r="M3" s="45" t="s">
        <v>242</v>
      </c>
      <c r="N3" s="45" t="s">
        <v>165</v>
      </c>
      <c r="O3" s="45" t="s">
        <v>210</v>
      </c>
      <c r="P3" s="45" t="s">
        <v>217</v>
      </c>
      <c r="T3" s="160"/>
      <c r="U3" s="45" t="s">
        <v>241</v>
      </c>
      <c r="V3" s="45" t="s">
        <v>242</v>
      </c>
      <c r="W3" s="45" t="s">
        <v>165</v>
      </c>
      <c r="X3" s="45" t="s">
        <v>210</v>
      </c>
      <c r="Y3" s="45" t="s">
        <v>217</v>
      </c>
      <c r="Z3" s="45" t="s">
        <v>165</v>
      </c>
      <c r="AA3" s="45" t="s">
        <v>241</v>
      </c>
      <c r="AB3" s="45" t="s">
        <v>217</v>
      </c>
      <c r="AC3" s="45" t="s">
        <v>210</v>
      </c>
      <c r="AD3" s="45" t="s">
        <v>241</v>
      </c>
      <c r="AE3" s="45" t="s">
        <v>242</v>
      </c>
      <c r="AF3" s="45" t="s">
        <v>165</v>
      </c>
      <c r="AG3" s="45" t="s">
        <v>210</v>
      </c>
      <c r="AH3" s="45" t="s">
        <v>217</v>
      </c>
    </row>
    <row r="4" spans="2:34">
      <c r="B4" s="46" t="s">
        <v>243</v>
      </c>
      <c r="C4" s="47">
        <v>75.606756104044507</v>
      </c>
      <c r="D4" s="47">
        <v>66.118206729410403</v>
      </c>
      <c r="E4" s="47">
        <v>78.602240081741996</v>
      </c>
      <c r="F4" s="47">
        <v>56.245275437363901</v>
      </c>
      <c r="G4" s="47">
        <v>72.600558736328907</v>
      </c>
      <c r="H4" s="47">
        <v>21.822625139327901</v>
      </c>
      <c r="I4" s="47">
        <v>35.913247563354801</v>
      </c>
      <c r="J4" s="47">
        <v>38.896819794806902</v>
      </c>
      <c r="K4" s="47">
        <v>31.369124748896901</v>
      </c>
      <c r="L4" s="47">
        <v>67.106469959838606</v>
      </c>
      <c r="M4" s="47">
        <v>46.707580086975902</v>
      </c>
      <c r="N4" s="47">
        <v>73.546289721995905</v>
      </c>
      <c r="O4" s="47">
        <v>37.085458810958997</v>
      </c>
      <c r="P4" s="47">
        <v>53.025255691044002</v>
      </c>
      <c r="T4" s="46" t="s">
        <v>243</v>
      </c>
      <c r="U4" s="47">
        <v>78.164949333075697</v>
      </c>
      <c r="V4" s="47">
        <v>67.772387632176901</v>
      </c>
      <c r="W4" s="47">
        <v>81.445825137494893</v>
      </c>
      <c r="X4" s="47">
        <v>57.581723459246902</v>
      </c>
      <c r="Y4" s="47">
        <v>74.463356139821997</v>
      </c>
      <c r="Z4" s="47">
        <v>25.277055132068998</v>
      </c>
      <c r="AA4" s="47">
        <v>38.024710948228197</v>
      </c>
      <c r="AB4" s="47">
        <v>41.202569666504999</v>
      </c>
      <c r="AC4" s="47">
        <v>33.184680547550997</v>
      </c>
      <c r="AD4" s="47">
        <v>69.397554649865299</v>
      </c>
      <c r="AE4" s="47">
        <v>48.089468049062503</v>
      </c>
      <c r="AF4" s="47">
        <v>76.124402926454906</v>
      </c>
      <c r="AG4" s="47">
        <v>38.276586462776997</v>
      </c>
      <c r="AH4" s="47">
        <v>54.532392724913898</v>
      </c>
    </row>
    <row r="5" spans="2:34">
      <c r="B5" s="46" t="s">
        <v>244</v>
      </c>
      <c r="C5" s="47">
        <v>72.212843899080298</v>
      </c>
      <c r="D5" s="47">
        <v>63.0899956785209</v>
      </c>
      <c r="E5" s="47">
        <v>75.092877990350999</v>
      </c>
      <c r="F5" s="47">
        <v>52.744203099041997</v>
      </c>
      <c r="G5" s="47">
        <v>69.882818124756</v>
      </c>
      <c r="H5" s="47">
        <v>18.342127368863999</v>
      </c>
      <c r="I5" s="47">
        <v>33.695397848632602</v>
      </c>
      <c r="J5" s="47">
        <v>36.918265477976902</v>
      </c>
      <c r="K5" s="47">
        <v>28.786816729631902</v>
      </c>
      <c r="L5" s="47">
        <v>63.829511523206698</v>
      </c>
      <c r="M5" s="47">
        <v>44.003224004862197</v>
      </c>
      <c r="N5" s="47">
        <v>70.088563803336001</v>
      </c>
      <c r="O5" s="47">
        <v>34.281924248948997</v>
      </c>
      <c r="P5" s="47">
        <v>50.386018042269001</v>
      </c>
      <c r="T5" s="46" t="s">
        <v>244</v>
      </c>
      <c r="U5" s="47">
        <v>75.200110622556394</v>
      </c>
      <c r="V5" s="47">
        <v>65.012545980358297</v>
      </c>
      <c r="W5" s="47">
        <v>78.416269958675997</v>
      </c>
      <c r="X5" s="47">
        <v>54.497336058320997</v>
      </c>
      <c r="Y5" s="47">
        <v>71.916604169864996</v>
      </c>
      <c r="Z5" s="47">
        <v>21.753111065399999</v>
      </c>
      <c r="AA5" s="47">
        <v>35.819439313169703</v>
      </c>
      <c r="AB5" s="47">
        <v>39.207735473165997</v>
      </c>
      <c r="AC5" s="47">
        <v>30.658902651623901</v>
      </c>
      <c r="AD5" s="47">
        <v>66.461548746436804</v>
      </c>
      <c r="AE5" s="47">
        <v>45.540905302705198</v>
      </c>
      <c r="AF5" s="47">
        <v>73.066083303252</v>
      </c>
      <c r="AG5" s="47">
        <v>35.700470789177999</v>
      </c>
      <c r="AH5" s="47">
        <v>52.0019206314659</v>
      </c>
    </row>
    <row r="6" spans="2:34">
      <c r="B6" s="46" t="s">
        <v>245</v>
      </c>
      <c r="C6" s="47">
        <v>69.1987767284227</v>
      </c>
      <c r="D6" s="47">
        <v>60.375870607362003</v>
      </c>
      <c r="E6" s="47">
        <v>71.984120712932906</v>
      </c>
      <c r="F6" s="47">
        <v>49.855174216223901</v>
      </c>
      <c r="G6" s="47">
        <v>67.283531093180997</v>
      </c>
      <c r="H6" s="47">
        <v>16.191485768444998</v>
      </c>
      <c r="I6" s="47">
        <v>31.5096999339885</v>
      </c>
      <c r="J6" s="47">
        <v>34.912444864907997</v>
      </c>
      <c r="K6" s="47">
        <v>26.327157105171</v>
      </c>
      <c r="L6" s="47">
        <v>60.861082056877997</v>
      </c>
      <c r="M6" s="47">
        <v>41.474553896726903</v>
      </c>
      <c r="N6" s="47">
        <v>66.981304674062997</v>
      </c>
      <c r="O6" s="47">
        <v>31.745958945635898</v>
      </c>
      <c r="P6" s="47">
        <v>47.862137800658999</v>
      </c>
      <c r="T6" s="46" t="s">
        <v>245</v>
      </c>
      <c r="U6" s="47">
        <v>72.467969682033299</v>
      </c>
      <c r="V6" s="47">
        <v>62.4638427189564</v>
      </c>
      <c r="W6" s="47">
        <v>75.626218729971001</v>
      </c>
      <c r="X6" s="47">
        <v>51.782591743037997</v>
      </c>
      <c r="Y6" s="47">
        <v>69.476919854003995</v>
      </c>
      <c r="Z6" s="47">
        <v>19.358670823517901</v>
      </c>
      <c r="AA6" s="47">
        <v>33.619336721622901</v>
      </c>
      <c r="AB6" s="47">
        <v>37.180741032980997</v>
      </c>
      <c r="AC6" s="47">
        <v>28.195148088899899</v>
      </c>
      <c r="AD6" s="47">
        <v>63.721083821552497</v>
      </c>
      <c r="AE6" s="47">
        <v>43.119809047347303</v>
      </c>
      <c r="AF6" s="47">
        <v>70.224795407987997</v>
      </c>
      <c r="AG6" s="47">
        <v>33.287453510298</v>
      </c>
      <c r="AH6" s="47">
        <v>49.575519895823902</v>
      </c>
    </row>
    <row r="7" spans="2:34">
      <c r="B7" s="46" t="s">
        <v>246</v>
      </c>
      <c r="C7" s="47">
        <v>64.877505864152099</v>
      </c>
      <c r="D7" s="47">
        <v>56.549048088377099</v>
      </c>
      <c r="E7" s="47">
        <v>67.506755166785993</v>
      </c>
      <c r="F7" s="47">
        <v>44.934856201872002</v>
      </c>
      <c r="G7" s="47">
        <v>64.17467393922</v>
      </c>
      <c r="H7" s="47">
        <v>12.002763431568001</v>
      </c>
      <c r="I7" s="47">
        <v>28.8770610996492</v>
      </c>
      <c r="J7" s="47">
        <v>32.625072277121902</v>
      </c>
      <c r="K7" s="47">
        <v>23.168661309339001</v>
      </c>
      <c r="L7" s="47">
        <v>56.855016237721301</v>
      </c>
      <c r="M7" s="47">
        <v>38.4982188638728</v>
      </c>
      <c r="N7" s="47">
        <v>62.650158386867901</v>
      </c>
      <c r="O7" s="47">
        <v>28.603643149769901</v>
      </c>
      <c r="P7" s="47">
        <v>44.994782127672003</v>
      </c>
      <c r="T7" s="46" t="s">
        <v>246</v>
      </c>
      <c r="U7" s="47">
        <v>68.7340732417304</v>
      </c>
      <c r="V7" s="47">
        <v>58.991230885233897</v>
      </c>
      <c r="W7" s="47">
        <v>71.809836145397995</v>
      </c>
      <c r="X7" s="47">
        <v>47.422980641087896</v>
      </c>
      <c r="Y7" s="47">
        <v>66.586692452669993</v>
      </c>
      <c r="Z7" s="47">
        <v>15.135091573134</v>
      </c>
      <c r="AA7" s="47">
        <v>30.961130533282301</v>
      </c>
      <c r="AB7" s="47">
        <v>34.883081161265999</v>
      </c>
      <c r="AC7" s="47">
        <v>24.987812663541</v>
      </c>
      <c r="AD7" s="47">
        <v>60.169390966775403</v>
      </c>
      <c r="AE7" s="47">
        <v>40.333154167387697</v>
      </c>
      <c r="AF7" s="47">
        <v>66.431584181390903</v>
      </c>
      <c r="AG7" s="47">
        <v>30.332406232556998</v>
      </c>
      <c r="AH7" s="47">
        <v>46.899427802681998</v>
      </c>
    </row>
    <row r="8" spans="2:34">
      <c r="B8" s="46" t="s">
        <v>247</v>
      </c>
      <c r="C8" s="47">
        <v>59.894829100904097</v>
      </c>
      <c r="D8" s="47">
        <v>52.120539520780802</v>
      </c>
      <c r="E8" s="47">
        <v>62.349130486265899</v>
      </c>
      <c r="F8" s="47">
        <v>39.424367694932997</v>
      </c>
      <c r="G8" s="47">
        <v>60.456569872959001</v>
      </c>
      <c r="H8" s="47">
        <v>8.2721747974319992</v>
      </c>
      <c r="I8" s="47">
        <v>25.708735933107</v>
      </c>
      <c r="J8" s="47">
        <v>29.987432653034901</v>
      </c>
      <c r="K8" s="47">
        <v>19.192076749793902</v>
      </c>
      <c r="L8" s="47">
        <v>52.140055793595103</v>
      </c>
      <c r="M8" s="47">
        <v>34.688114865803399</v>
      </c>
      <c r="N8" s="47">
        <v>57.649539631944002</v>
      </c>
      <c r="O8" s="47">
        <v>24.201784270131</v>
      </c>
      <c r="P8" s="47">
        <v>41.573211517577903</v>
      </c>
      <c r="T8" s="46" t="s">
        <v>247</v>
      </c>
      <c r="U8" s="47">
        <v>64.338881298129195</v>
      </c>
      <c r="V8" s="47">
        <v>54.926567841654901</v>
      </c>
      <c r="W8" s="47">
        <v>67.310298006704997</v>
      </c>
      <c r="X8" s="47">
        <v>42.376119046755001</v>
      </c>
      <c r="Y8" s="47">
        <v>63.166919620349901</v>
      </c>
      <c r="Z8" s="47">
        <v>11.175885532071</v>
      </c>
      <c r="AA8" s="47">
        <v>27.8170002207859</v>
      </c>
      <c r="AB8" s="47">
        <v>32.237651166824897</v>
      </c>
      <c r="AC8" s="47">
        <v>21.084137980386</v>
      </c>
      <c r="AD8" s="47">
        <v>55.953593643253598</v>
      </c>
      <c r="AE8" s="47">
        <v>36.785821490731998</v>
      </c>
      <c r="AF8" s="47">
        <v>62.004756166001997</v>
      </c>
      <c r="AG8" s="47">
        <v>26.325958586654998</v>
      </c>
      <c r="AH8" s="47">
        <v>43.653540031724901</v>
      </c>
    </row>
    <row r="9" spans="2:34">
      <c r="B9" s="46" t="s">
        <v>248</v>
      </c>
      <c r="C9" s="47">
        <v>44.716684451662402</v>
      </c>
      <c r="D9" s="47">
        <v>37.934197257750697</v>
      </c>
      <c r="E9" s="47">
        <v>46.857879160793999</v>
      </c>
      <c r="F9" s="47">
        <v>22.449150693566999</v>
      </c>
      <c r="G9" s="47">
        <v>48.101342121144</v>
      </c>
      <c r="H9" s="47">
        <v>2.2541136989669899</v>
      </c>
      <c r="I9" s="47">
        <v>14.6664333800202</v>
      </c>
      <c r="J9" s="47">
        <v>20.265549833957898</v>
      </c>
      <c r="K9" s="47">
        <v>6.1387119624089896</v>
      </c>
      <c r="L9" s="47">
        <v>37.755972400138504</v>
      </c>
      <c r="M9" s="47">
        <v>23.299228821813401</v>
      </c>
      <c r="N9" s="47">
        <v>42.319888553045999</v>
      </c>
      <c r="O9" s="47">
        <v>11.721211456851</v>
      </c>
      <c r="P9" s="47">
        <v>30.901103268398899</v>
      </c>
      <c r="T9" s="46" t="s">
        <v>248</v>
      </c>
      <c r="U9" s="47">
        <v>50.3958758638584</v>
      </c>
      <c r="V9" s="47">
        <v>41.545942012552999</v>
      </c>
      <c r="W9" s="47">
        <v>53.189752357364902</v>
      </c>
      <c r="X9" s="47">
        <v>25.669969452231001</v>
      </c>
      <c r="Y9" s="47">
        <v>51.969760384620002</v>
      </c>
      <c r="Z9" s="47">
        <v>3.7472680168169901</v>
      </c>
      <c r="AA9" s="47">
        <v>16.458993108489199</v>
      </c>
      <c r="AB9" s="47">
        <v>22.382632915928902</v>
      </c>
      <c r="AC9" s="47">
        <v>7.4370071448659996</v>
      </c>
      <c r="AD9" s="47">
        <v>42.632043450809299</v>
      </c>
      <c r="AE9" s="47">
        <v>25.971139621416999</v>
      </c>
      <c r="AF9" s="47">
        <v>47.891801133929903</v>
      </c>
      <c r="AG9" s="47">
        <v>13.928882563323</v>
      </c>
      <c r="AH9" s="47">
        <v>33.877823755971001</v>
      </c>
    </row>
    <row r="10" spans="2:34">
      <c r="B10" s="46" t="s">
        <v>249</v>
      </c>
      <c r="C10" s="47">
        <v>35.672137439272802</v>
      </c>
      <c r="D10" s="47">
        <v>29.556474550166001</v>
      </c>
      <c r="E10" s="47">
        <v>37.602819303699</v>
      </c>
      <c r="F10" s="47">
        <v>14.028259723608</v>
      </c>
      <c r="G10" s="47">
        <v>39.751962755972997</v>
      </c>
      <c r="H10" s="47">
        <v>0.90088641785999901</v>
      </c>
      <c r="I10" s="47">
        <v>9.2555296074591897</v>
      </c>
      <c r="J10" s="47">
        <v>14.179472809709999</v>
      </c>
      <c r="K10" s="47">
        <v>1.756129255569</v>
      </c>
      <c r="L10" s="47">
        <v>29.351853332073301</v>
      </c>
      <c r="M10" s="47">
        <v>16.943270677522101</v>
      </c>
      <c r="N10" s="47">
        <v>33.269176102929002</v>
      </c>
      <c r="O10" s="47">
        <v>5.9946899874029898</v>
      </c>
      <c r="P10" s="47">
        <v>24.131870690031</v>
      </c>
      <c r="T10" s="46" t="s">
        <v>249</v>
      </c>
      <c r="U10" s="47">
        <v>41.724364271557</v>
      </c>
      <c r="V10" s="47">
        <v>33.412797215612002</v>
      </c>
      <c r="W10" s="47">
        <v>44.348281264832998</v>
      </c>
      <c r="X10" s="47">
        <v>16.899610458314999</v>
      </c>
      <c r="Y10" s="47">
        <v>44.254996573671001</v>
      </c>
      <c r="Z10" s="47">
        <v>1.6752292557389901</v>
      </c>
      <c r="AA10" s="47">
        <v>10.637000188439099</v>
      </c>
      <c r="AB10" s="47">
        <v>16.020097620657001</v>
      </c>
      <c r="AC10" s="47">
        <v>2.43828604425899</v>
      </c>
      <c r="AD10" s="47">
        <v>34.512192651253002</v>
      </c>
      <c r="AE10" s="47">
        <v>19.800804243204499</v>
      </c>
      <c r="AF10" s="47">
        <v>39.156498806606997</v>
      </c>
      <c r="AG10" s="47">
        <v>7.5576580088099998</v>
      </c>
      <c r="AH10" s="47">
        <v>27.839387842733998</v>
      </c>
    </row>
    <row r="11" spans="2:34">
      <c r="B11" s="46" t="s">
        <v>250</v>
      </c>
      <c r="C11" s="47">
        <v>28.0029409905584</v>
      </c>
      <c r="D11" s="47">
        <v>22.671636129702101</v>
      </c>
      <c r="E11" s="47">
        <v>29.686005246261001</v>
      </c>
      <c r="F11" s="47">
        <v>8.029275044856</v>
      </c>
      <c r="G11" s="47">
        <v>32.285492030922001</v>
      </c>
      <c r="H11" s="47">
        <v>0.34687123383899998</v>
      </c>
      <c r="I11" s="47">
        <v>5.7534252425459602</v>
      </c>
      <c r="J11" s="47">
        <v>9.3953864000100005</v>
      </c>
      <c r="K11" s="47">
        <v>0.20654469092399999</v>
      </c>
      <c r="L11" s="47">
        <v>22.487957077341701</v>
      </c>
      <c r="M11" s="47">
        <v>12.0656110769257</v>
      </c>
      <c r="N11" s="47">
        <v>25.778235624842999</v>
      </c>
      <c r="O11" s="47">
        <v>2.5804103649479999</v>
      </c>
      <c r="P11" s="47">
        <v>18.293387615879901</v>
      </c>
      <c r="T11" s="46" t="s">
        <v>250</v>
      </c>
      <c r="U11" s="47">
        <v>34.0307107553528</v>
      </c>
      <c r="V11" s="47">
        <v>26.418438179142001</v>
      </c>
      <c r="W11" s="47">
        <v>36.4338642444269</v>
      </c>
      <c r="X11" s="47">
        <v>10.404339237396</v>
      </c>
      <c r="Y11" s="47">
        <v>36.932947329797997</v>
      </c>
      <c r="Z11" s="47">
        <v>0.72030962811599897</v>
      </c>
      <c r="AA11" s="47">
        <v>6.7665294184301299</v>
      </c>
      <c r="AB11" s="47">
        <v>10.902123927708001</v>
      </c>
      <c r="AC11" s="47">
        <v>0.46782172741199901</v>
      </c>
      <c r="AD11" s="47">
        <v>27.5600000421366</v>
      </c>
      <c r="AE11" s="47">
        <v>14.8889302948965</v>
      </c>
      <c r="AF11" s="47">
        <v>31.560188575655999</v>
      </c>
      <c r="AG11" s="47">
        <v>3.5575025851169899</v>
      </c>
      <c r="AH11" s="47">
        <v>22.328899335795001</v>
      </c>
    </row>
    <row r="12" spans="2:34">
      <c r="B12" s="46" t="s">
        <v>251</v>
      </c>
      <c r="C12" s="47">
        <v>21.626255154855698</v>
      </c>
      <c r="D12" s="47">
        <v>17.146721488141999</v>
      </c>
      <c r="E12" s="47">
        <v>23.040419828127</v>
      </c>
      <c r="F12" s="47">
        <v>3.9372332016029898</v>
      </c>
      <c r="G12" s="47">
        <v>25.819784266730998</v>
      </c>
      <c r="H12" s="47">
        <v>0.12973962935700001</v>
      </c>
      <c r="I12" s="47">
        <v>3.60557485303198</v>
      </c>
      <c r="J12" s="47">
        <v>5.9729169010289898</v>
      </c>
      <c r="K12" s="47">
        <v>0</v>
      </c>
      <c r="L12" s="47">
        <v>16.994987599690699</v>
      </c>
      <c r="M12" s="47">
        <v>8.5586295045375795</v>
      </c>
      <c r="N12" s="47">
        <v>19.658300452517999</v>
      </c>
      <c r="O12" s="47">
        <v>0.82517999826599997</v>
      </c>
      <c r="P12" s="47">
        <v>13.636244292333</v>
      </c>
      <c r="T12" s="46" t="s">
        <v>251</v>
      </c>
      <c r="U12" s="47">
        <v>27.299317283215601</v>
      </c>
      <c r="V12" s="47">
        <v>20.503236564697101</v>
      </c>
      <c r="W12" s="47">
        <v>29.444803394916001</v>
      </c>
      <c r="X12" s="47">
        <v>5.6958593707469998</v>
      </c>
      <c r="Y12" s="47">
        <v>30.225438455003999</v>
      </c>
      <c r="Z12" s="47">
        <v>0.30192678948899998</v>
      </c>
      <c r="AA12" s="47">
        <v>4.3000653757829301</v>
      </c>
      <c r="AB12" s="47">
        <v>7.1233947998459897</v>
      </c>
      <c r="AC12" s="47">
        <v>0</v>
      </c>
      <c r="AD12" s="47">
        <v>21.667539090549901</v>
      </c>
      <c r="AE12" s="47">
        <v>11.0460943269757</v>
      </c>
      <c r="AF12" s="47">
        <v>25.020672046188</v>
      </c>
      <c r="AG12" s="47">
        <v>1.382191478577</v>
      </c>
      <c r="AH12" s="47">
        <v>17.391202802961001</v>
      </c>
    </row>
    <row r="13" spans="2:34">
      <c r="B13" s="46" t="s">
        <v>252</v>
      </c>
      <c r="C13" s="47">
        <v>18.895340940705101</v>
      </c>
      <c r="D13" s="47">
        <v>14.8597074312523</v>
      </c>
      <c r="E13" s="47">
        <v>20.169368723049001</v>
      </c>
      <c r="F13" s="47">
        <v>2.5083993774449902</v>
      </c>
      <c r="G13" s="47">
        <v>22.969307729510898</v>
      </c>
      <c r="H13" s="47">
        <v>7.9401851684999997E-2</v>
      </c>
      <c r="I13" s="47">
        <v>2.85151695147401</v>
      </c>
      <c r="J13" s="47">
        <v>4.7237609777279896</v>
      </c>
      <c r="K13" s="47">
        <v>0</v>
      </c>
      <c r="L13" s="47">
        <v>14.6948115992725</v>
      </c>
      <c r="M13" s="47">
        <v>7.2084539971594097</v>
      </c>
      <c r="N13" s="47">
        <v>17.058214408599</v>
      </c>
      <c r="O13" s="47">
        <v>0.363450739976999</v>
      </c>
      <c r="P13" s="47">
        <v>11.702734296395899</v>
      </c>
      <c r="T13" s="46" t="s">
        <v>252</v>
      </c>
      <c r="U13" s="47">
        <v>24.3143185912046</v>
      </c>
      <c r="V13" s="47">
        <v>17.976379298879099</v>
      </c>
      <c r="W13" s="47">
        <v>26.315171920011</v>
      </c>
      <c r="X13" s="47">
        <v>3.9413281398659898</v>
      </c>
      <c r="Y13" s="47">
        <v>27.191488708293001</v>
      </c>
      <c r="Z13" s="47">
        <v>0.19435975267799999</v>
      </c>
      <c r="AA13" s="47">
        <v>3.44652753998249</v>
      </c>
      <c r="AB13" s="47">
        <v>5.7094425805949998</v>
      </c>
      <c r="AC13" s="47">
        <v>0</v>
      </c>
      <c r="AD13" s="47">
        <v>19.100546179441601</v>
      </c>
      <c r="AE13" s="47">
        <v>9.4504673050384405</v>
      </c>
      <c r="AF13" s="47">
        <v>22.147024150991999</v>
      </c>
      <c r="AG13" s="47">
        <v>0.75007283793000001</v>
      </c>
      <c r="AH13" s="47">
        <v>15.162957128631</v>
      </c>
    </row>
    <row r="14" spans="2:34">
      <c r="B14" s="46" t="s">
        <v>253</v>
      </c>
      <c r="C14" s="47">
        <v>16.453758200171901</v>
      </c>
      <c r="D14" s="47">
        <v>12.869899680091001</v>
      </c>
      <c r="E14" s="47">
        <v>17.585163049466999</v>
      </c>
      <c r="F14" s="47">
        <v>1.4438153056079901</v>
      </c>
      <c r="G14" s="47">
        <v>20.372018228795898</v>
      </c>
      <c r="H14" s="47">
        <v>4.9139259155999898E-2</v>
      </c>
      <c r="I14" s="47">
        <v>2.2501758216955601</v>
      </c>
      <c r="J14" s="47">
        <v>3.7275923378460001</v>
      </c>
      <c r="K14" s="47">
        <v>0</v>
      </c>
      <c r="L14" s="47">
        <v>12.663592483706701</v>
      </c>
      <c r="M14" s="47">
        <v>6.0803787830730203</v>
      </c>
      <c r="N14" s="47">
        <v>14.741877623342999</v>
      </c>
      <c r="O14" s="47">
        <v>0.101574444230999</v>
      </c>
      <c r="P14" s="47">
        <v>10.005931707368999</v>
      </c>
      <c r="T14" s="46" t="s">
        <v>253</v>
      </c>
      <c r="U14" s="47">
        <v>21.5890860187701</v>
      </c>
      <c r="V14" s="47">
        <v>15.7437321177015</v>
      </c>
      <c r="W14" s="47">
        <v>23.434432790262001</v>
      </c>
      <c r="X14" s="47">
        <v>2.5579381427729899</v>
      </c>
      <c r="Y14" s="47">
        <v>24.4012377265019</v>
      </c>
      <c r="Z14" s="47">
        <v>0.124945555293</v>
      </c>
      <c r="AA14" s="47">
        <v>2.7557750511242798</v>
      </c>
      <c r="AB14" s="47">
        <v>4.5651570274439903</v>
      </c>
      <c r="AC14" s="47">
        <v>0</v>
      </c>
      <c r="AD14" s="47">
        <v>16.782274242185601</v>
      </c>
      <c r="AE14" s="47">
        <v>8.0622065914837897</v>
      </c>
      <c r="AF14" s="47">
        <v>19.535152674998901</v>
      </c>
      <c r="AG14" s="47">
        <v>0.33478617213599998</v>
      </c>
      <c r="AH14" s="47">
        <v>13.135862811902999</v>
      </c>
    </row>
    <row r="15" spans="2:34">
      <c r="B15" s="46" t="s">
        <v>254</v>
      </c>
      <c r="C15" s="47">
        <v>12.3726438158367</v>
      </c>
      <c r="D15" s="47">
        <v>9.6912042772973308</v>
      </c>
      <c r="E15" s="47">
        <v>13.2191598487649</v>
      </c>
      <c r="F15" s="47">
        <v>0.24260012294700001</v>
      </c>
      <c r="G15" s="47">
        <v>15.8949523122779</v>
      </c>
      <c r="H15" s="47">
        <v>2.0574567857999999E-2</v>
      </c>
      <c r="I15" s="47">
        <v>1.3935631515639799</v>
      </c>
      <c r="J15" s="47">
        <v>2.3085464149019899</v>
      </c>
      <c r="K15" s="47">
        <v>0</v>
      </c>
      <c r="L15" s="47">
        <v>9.3249373604900594</v>
      </c>
      <c r="M15" s="47">
        <v>4.3748863445071198</v>
      </c>
      <c r="N15" s="47">
        <v>10.8876418289729</v>
      </c>
      <c r="O15" s="47">
        <v>0</v>
      </c>
      <c r="P15" s="47">
        <v>7.2473415897090003</v>
      </c>
      <c r="T15" s="46" t="s">
        <v>254</v>
      </c>
      <c r="U15" s="47">
        <v>16.891604882568501</v>
      </c>
      <c r="V15" s="47">
        <v>12.1045501325363</v>
      </c>
      <c r="W15" s="47">
        <v>18.402852307008001</v>
      </c>
      <c r="X15" s="47">
        <v>0.77673987491099905</v>
      </c>
      <c r="Y15" s="47">
        <v>19.542144033008999</v>
      </c>
      <c r="Z15" s="47">
        <v>5.2435185074999897E-2</v>
      </c>
      <c r="AA15" s="47">
        <v>1.7536202226525099</v>
      </c>
      <c r="AB15" s="47">
        <v>2.9050091296980001</v>
      </c>
      <c r="AC15" s="47">
        <v>0</v>
      </c>
      <c r="AD15" s="47">
        <v>12.856558737062601</v>
      </c>
      <c r="AE15" s="47">
        <v>5.8864387271696099</v>
      </c>
      <c r="AF15" s="47">
        <v>15.056988116508</v>
      </c>
      <c r="AG15" s="47">
        <v>0</v>
      </c>
      <c r="AH15" s="47">
        <v>9.7513463992619993</v>
      </c>
    </row>
    <row r="16" spans="2:34">
      <c r="B16" s="46" t="s">
        <v>255</v>
      </c>
      <c r="C16" s="47">
        <v>9.2267051952952901</v>
      </c>
      <c r="D16" s="47">
        <v>7.4044422328405499</v>
      </c>
      <c r="E16" s="47">
        <v>9.8019838065629994</v>
      </c>
      <c r="F16" s="47">
        <v>0</v>
      </c>
      <c r="G16" s="47">
        <v>12.266037998916</v>
      </c>
      <c r="H16" s="47">
        <v>1.098641973E-2</v>
      </c>
      <c r="I16" s="47">
        <v>0.84684554931503797</v>
      </c>
      <c r="J16" s="47">
        <v>1.4028659229780001</v>
      </c>
      <c r="K16" s="47">
        <v>0</v>
      </c>
      <c r="L16" s="47">
        <v>6.7827594478186297</v>
      </c>
      <c r="M16" s="47">
        <v>3.1398881790387199</v>
      </c>
      <c r="N16" s="47">
        <v>7.9327943043179996</v>
      </c>
      <c r="O16" s="47">
        <v>0</v>
      </c>
      <c r="P16" s="47">
        <v>5.2014704828970002</v>
      </c>
      <c r="T16" s="46" t="s">
        <v>255</v>
      </c>
      <c r="U16" s="47">
        <v>13.1045878436707</v>
      </c>
      <c r="V16" s="47">
        <v>9.3992105193061608</v>
      </c>
      <c r="W16" s="47">
        <v>14.2743555255599</v>
      </c>
      <c r="X16" s="47">
        <v>5.5331604822000002E-2</v>
      </c>
      <c r="Y16" s="47">
        <v>15.534198238961901</v>
      </c>
      <c r="Z16" s="47">
        <v>2.397037032E-2</v>
      </c>
      <c r="AA16" s="47">
        <v>1.09916283707549</v>
      </c>
      <c r="AB16" s="47">
        <v>1.82084925543299</v>
      </c>
      <c r="AC16" s="47">
        <v>0</v>
      </c>
      <c r="AD16" s="47">
        <v>9.7613763617861107</v>
      </c>
      <c r="AE16" s="47">
        <v>4.3550506485278699</v>
      </c>
      <c r="AF16" s="47">
        <v>11.468124296888901</v>
      </c>
      <c r="AG16" s="47">
        <v>0</v>
      </c>
      <c r="AH16" s="47">
        <v>7.2144822070619998</v>
      </c>
    </row>
    <row r="17" spans="2:34">
      <c r="B17" s="46" t="s">
        <v>256</v>
      </c>
      <c r="C17" s="47">
        <v>4.2268946634242299</v>
      </c>
      <c r="D17" s="47">
        <v>3.6650819409697499</v>
      </c>
      <c r="E17" s="47">
        <v>4.4042559166709996</v>
      </c>
      <c r="F17" s="47">
        <v>0</v>
      </c>
      <c r="G17" s="47">
        <v>6.0714950489699904</v>
      </c>
      <c r="H17" s="47">
        <v>6.7916049239999899E-3</v>
      </c>
      <c r="I17" s="47">
        <v>0.19745259675400401</v>
      </c>
      <c r="J17" s="47">
        <v>0.32709567832499897</v>
      </c>
      <c r="K17" s="47">
        <v>0</v>
      </c>
      <c r="L17" s="47">
        <v>2.91116866752412</v>
      </c>
      <c r="M17" s="47">
        <v>1.3156070576394301</v>
      </c>
      <c r="N17" s="47">
        <v>3.41487888171299</v>
      </c>
      <c r="O17" s="47">
        <v>0</v>
      </c>
      <c r="P17" s="47">
        <v>2.1794060448029899</v>
      </c>
      <c r="T17" s="46" t="s">
        <v>256</v>
      </c>
      <c r="U17" s="47">
        <v>6.6756233482773002</v>
      </c>
      <c r="V17" s="47">
        <v>5.0357948530925896</v>
      </c>
      <c r="W17" s="47">
        <v>7.1933083799459903</v>
      </c>
      <c r="X17" s="47">
        <v>0</v>
      </c>
      <c r="Y17" s="47">
        <v>8.3421882540749994</v>
      </c>
      <c r="Z17" s="47">
        <v>8.2897530689999901E-3</v>
      </c>
      <c r="AA17" s="47">
        <v>0.28686395583375701</v>
      </c>
      <c r="AB17" s="47">
        <v>0.47521259159399898</v>
      </c>
      <c r="AC17" s="47">
        <v>0</v>
      </c>
      <c r="AD17" s="47">
        <v>4.6876813867246696</v>
      </c>
      <c r="AE17" s="47">
        <v>2.04337814020968</v>
      </c>
      <c r="AF17" s="47">
        <v>5.5224736920989903</v>
      </c>
      <c r="AG17" s="47">
        <v>0</v>
      </c>
      <c r="AH17" s="47">
        <v>3.3850157953559901</v>
      </c>
    </row>
    <row r="18" spans="2:34">
      <c r="B18" s="46" t="s">
        <v>257</v>
      </c>
      <c r="C18" s="47">
        <v>1.8311487469429499</v>
      </c>
      <c r="D18" s="47">
        <v>1.6847077591136299</v>
      </c>
      <c r="E18" s="47">
        <v>1.877379378771</v>
      </c>
      <c r="F18" s="47">
        <v>0</v>
      </c>
      <c r="G18" s="47">
        <v>2.7908502410489899</v>
      </c>
      <c r="H18" s="47">
        <v>6.5918518380000003E-3</v>
      </c>
      <c r="I18" s="47">
        <v>2.4719256387524199E-2</v>
      </c>
      <c r="J18" s="47">
        <v>4.0949382629999899E-2</v>
      </c>
      <c r="K18" s="47">
        <v>0</v>
      </c>
      <c r="L18" s="47">
        <v>1.1869279953307601</v>
      </c>
      <c r="M18" s="47">
        <v>0.50861377289062104</v>
      </c>
      <c r="N18" s="47">
        <v>1.4010681452039999</v>
      </c>
      <c r="O18" s="47">
        <v>0</v>
      </c>
      <c r="P18" s="47">
        <v>0.84255851674799997</v>
      </c>
      <c r="T18" s="46" t="s">
        <v>257</v>
      </c>
      <c r="U18" s="47">
        <v>3.2019078295443202</v>
      </c>
      <c r="V18" s="47">
        <v>2.5152747737344399</v>
      </c>
      <c r="W18" s="47">
        <v>3.4186741903470002</v>
      </c>
      <c r="X18" s="47">
        <v>0</v>
      </c>
      <c r="Y18" s="47">
        <v>4.1667494974169896</v>
      </c>
      <c r="Z18" s="47">
        <v>7.1911110959999996E-3</v>
      </c>
      <c r="AA18" s="47">
        <v>4.76900775671504E-2</v>
      </c>
      <c r="AB18" s="47">
        <v>7.9002345513000005E-2</v>
      </c>
      <c r="AC18" s="47">
        <v>0</v>
      </c>
      <c r="AD18" s="47">
        <v>2.1264028871524498</v>
      </c>
      <c r="AE18" s="47">
        <v>0.90183082205997001</v>
      </c>
      <c r="AF18" s="47">
        <v>2.5129936984229899</v>
      </c>
      <c r="AG18" s="47">
        <v>0</v>
      </c>
      <c r="AH18" s="47">
        <v>1.493953330194</v>
      </c>
    </row>
    <row r="19" spans="2:34">
      <c r="B19" s="46" t="s">
        <v>258</v>
      </c>
      <c r="C19" s="47">
        <v>0.35275685102069299</v>
      </c>
      <c r="D19" s="47">
        <v>0.29705311273495599</v>
      </c>
      <c r="E19" s="47">
        <v>0.37034222144399997</v>
      </c>
      <c r="F19" s="47">
        <v>0</v>
      </c>
      <c r="G19" s="47">
        <v>0.49209172736099899</v>
      </c>
      <c r="H19" s="47">
        <v>6.5918518380000003E-3</v>
      </c>
      <c r="I19" s="47">
        <v>0</v>
      </c>
      <c r="J19" s="47">
        <v>0</v>
      </c>
      <c r="K19" s="47">
        <v>0</v>
      </c>
      <c r="L19" s="47">
        <v>0.222316768745316</v>
      </c>
      <c r="M19" s="47">
        <v>6.5053847907655296E-2</v>
      </c>
      <c r="N19" s="47">
        <v>0.27196382658899998</v>
      </c>
      <c r="O19" s="47">
        <v>0</v>
      </c>
      <c r="P19" s="47">
        <v>0.107766789897</v>
      </c>
      <c r="T19" s="46" t="s">
        <v>258</v>
      </c>
      <c r="U19" s="47">
        <v>0.68291704253928498</v>
      </c>
      <c r="V19" s="47">
        <v>0.53061994016244096</v>
      </c>
      <c r="W19" s="47">
        <v>0.73099641821700001</v>
      </c>
      <c r="X19" s="47">
        <v>0</v>
      </c>
      <c r="Y19" s="47">
        <v>0.87901345494299998</v>
      </c>
      <c r="Z19" s="47">
        <v>7.091234553E-3</v>
      </c>
      <c r="AA19" s="47">
        <v>0</v>
      </c>
      <c r="AB19" s="47">
        <v>0</v>
      </c>
      <c r="AC19" s="47">
        <v>0</v>
      </c>
      <c r="AD19" s="47">
        <v>0.42167750886392502</v>
      </c>
      <c r="AE19" s="47">
        <v>0.145481867470965</v>
      </c>
      <c r="AF19" s="47">
        <v>0.50887098658499996</v>
      </c>
      <c r="AG19" s="47">
        <v>0</v>
      </c>
      <c r="AH19" s="47">
        <v>0.24100209825899899</v>
      </c>
    </row>
    <row r="20" spans="2:34">
      <c r="B20" s="48" t="s">
        <v>187</v>
      </c>
      <c r="C20" s="49">
        <v>19159771</v>
      </c>
      <c r="D20" s="49">
        <v>2785486</v>
      </c>
      <c r="E20" s="49">
        <v>16374285</v>
      </c>
      <c r="F20" s="49">
        <v>618052</v>
      </c>
      <c r="G20" s="49">
        <v>2167434</v>
      </c>
      <c r="H20" s="49">
        <v>1900178</v>
      </c>
      <c r="I20" s="49">
        <v>1054791</v>
      </c>
      <c r="J20" s="49">
        <v>794127</v>
      </c>
      <c r="K20" s="49">
        <v>260664</v>
      </c>
      <c r="L20" s="49">
        <v>16204802</v>
      </c>
      <c r="M20" s="49">
        <v>1730695</v>
      </c>
      <c r="N20" s="49">
        <v>14474107</v>
      </c>
      <c r="O20" s="49">
        <v>357388</v>
      </c>
      <c r="P20" s="49">
        <v>1373307</v>
      </c>
      <c r="T20" s="48" t="s">
        <v>187</v>
      </c>
      <c r="U20" s="49">
        <v>21889565</v>
      </c>
      <c r="V20" s="49">
        <v>3055914</v>
      </c>
      <c r="W20" s="49">
        <v>18833651</v>
      </c>
      <c r="X20" s="49">
        <v>679880</v>
      </c>
      <c r="Y20" s="49">
        <v>2376034</v>
      </c>
      <c r="Z20" s="49">
        <v>2409971</v>
      </c>
      <c r="AA20" s="49">
        <v>1160288</v>
      </c>
      <c r="AB20" s="49">
        <v>873548</v>
      </c>
      <c r="AC20" s="49">
        <v>286740</v>
      </c>
      <c r="AD20" s="49">
        <v>18319306</v>
      </c>
      <c r="AE20" s="49">
        <v>1895626</v>
      </c>
      <c r="AF20" s="49">
        <v>16423680</v>
      </c>
      <c r="AG20" s="49">
        <v>393140</v>
      </c>
      <c r="AH20" s="49">
        <v>1502486</v>
      </c>
    </row>
    <row r="21" spans="2:34">
      <c r="B21" s="46" t="s">
        <v>163</v>
      </c>
      <c r="C21" s="47">
        <v>1157.7026819626999</v>
      </c>
      <c r="D21" s="47">
        <v>701.44823157603105</v>
      </c>
      <c r="E21" s="47">
        <v>1301.7397567488699</v>
      </c>
      <c r="F21" s="47">
        <v>392.68573171273999</v>
      </c>
      <c r="G21" s="47">
        <v>904.17497517875404</v>
      </c>
      <c r="H21" s="47">
        <v>151.06230577393401</v>
      </c>
      <c r="I21" s="47">
        <v>265.62017602397299</v>
      </c>
      <c r="J21" s="47">
        <v>331.281026556646</v>
      </c>
      <c r="K21" s="47">
        <v>165.61556886988399</v>
      </c>
      <c r="L21" s="47">
        <v>979.15276419924805</v>
      </c>
      <c r="M21" s="47">
        <v>435.828055552058</v>
      </c>
      <c r="N21" s="47">
        <v>1150.67745097493</v>
      </c>
      <c r="O21" s="47">
        <v>227.07016284285601</v>
      </c>
      <c r="P21" s="47">
        <v>572.89394862210804</v>
      </c>
      <c r="T21" s="46" t="s">
        <v>163</v>
      </c>
      <c r="U21" s="47">
        <v>1322.64671156544</v>
      </c>
      <c r="V21" s="47">
        <v>769.54810440563494</v>
      </c>
      <c r="W21" s="47">
        <v>1497.25696550616</v>
      </c>
      <c r="X21" s="47">
        <v>431.96879109987202</v>
      </c>
      <c r="Y21" s="47">
        <v>991.19534111482801</v>
      </c>
      <c r="Z21" s="47">
        <v>191.590354223823</v>
      </c>
      <c r="AA21" s="47">
        <v>292.186701250299</v>
      </c>
      <c r="AB21" s="47">
        <v>364.41259167174201</v>
      </c>
      <c r="AC21" s="47">
        <v>182.183225216181</v>
      </c>
      <c r="AD21" s="47">
        <v>1106.91874594406</v>
      </c>
      <c r="AE21" s="47">
        <v>477.36140315533601</v>
      </c>
      <c r="AF21" s="47">
        <v>1305.66661128234</v>
      </c>
      <c r="AG21" s="47">
        <v>249.78556588369</v>
      </c>
      <c r="AH21" s="47">
        <v>626.782749443086</v>
      </c>
    </row>
    <row r="22" spans="2:34">
      <c r="B22" s="48" t="s">
        <v>239</v>
      </c>
      <c r="C22" s="49">
        <v>1654982</v>
      </c>
      <c r="D22" s="49">
        <v>397105</v>
      </c>
      <c r="E22" s="49">
        <v>1257877</v>
      </c>
      <c r="F22" s="49">
        <v>157391</v>
      </c>
      <c r="G22" s="49">
        <v>239714</v>
      </c>
      <c r="H22" s="49">
        <v>1257877</v>
      </c>
      <c r="I22" s="49">
        <v>397105</v>
      </c>
      <c r="J22" s="49">
        <v>239714</v>
      </c>
      <c r="K22" s="49">
        <v>157391</v>
      </c>
      <c r="L22" s="49">
        <v>1654982</v>
      </c>
      <c r="M22" s="49">
        <v>397105</v>
      </c>
      <c r="N22" s="49">
        <v>1257877</v>
      </c>
      <c r="O22" s="49">
        <v>157391</v>
      </c>
      <c r="P22" s="49">
        <v>239714</v>
      </c>
      <c r="T22" s="48" t="s">
        <v>239</v>
      </c>
      <c r="U22" s="49">
        <v>1654982</v>
      </c>
      <c r="V22" s="49">
        <v>397105</v>
      </c>
      <c r="W22" s="49">
        <v>1257877</v>
      </c>
      <c r="X22" s="49">
        <v>157391</v>
      </c>
      <c r="Y22" s="49">
        <v>239714</v>
      </c>
      <c r="Z22" s="49">
        <v>1257877</v>
      </c>
      <c r="AA22" s="49">
        <v>397105</v>
      </c>
      <c r="AB22" s="49">
        <v>239714</v>
      </c>
      <c r="AC22" s="49">
        <v>157391</v>
      </c>
      <c r="AD22" s="49">
        <v>1654982</v>
      </c>
      <c r="AE22" s="49">
        <v>397105</v>
      </c>
      <c r="AF22" s="49">
        <v>1257877</v>
      </c>
      <c r="AG22" s="49">
        <v>157391</v>
      </c>
      <c r="AH22" s="49">
        <v>239714</v>
      </c>
    </row>
    <row r="23" spans="2:34">
      <c r="B23" s="48" t="s">
        <v>259</v>
      </c>
      <c r="C23" s="49">
        <v>1251278</v>
      </c>
      <c r="D23" s="49">
        <v>262559</v>
      </c>
      <c r="E23" s="49">
        <v>988719</v>
      </c>
      <c r="F23" s="49">
        <v>88525</v>
      </c>
      <c r="G23" s="49">
        <v>174034</v>
      </c>
      <c r="H23" s="49">
        <v>274502</v>
      </c>
      <c r="I23" s="49">
        <v>142613</v>
      </c>
      <c r="J23" s="49">
        <v>93241</v>
      </c>
      <c r="K23" s="49">
        <v>49372</v>
      </c>
      <c r="L23" s="49">
        <v>1110600</v>
      </c>
      <c r="M23" s="49">
        <v>185478</v>
      </c>
      <c r="N23" s="49">
        <v>925122</v>
      </c>
      <c r="O23" s="49">
        <v>58369</v>
      </c>
      <c r="P23" s="49">
        <v>127109</v>
      </c>
      <c r="T23" s="48" t="s">
        <v>259</v>
      </c>
      <c r="U23" s="49">
        <v>1293616</v>
      </c>
      <c r="V23" s="49">
        <v>269128</v>
      </c>
      <c r="W23" s="49">
        <v>1024488</v>
      </c>
      <c r="X23" s="49">
        <v>90628</v>
      </c>
      <c r="Y23" s="49">
        <v>178499</v>
      </c>
      <c r="Z23" s="49">
        <v>317954</v>
      </c>
      <c r="AA23" s="49">
        <v>150998</v>
      </c>
      <c r="AB23" s="49">
        <v>98768</v>
      </c>
      <c r="AC23" s="49">
        <v>52230</v>
      </c>
      <c r="AD23" s="49">
        <v>1148517</v>
      </c>
      <c r="AE23" s="49">
        <v>190966</v>
      </c>
      <c r="AF23" s="49">
        <v>957551</v>
      </c>
      <c r="AG23" s="49">
        <v>60244</v>
      </c>
      <c r="AH23" s="49">
        <v>130722</v>
      </c>
    </row>
    <row r="26" spans="2:34">
      <c r="B26" s="159" t="s">
        <v>329</v>
      </c>
      <c r="C26" s="45" t="s">
        <v>240</v>
      </c>
      <c r="D26" s="45" t="s">
        <v>240</v>
      </c>
      <c r="E26" s="45" t="s">
        <v>240</v>
      </c>
      <c r="F26" s="45" t="s">
        <v>240</v>
      </c>
      <c r="G26" s="45" t="s">
        <v>240</v>
      </c>
      <c r="H26" s="45" t="s">
        <v>186</v>
      </c>
      <c r="I26" s="45" t="s">
        <v>234</v>
      </c>
      <c r="J26" s="45" t="s">
        <v>234</v>
      </c>
      <c r="K26" s="45" t="s">
        <v>234</v>
      </c>
      <c r="L26" s="45" t="s">
        <v>178</v>
      </c>
      <c r="M26" s="45" t="s">
        <v>178</v>
      </c>
      <c r="N26" s="45" t="s">
        <v>178</v>
      </c>
      <c r="O26" s="45" t="s">
        <v>178</v>
      </c>
      <c r="P26" s="45" t="s">
        <v>178</v>
      </c>
      <c r="T26" s="159" t="s">
        <v>330</v>
      </c>
      <c r="U26" s="45" t="s">
        <v>240</v>
      </c>
      <c r="V26" s="45" t="s">
        <v>240</v>
      </c>
      <c r="W26" s="45" t="s">
        <v>240</v>
      </c>
      <c r="X26" s="45" t="s">
        <v>240</v>
      </c>
      <c r="Y26" s="45" t="s">
        <v>240</v>
      </c>
      <c r="Z26" s="45" t="s">
        <v>186</v>
      </c>
      <c r="AA26" s="45" t="s">
        <v>234</v>
      </c>
      <c r="AB26" s="45" t="s">
        <v>234</v>
      </c>
      <c r="AC26" s="45" t="s">
        <v>234</v>
      </c>
      <c r="AD26" s="45" t="s">
        <v>178</v>
      </c>
      <c r="AE26" s="45" t="s">
        <v>178</v>
      </c>
      <c r="AF26" s="45" t="s">
        <v>178</v>
      </c>
      <c r="AG26" s="45" t="s">
        <v>178</v>
      </c>
      <c r="AH26" s="45" t="s">
        <v>178</v>
      </c>
    </row>
    <row r="27" spans="2:34">
      <c r="B27" s="160"/>
      <c r="C27" s="45" t="s">
        <v>241</v>
      </c>
      <c r="D27" s="45" t="s">
        <v>242</v>
      </c>
      <c r="E27" s="45" t="s">
        <v>165</v>
      </c>
      <c r="F27" s="45" t="s">
        <v>210</v>
      </c>
      <c r="G27" s="45" t="s">
        <v>217</v>
      </c>
      <c r="H27" s="45" t="s">
        <v>165</v>
      </c>
      <c r="I27" s="45" t="s">
        <v>241</v>
      </c>
      <c r="J27" s="45" t="s">
        <v>217</v>
      </c>
      <c r="K27" s="45" t="s">
        <v>210</v>
      </c>
      <c r="L27" s="45" t="s">
        <v>241</v>
      </c>
      <c r="M27" s="45" t="s">
        <v>242</v>
      </c>
      <c r="N27" s="45" t="s">
        <v>165</v>
      </c>
      <c r="O27" s="45" t="s">
        <v>210</v>
      </c>
      <c r="P27" s="45" t="s">
        <v>217</v>
      </c>
      <c r="T27" s="160"/>
      <c r="U27" s="45" t="s">
        <v>241</v>
      </c>
      <c r="V27" s="45" t="s">
        <v>242</v>
      </c>
      <c r="W27" s="45" t="s">
        <v>165</v>
      </c>
      <c r="X27" s="45" t="s">
        <v>210</v>
      </c>
      <c r="Y27" s="45" t="s">
        <v>217</v>
      </c>
      <c r="Z27" s="45" t="s">
        <v>165</v>
      </c>
      <c r="AA27" s="45" t="s">
        <v>241</v>
      </c>
      <c r="AB27" s="45" t="s">
        <v>217</v>
      </c>
      <c r="AC27" s="45" t="s">
        <v>210</v>
      </c>
      <c r="AD27" s="45" t="s">
        <v>241</v>
      </c>
      <c r="AE27" s="45" t="s">
        <v>242</v>
      </c>
      <c r="AF27" s="45" t="s">
        <v>165</v>
      </c>
      <c r="AG27" s="45" t="s">
        <v>210</v>
      </c>
      <c r="AH27" s="45" t="s">
        <v>217</v>
      </c>
    </row>
    <row r="28" spans="2:34">
      <c r="B28" s="46" t="s">
        <v>243</v>
      </c>
      <c r="C28" s="47">
        <v>73.737349331444705</v>
      </c>
      <c r="D28" s="47">
        <v>67.5399493705753</v>
      </c>
      <c r="E28" s="47">
        <v>75.693835149582</v>
      </c>
      <c r="F28" s="47">
        <v>57.353505558491896</v>
      </c>
      <c r="G28" s="47">
        <v>74.228146881057</v>
      </c>
      <c r="H28" s="47">
        <v>22.433569952858999</v>
      </c>
      <c r="I28" s="47">
        <v>37.7335939252213</v>
      </c>
      <c r="J28" s="47">
        <v>40.809954975971998</v>
      </c>
      <c r="K28" s="47">
        <v>33.048149313269903</v>
      </c>
      <c r="L28" s="47">
        <v>62.522088372673103</v>
      </c>
      <c r="M28" s="47">
        <v>47.839232312403098</v>
      </c>
      <c r="N28" s="47">
        <v>67.157387019371996</v>
      </c>
      <c r="O28" s="47">
        <v>37.875382389545997</v>
      </c>
      <c r="P28" s="47">
        <v>54.381279515354997</v>
      </c>
      <c r="T28" s="46" t="s">
        <v>243</v>
      </c>
      <c r="U28" s="47">
        <v>74.834976990210194</v>
      </c>
      <c r="V28" s="47">
        <v>68.982688263818005</v>
      </c>
      <c r="W28" s="47">
        <v>76.682513048738997</v>
      </c>
      <c r="X28" s="47">
        <v>57.234952101950903</v>
      </c>
      <c r="Y28" s="47">
        <v>76.695996382044001</v>
      </c>
      <c r="Z28" s="47">
        <v>25.7775364890419</v>
      </c>
      <c r="AA28" s="47">
        <v>40.0512177694022</v>
      </c>
      <c r="AB28" s="47">
        <v>43.265020279454902</v>
      </c>
      <c r="AC28" s="47">
        <v>35.156443259456999</v>
      </c>
      <c r="AD28" s="47">
        <v>62.9012148116974</v>
      </c>
      <c r="AE28" s="47">
        <v>49.048183647046699</v>
      </c>
      <c r="AF28" s="47">
        <v>67.274542204310904</v>
      </c>
      <c r="AG28" s="47">
        <v>37.080265230723001</v>
      </c>
      <c r="AH28" s="47">
        <v>56.906058645851999</v>
      </c>
    </row>
    <row r="29" spans="2:34">
      <c r="B29" s="46" t="s">
        <v>244</v>
      </c>
      <c r="C29" s="47">
        <v>70.522608597727697</v>
      </c>
      <c r="D29" s="47">
        <v>64.757325326349999</v>
      </c>
      <c r="E29" s="47">
        <v>72.342677502303005</v>
      </c>
      <c r="F29" s="47">
        <v>54.221676799640903</v>
      </c>
      <c r="G29" s="47">
        <v>71.674803059261905</v>
      </c>
      <c r="H29" s="47">
        <v>18.896542059057001</v>
      </c>
      <c r="I29" s="47">
        <v>35.534576118108802</v>
      </c>
      <c r="J29" s="47">
        <v>38.823710165330901</v>
      </c>
      <c r="K29" s="47">
        <v>30.525068084003902</v>
      </c>
      <c r="L29" s="47">
        <v>59.665197456868597</v>
      </c>
      <c r="M29" s="47">
        <v>45.292630527359997</v>
      </c>
      <c r="N29" s="47">
        <v>64.202539494717001</v>
      </c>
      <c r="O29" s="47">
        <v>35.297369061629901</v>
      </c>
      <c r="P29" s="47">
        <v>51.855301866342003</v>
      </c>
      <c r="T29" s="46" t="s">
        <v>244</v>
      </c>
      <c r="U29" s="47">
        <v>71.594381290298003</v>
      </c>
      <c r="V29" s="47">
        <v>66.588379927987603</v>
      </c>
      <c r="W29" s="47">
        <v>73.174748982035993</v>
      </c>
      <c r="X29" s="47">
        <v>54.888152971079997</v>
      </c>
      <c r="Y29" s="47">
        <v>74.270494535289004</v>
      </c>
      <c r="Z29" s="47">
        <v>22.011491682140999</v>
      </c>
      <c r="AA29" s="47">
        <v>37.819124404101998</v>
      </c>
      <c r="AB29" s="47">
        <v>41.243918555306998</v>
      </c>
      <c r="AC29" s="47">
        <v>32.602999561118899</v>
      </c>
      <c r="AD29" s="47">
        <v>59.934036251300498</v>
      </c>
      <c r="AE29" s="47">
        <v>46.801234871780302</v>
      </c>
      <c r="AF29" s="47">
        <v>64.079990976456003</v>
      </c>
      <c r="AG29" s="47">
        <v>35.233647827195902</v>
      </c>
      <c r="AH29" s="47">
        <v>54.396260996804898</v>
      </c>
    </row>
    <row r="30" spans="2:34">
      <c r="B30" s="46" t="s">
        <v>245</v>
      </c>
      <c r="C30" s="47">
        <v>67.613027623984095</v>
      </c>
      <c r="D30" s="47">
        <v>62.1936087795955</v>
      </c>
      <c r="E30" s="47">
        <v>69.323908990128004</v>
      </c>
      <c r="F30" s="47">
        <v>51.4740731017109</v>
      </c>
      <c r="G30" s="47">
        <v>69.231822817481998</v>
      </c>
      <c r="H30" s="47">
        <v>16.682179224203999</v>
      </c>
      <c r="I30" s="47">
        <v>33.342202972740402</v>
      </c>
      <c r="J30" s="47">
        <v>36.806503626359998</v>
      </c>
      <c r="K30" s="47">
        <v>28.065907842258</v>
      </c>
      <c r="L30" s="47">
        <v>56.979144250322499</v>
      </c>
      <c r="M30" s="47">
        <v>42.876525641128502</v>
      </c>
      <c r="N30" s="47">
        <v>61.431265056095903</v>
      </c>
      <c r="O30" s="47">
        <v>32.886449190152902</v>
      </c>
      <c r="P30" s="47">
        <v>49.4357926121669</v>
      </c>
      <c r="T30" s="46" t="s">
        <v>245</v>
      </c>
      <c r="U30" s="47">
        <v>68.586766530841601</v>
      </c>
      <c r="V30" s="47">
        <v>64.203912849560496</v>
      </c>
      <c r="W30" s="47">
        <v>69.970409852966995</v>
      </c>
      <c r="X30" s="47">
        <v>52.440079025606998</v>
      </c>
      <c r="Y30" s="47">
        <v>71.927790342680893</v>
      </c>
      <c r="Z30" s="47">
        <v>19.510882675049999</v>
      </c>
      <c r="AA30" s="47">
        <v>35.579301893431399</v>
      </c>
      <c r="AB30" s="47">
        <v>39.187061028764901</v>
      </c>
      <c r="AC30" s="47">
        <v>30.084512652830998</v>
      </c>
      <c r="AD30" s="47">
        <v>57.106814955264099</v>
      </c>
      <c r="AE30" s="47">
        <v>44.577914674794002</v>
      </c>
      <c r="AF30" s="47">
        <v>61.062121353167903</v>
      </c>
      <c r="AG30" s="47">
        <v>33.312023139875997</v>
      </c>
      <c r="AH30" s="47">
        <v>51.974854088313002</v>
      </c>
    </row>
    <row r="31" spans="2:34">
      <c r="B31" s="46" t="s">
        <v>246</v>
      </c>
      <c r="C31" s="47">
        <v>63.689697654878501</v>
      </c>
      <c r="D31" s="47">
        <v>58.700291255673697</v>
      </c>
      <c r="E31" s="47">
        <v>65.264826406064998</v>
      </c>
      <c r="F31" s="47">
        <v>47.069217925781999</v>
      </c>
      <c r="G31" s="47">
        <v>66.337001095169995</v>
      </c>
      <c r="H31" s="47">
        <v>12.421745529452901</v>
      </c>
      <c r="I31" s="47">
        <v>30.690226257715999</v>
      </c>
      <c r="J31" s="47">
        <v>34.516933754627999</v>
      </c>
      <c r="K31" s="47">
        <v>24.861968219361</v>
      </c>
      <c r="L31" s="47">
        <v>53.710521325740601</v>
      </c>
      <c r="M31" s="47">
        <v>40.093964432819099</v>
      </c>
      <c r="N31" s="47">
        <v>58.009195063287002</v>
      </c>
      <c r="O31" s="47">
        <v>29.929104751922999</v>
      </c>
      <c r="P31" s="47">
        <v>46.767990272094004</v>
      </c>
      <c r="T31" s="46" t="s">
        <v>246</v>
      </c>
      <c r="U31" s="47">
        <v>64.701265617682296</v>
      </c>
      <c r="V31" s="47">
        <v>61.232395117370302</v>
      </c>
      <c r="W31" s="47">
        <v>65.796369367910899</v>
      </c>
      <c r="X31" s="47">
        <v>49.153541501648903</v>
      </c>
      <c r="Y31" s="47">
        <v>69.163107755897997</v>
      </c>
      <c r="Z31" s="47">
        <v>14.9473236722939</v>
      </c>
      <c r="AA31" s="47">
        <v>32.894211784060801</v>
      </c>
      <c r="AB31" s="47">
        <v>36.869325971906903</v>
      </c>
      <c r="AC31" s="47">
        <v>26.8399232769329</v>
      </c>
      <c r="AD31" s="47">
        <v>53.805809946448598</v>
      </c>
      <c r="AE31" s="47">
        <v>42.057758965678602</v>
      </c>
      <c r="AF31" s="47">
        <v>57.514606422350901</v>
      </c>
      <c r="AG31" s="47">
        <v>31.014762774333001</v>
      </c>
      <c r="AH31" s="47">
        <v>49.308350143298902</v>
      </c>
    </row>
    <row r="32" spans="2:34">
      <c r="B32" s="46" t="s">
        <v>247</v>
      </c>
      <c r="C32" s="47">
        <v>58.896987943916898</v>
      </c>
      <c r="D32" s="47">
        <v>54.618359176644098</v>
      </c>
      <c r="E32" s="47">
        <v>60.247728021545903</v>
      </c>
      <c r="F32" s="47">
        <v>41.987000035226998</v>
      </c>
      <c r="G32" s="47">
        <v>62.911834929527998</v>
      </c>
      <c r="H32" s="47">
        <v>8.5973728214400005</v>
      </c>
      <c r="I32" s="47">
        <v>27.553341239726901</v>
      </c>
      <c r="J32" s="47">
        <v>31.880292895970999</v>
      </c>
      <c r="K32" s="47">
        <v>20.963187486812998</v>
      </c>
      <c r="L32" s="47">
        <v>49.563300844931902</v>
      </c>
      <c r="M32" s="47">
        <v>36.548016546236703</v>
      </c>
      <c r="N32" s="47">
        <v>53.672156060055002</v>
      </c>
      <c r="O32" s="47">
        <v>25.913068957893</v>
      </c>
      <c r="P32" s="47">
        <v>43.530691883834997</v>
      </c>
      <c r="T32" s="46" t="s">
        <v>247</v>
      </c>
      <c r="U32" s="47">
        <v>59.824857894851903</v>
      </c>
      <c r="V32" s="47">
        <v>57.6115508035316</v>
      </c>
      <c r="W32" s="47">
        <v>60.523587033311998</v>
      </c>
      <c r="X32" s="47">
        <v>44.984894349915002</v>
      </c>
      <c r="Y32" s="47">
        <v>65.901938873861994</v>
      </c>
      <c r="Z32" s="47">
        <v>10.684293187425</v>
      </c>
      <c r="AA32" s="47">
        <v>29.720605526059501</v>
      </c>
      <c r="AB32" s="47">
        <v>34.210412644161003</v>
      </c>
      <c r="AC32" s="47">
        <v>22.882415137100999</v>
      </c>
      <c r="AD32" s="47">
        <v>49.517864655639002</v>
      </c>
      <c r="AE32" s="47">
        <v>39.000984355293703</v>
      </c>
      <c r="AF32" s="47">
        <v>52.837987172919</v>
      </c>
      <c r="AG32" s="47">
        <v>28.194448953098998</v>
      </c>
      <c r="AH32" s="47">
        <v>46.096320520418999</v>
      </c>
    </row>
    <row r="33" spans="2:34">
      <c r="B33" s="46" t="s">
        <v>248</v>
      </c>
      <c r="C33" s="47">
        <v>44.290567374512499</v>
      </c>
      <c r="D33" s="47">
        <v>41.203784703804601</v>
      </c>
      <c r="E33" s="47">
        <v>45.26504805303</v>
      </c>
      <c r="F33" s="47">
        <v>25.199151428528999</v>
      </c>
      <c r="G33" s="47">
        <v>51.712078903679902</v>
      </c>
      <c r="H33" s="47">
        <v>2.3665746863849999</v>
      </c>
      <c r="I33" s="47">
        <v>16.240764472966401</v>
      </c>
      <c r="J33" s="47">
        <v>22.077909583236</v>
      </c>
      <c r="K33" s="47">
        <v>7.35051405862799</v>
      </c>
      <c r="L33" s="47">
        <v>36.678060913088501</v>
      </c>
      <c r="M33" s="47">
        <v>25.769592802956701</v>
      </c>
      <c r="N33" s="47">
        <v>40.121805594701897</v>
      </c>
      <c r="O33" s="47">
        <v>13.538565033278999</v>
      </c>
      <c r="P33" s="47">
        <v>33.800219682060003</v>
      </c>
      <c r="T33" s="46" t="s">
        <v>248</v>
      </c>
      <c r="U33" s="47">
        <v>44.974446651409103</v>
      </c>
      <c r="V33" s="47">
        <v>44.645545681830498</v>
      </c>
      <c r="W33" s="47">
        <v>45.078278917619997</v>
      </c>
      <c r="X33" s="47">
        <v>28.651583890409999</v>
      </c>
      <c r="Y33" s="47">
        <v>55.146833217449903</v>
      </c>
      <c r="Z33" s="47">
        <v>3.27035752399199</v>
      </c>
      <c r="AA33" s="47">
        <v>18.121455681745601</v>
      </c>
      <c r="AB33" s="47">
        <v>24.26800241814</v>
      </c>
      <c r="AC33" s="47">
        <v>8.7599718334440002</v>
      </c>
      <c r="AD33" s="47">
        <v>36.331002259330802</v>
      </c>
      <c r="AE33" s="47">
        <v>28.581218773918099</v>
      </c>
      <c r="AF33" s="47">
        <v>38.777567202465001</v>
      </c>
      <c r="AG33" s="47">
        <v>16.775663668451902</v>
      </c>
      <c r="AH33" s="47">
        <v>36.332489553282002</v>
      </c>
    </row>
    <row r="34" spans="2:34">
      <c r="B34" s="46" t="s">
        <v>249</v>
      </c>
      <c r="C34" s="47">
        <v>35.570286402444502</v>
      </c>
      <c r="D34" s="47">
        <v>33.096123806776497</v>
      </c>
      <c r="E34" s="47">
        <v>36.351366219908897</v>
      </c>
      <c r="F34" s="47">
        <v>16.474835520935901</v>
      </c>
      <c r="G34" s="47">
        <v>44.009300277891001</v>
      </c>
      <c r="H34" s="47">
        <v>0.95412061527900005</v>
      </c>
      <c r="I34" s="47">
        <v>10.472119516107499</v>
      </c>
      <c r="J34" s="47">
        <v>15.778895769311999</v>
      </c>
      <c r="K34" s="47">
        <v>2.3896461678179999</v>
      </c>
      <c r="L34" s="47">
        <v>28.897395850398901</v>
      </c>
      <c r="M34" s="47">
        <v>19.647714271361899</v>
      </c>
      <c r="N34" s="47">
        <v>31.817470550423899</v>
      </c>
      <c r="O34" s="47">
        <v>7.2526350464879998</v>
      </c>
      <c r="P34" s="47">
        <v>27.786053768772</v>
      </c>
      <c r="T34" s="46" t="s">
        <v>249</v>
      </c>
      <c r="U34" s="47">
        <v>36.250774581145599</v>
      </c>
      <c r="V34" s="47">
        <v>36.5655129213282</v>
      </c>
      <c r="W34" s="47">
        <v>36.151413380822902</v>
      </c>
      <c r="X34" s="47">
        <v>19.726815761015999</v>
      </c>
      <c r="Y34" s="47">
        <v>47.621435332028902</v>
      </c>
      <c r="Z34" s="47">
        <v>1.41974505874499</v>
      </c>
      <c r="AA34" s="47">
        <v>11.959486829031301</v>
      </c>
      <c r="AB34" s="47">
        <v>17.7089100862439</v>
      </c>
      <c r="AC34" s="47">
        <v>3.2028409809239902</v>
      </c>
      <c r="AD34" s="47">
        <v>28.550548303972899</v>
      </c>
      <c r="AE34" s="47">
        <v>21.971743620621499</v>
      </c>
      <c r="AF34" s="47">
        <v>30.627441540578999</v>
      </c>
      <c r="AG34" s="47">
        <v>9.3684197333999997</v>
      </c>
      <c r="AH34" s="47">
        <v>30.246812035205998</v>
      </c>
    </row>
    <row r="35" spans="2:34">
      <c r="B35" s="46" t="s">
        <v>250</v>
      </c>
      <c r="C35" s="47">
        <v>28.136320877310698</v>
      </c>
      <c r="D35" s="47">
        <v>26.139705309232099</v>
      </c>
      <c r="E35" s="47">
        <v>28.766641667945901</v>
      </c>
      <c r="F35" s="47">
        <v>10.049278127031</v>
      </c>
      <c r="G35" s="47">
        <v>36.704329922870997</v>
      </c>
      <c r="H35" s="47">
        <v>0.371440863416999</v>
      </c>
      <c r="I35" s="47">
        <v>6.6445419590796604</v>
      </c>
      <c r="J35" s="47">
        <v>10.713157508351999</v>
      </c>
      <c r="K35" s="47">
        <v>0.44784641881199999</v>
      </c>
      <c r="L35" s="47">
        <v>22.4562797329794</v>
      </c>
      <c r="M35" s="47">
        <v>14.789470753220501</v>
      </c>
      <c r="N35" s="47">
        <v>24.876650071181899</v>
      </c>
      <c r="O35" s="47">
        <v>3.35615147442899</v>
      </c>
      <c r="P35" s="47">
        <v>22.296339582776898</v>
      </c>
      <c r="T35" s="46" t="s">
        <v>250</v>
      </c>
      <c r="U35" s="47">
        <v>28.761399741385301</v>
      </c>
      <c r="V35" s="47">
        <v>29.5284456650005</v>
      </c>
      <c r="W35" s="47">
        <v>28.519247470934999</v>
      </c>
      <c r="X35" s="47">
        <v>13.024001083742901</v>
      </c>
      <c r="Y35" s="47">
        <v>40.364905100363998</v>
      </c>
      <c r="Z35" s="47">
        <v>0.59436530739299998</v>
      </c>
      <c r="AA35" s="47">
        <v>7.76488419626682</v>
      </c>
      <c r="AB35" s="47">
        <v>12.336950344446</v>
      </c>
      <c r="AC35" s="47">
        <v>0.80140938103199999</v>
      </c>
      <c r="AD35" s="47">
        <v>22.115003430900799</v>
      </c>
      <c r="AE35" s="47">
        <v>16.7013927708478</v>
      </c>
      <c r="AF35" s="47">
        <v>23.824051184504999</v>
      </c>
      <c r="AG35" s="47">
        <v>4.6236846816419996</v>
      </c>
      <c r="AH35" s="47">
        <v>24.631353281574</v>
      </c>
    </row>
    <row r="36" spans="2:34">
      <c r="B36" s="46" t="s">
        <v>251</v>
      </c>
      <c r="C36" s="47">
        <v>21.903903551416001</v>
      </c>
      <c r="D36" s="47">
        <v>20.2656689956615</v>
      </c>
      <c r="E36" s="47">
        <v>22.421085384984</v>
      </c>
      <c r="F36" s="47">
        <v>5.425493568846</v>
      </c>
      <c r="G36" s="47">
        <v>30.009405492494899</v>
      </c>
      <c r="H36" s="47">
        <v>0.140426419457999</v>
      </c>
      <c r="I36" s="47">
        <v>4.2096893627953804</v>
      </c>
      <c r="J36" s="47">
        <v>6.9736798618889999</v>
      </c>
      <c r="K36" s="47">
        <v>0</v>
      </c>
      <c r="L36" s="47">
        <v>17.272691653075</v>
      </c>
      <c r="M36" s="47">
        <v>10.988437106388499</v>
      </c>
      <c r="N36" s="47">
        <v>19.256596996572</v>
      </c>
      <c r="O36" s="47">
        <v>1.26653444178299</v>
      </c>
      <c r="P36" s="47">
        <v>17.371627000533</v>
      </c>
      <c r="T36" s="46" t="s">
        <v>251</v>
      </c>
      <c r="U36" s="47">
        <v>22.422978546497401</v>
      </c>
      <c r="V36" s="47">
        <v>23.373658415737999</v>
      </c>
      <c r="W36" s="47">
        <v>22.122854027586001</v>
      </c>
      <c r="X36" s="47">
        <v>7.8254270205929997</v>
      </c>
      <c r="Y36" s="47">
        <v>33.582289065233901</v>
      </c>
      <c r="Z36" s="47">
        <v>0.24040283900099901</v>
      </c>
      <c r="AA36" s="47">
        <v>4.9958423042829398</v>
      </c>
      <c r="AB36" s="47">
        <v>8.25869146412699</v>
      </c>
      <c r="AC36" s="47">
        <v>2.6367407352000001E-2</v>
      </c>
      <c r="AD36" s="47">
        <v>16.926206903296301</v>
      </c>
      <c r="AE36" s="47">
        <v>12.620810142489301</v>
      </c>
      <c r="AF36" s="47">
        <v>18.285397492439898</v>
      </c>
      <c r="AG36" s="47">
        <v>2.0919141931349898</v>
      </c>
      <c r="AH36" s="47">
        <v>19.533854279939899</v>
      </c>
    </row>
    <row r="37" spans="2:34">
      <c r="B37" s="46" t="s">
        <v>252</v>
      </c>
      <c r="C37" s="47">
        <v>19.216351310861601</v>
      </c>
      <c r="D37" s="47">
        <v>17.760743942622899</v>
      </c>
      <c r="E37" s="47">
        <v>19.675878724085901</v>
      </c>
      <c r="F37" s="47">
        <v>3.7161065354009901</v>
      </c>
      <c r="G37" s="47">
        <v>26.982147474164901</v>
      </c>
      <c r="H37" s="47">
        <v>8.6293333151999996E-2</v>
      </c>
      <c r="I37" s="47">
        <v>3.3664009747653698</v>
      </c>
      <c r="J37" s="47">
        <v>5.5767066549479898</v>
      </c>
      <c r="K37" s="47">
        <v>0</v>
      </c>
      <c r="L37" s="47">
        <v>15.069925773847</v>
      </c>
      <c r="M37" s="47">
        <v>9.4076918397622507</v>
      </c>
      <c r="N37" s="47">
        <v>16.857462557168901</v>
      </c>
      <c r="O37" s="47">
        <v>0.66907296155700002</v>
      </c>
      <c r="P37" s="47">
        <v>15.145278980519899</v>
      </c>
      <c r="T37" s="46" t="s">
        <v>252</v>
      </c>
      <c r="U37" s="47">
        <v>19.677737355217399</v>
      </c>
      <c r="V37" s="47">
        <v>20.665955964524102</v>
      </c>
      <c r="W37" s="47">
        <v>19.365762058070999</v>
      </c>
      <c r="X37" s="47">
        <v>5.7528888768000002</v>
      </c>
      <c r="Y37" s="47">
        <v>30.457551540935999</v>
      </c>
      <c r="Z37" s="47">
        <v>0.15191222190299999</v>
      </c>
      <c r="AA37" s="47">
        <v>4.0425027823987802</v>
      </c>
      <c r="AB37" s="47">
        <v>6.6967222081499997</v>
      </c>
      <c r="AC37" s="47">
        <v>0</v>
      </c>
      <c r="AD37" s="47">
        <v>14.7240980678153</v>
      </c>
      <c r="AE37" s="47">
        <v>10.9039164244913</v>
      </c>
      <c r="AF37" s="47">
        <v>15.930108855414</v>
      </c>
      <c r="AG37" s="47">
        <v>1.3214665404329999</v>
      </c>
      <c r="AH37" s="47">
        <v>17.195544655223902</v>
      </c>
    </row>
    <row r="38" spans="2:34">
      <c r="B38" s="46" t="s">
        <v>253</v>
      </c>
      <c r="C38" s="47">
        <v>16.8050832432173</v>
      </c>
      <c r="D38" s="47">
        <v>15.5505338310913</v>
      </c>
      <c r="E38" s="47">
        <v>17.2011377416319</v>
      </c>
      <c r="F38" s="47">
        <v>2.3774612295719999</v>
      </c>
      <c r="G38" s="47">
        <v>24.199686862728001</v>
      </c>
      <c r="H38" s="47">
        <v>5.3533827047999902E-2</v>
      </c>
      <c r="I38" s="47">
        <v>2.6851744432467499</v>
      </c>
      <c r="J38" s="47">
        <v>4.4482015955909997</v>
      </c>
      <c r="K38" s="47">
        <v>0</v>
      </c>
      <c r="L38" s="47">
        <v>13.103261400076599</v>
      </c>
      <c r="M38" s="47">
        <v>8.0317063345082396</v>
      </c>
      <c r="N38" s="47">
        <v>14.704324043174999</v>
      </c>
      <c r="O38" s="47">
        <v>0.28414876483499901</v>
      </c>
      <c r="P38" s="47">
        <v>13.118584169963899</v>
      </c>
      <c r="T38" s="46" t="s">
        <v>253</v>
      </c>
      <c r="U38" s="47">
        <v>17.2108569036216</v>
      </c>
      <c r="V38" s="47">
        <v>18.232833054006999</v>
      </c>
      <c r="W38" s="47">
        <v>16.888224532412998</v>
      </c>
      <c r="X38" s="47">
        <v>4.0409050532370001</v>
      </c>
      <c r="Y38" s="47">
        <v>27.550944386549901</v>
      </c>
      <c r="Z38" s="47">
        <v>9.6280987451999894E-2</v>
      </c>
      <c r="AA38" s="47">
        <v>3.2692120935539402</v>
      </c>
      <c r="AB38" s="47">
        <v>5.4157056676320003</v>
      </c>
      <c r="AC38" s="47">
        <v>0</v>
      </c>
      <c r="AD38" s="47">
        <v>12.7607785807624</v>
      </c>
      <c r="AE38" s="47">
        <v>9.3792565648017607</v>
      </c>
      <c r="AF38" s="47">
        <v>13.828306884521901</v>
      </c>
      <c r="AG38" s="47">
        <v>0.76115913420299997</v>
      </c>
      <c r="AH38" s="47">
        <v>15.037711943709001</v>
      </c>
    </row>
    <row r="39" spans="2:34">
      <c r="B39" s="46" t="s">
        <v>254</v>
      </c>
      <c r="C39" s="47">
        <v>12.7568194611087</v>
      </c>
      <c r="D39" s="47">
        <v>11.9560474954319</v>
      </c>
      <c r="E39" s="47">
        <v>13.009618861550999</v>
      </c>
      <c r="F39" s="47">
        <v>0.67876098622799996</v>
      </c>
      <c r="G39" s="47">
        <v>19.360468601291998</v>
      </c>
      <c r="H39" s="47">
        <v>2.2572098717999999E-2</v>
      </c>
      <c r="I39" s="47">
        <v>1.70008193076929</v>
      </c>
      <c r="J39" s="47">
        <v>2.816318759514</v>
      </c>
      <c r="K39" s="47">
        <v>0</v>
      </c>
      <c r="L39" s="47">
        <v>9.8283587927260605</v>
      </c>
      <c r="M39" s="47">
        <v>5.8756466615760399</v>
      </c>
      <c r="N39" s="47">
        <v>11.076208742157</v>
      </c>
      <c r="O39" s="47">
        <v>0</v>
      </c>
      <c r="P39" s="47">
        <v>9.7334684980649993</v>
      </c>
      <c r="T39" s="46" t="s">
        <v>254</v>
      </c>
      <c r="U39" s="47">
        <v>13.063446753927501</v>
      </c>
      <c r="V39" s="47">
        <v>14.180850613795</v>
      </c>
      <c r="W39" s="47">
        <v>12.710688368351899</v>
      </c>
      <c r="X39" s="47">
        <v>1.6407718484039999</v>
      </c>
      <c r="Y39" s="47">
        <v>22.414393656603</v>
      </c>
      <c r="Z39" s="47">
        <v>4.0449999914999903E-2</v>
      </c>
      <c r="AA39" s="47">
        <v>2.12935291974288</v>
      </c>
      <c r="AB39" s="47">
        <v>3.5274397456740001</v>
      </c>
      <c r="AC39" s="47">
        <v>0</v>
      </c>
      <c r="AD39" s="47">
        <v>9.50093070475309</v>
      </c>
      <c r="AE39" s="47">
        <v>6.9043961399571598</v>
      </c>
      <c r="AF39" s="47">
        <v>10.320642694361901</v>
      </c>
      <c r="AG39" s="47">
        <v>0.117754444196999</v>
      </c>
      <c r="AH39" s="47">
        <v>11.3603575069919</v>
      </c>
    </row>
    <row r="40" spans="2:34">
      <c r="B40" s="46" t="s">
        <v>255</v>
      </c>
      <c r="C40" s="47">
        <v>9.6151074786189099</v>
      </c>
      <c r="D40" s="47">
        <v>9.29206976963013</v>
      </c>
      <c r="E40" s="47">
        <v>9.7170887450129992</v>
      </c>
      <c r="F40" s="47">
        <v>2.6267530809E-2</v>
      </c>
      <c r="G40" s="47">
        <v>15.375794041763999</v>
      </c>
      <c r="H40" s="47">
        <v>1.198518516E-2</v>
      </c>
      <c r="I40" s="47">
        <v>1.05979289946317</v>
      </c>
      <c r="J40" s="47">
        <v>1.7556298728540001</v>
      </c>
      <c r="K40" s="47">
        <v>0</v>
      </c>
      <c r="L40" s="47">
        <v>7.3124185110620203</v>
      </c>
      <c r="M40" s="47">
        <v>4.3450423642343798</v>
      </c>
      <c r="N40" s="47">
        <v>8.2492031925419997</v>
      </c>
      <c r="O40" s="47">
        <v>0</v>
      </c>
      <c r="P40" s="47">
        <v>7.19790270092399</v>
      </c>
      <c r="T40" s="46" t="s">
        <v>255</v>
      </c>
      <c r="U40" s="47">
        <v>9.8391737132124906</v>
      </c>
      <c r="V40" s="47">
        <v>11.083257002419399</v>
      </c>
      <c r="W40" s="47">
        <v>9.44642331348299</v>
      </c>
      <c r="X40" s="47">
        <v>0.38831999918400001</v>
      </c>
      <c r="Y40" s="47">
        <v>18.105320085410899</v>
      </c>
      <c r="Z40" s="47">
        <v>1.9775555513999999E-2</v>
      </c>
      <c r="AA40" s="47">
        <v>1.3713158208152101</v>
      </c>
      <c r="AB40" s="47">
        <v>2.271691970535</v>
      </c>
      <c r="AC40" s="47">
        <v>0</v>
      </c>
      <c r="AD40" s="47">
        <v>7.0278891090212303</v>
      </c>
      <c r="AE40" s="47">
        <v>5.1542664111449898</v>
      </c>
      <c r="AF40" s="47">
        <v>7.6193817123839898</v>
      </c>
      <c r="AG40" s="47">
        <v>0</v>
      </c>
      <c r="AH40" s="47">
        <v>8.5384456610699893</v>
      </c>
    </row>
    <row r="41" spans="2:34">
      <c r="B41" s="46" t="s">
        <v>256</v>
      </c>
      <c r="C41" s="47">
        <v>4.5864155200719701</v>
      </c>
      <c r="D41" s="47">
        <v>4.9742378756007302</v>
      </c>
      <c r="E41" s="47">
        <v>4.4639820893849897</v>
      </c>
      <c r="F41" s="47">
        <v>0</v>
      </c>
      <c r="G41" s="47">
        <v>8.2402143036719906</v>
      </c>
      <c r="H41" s="47">
        <v>7.1911110959999996E-3</v>
      </c>
      <c r="I41" s="47">
        <v>0.270706002878009</v>
      </c>
      <c r="J41" s="47">
        <v>0.44844567806999902</v>
      </c>
      <c r="K41" s="47">
        <v>0</v>
      </c>
      <c r="L41" s="47">
        <v>3.3682388578795202</v>
      </c>
      <c r="M41" s="47">
        <v>2.0388563250168401</v>
      </c>
      <c r="N41" s="47">
        <v>3.78791776981799</v>
      </c>
      <c r="O41" s="47">
        <v>0</v>
      </c>
      <c r="P41" s="47">
        <v>3.3775250546309898</v>
      </c>
      <c r="T41" s="46" t="s">
        <v>256</v>
      </c>
      <c r="U41" s="47">
        <v>4.7279794693256401</v>
      </c>
      <c r="V41" s="47">
        <v>6.1298932571521103</v>
      </c>
      <c r="W41" s="47">
        <v>4.2854028305009999</v>
      </c>
      <c r="X41" s="47">
        <v>0</v>
      </c>
      <c r="Y41" s="47">
        <v>10.154647879895901</v>
      </c>
      <c r="Z41" s="47">
        <v>9.4882715849999993E-3</v>
      </c>
      <c r="AA41" s="47">
        <v>0.39647275610819299</v>
      </c>
      <c r="AB41" s="47">
        <v>0.65678814676800001</v>
      </c>
      <c r="AC41" s="47">
        <v>0</v>
      </c>
      <c r="AD41" s="47">
        <v>3.20722179473103</v>
      </c>
      <c r="AE41" s="47">
        <v>2.5165408819884401</v>
      </c>
      <c r="AF41" s="47">
        <v>3.4252660421849899</v>
      </c>
      <c r="AG41" s="47">
        <v>0</v>
      </c>
      <c r="AH41" s="47">
        <v>4.1688469048199996</v>
      </c>
    </row>
    <row r="42" spans="2:34">
      <c r="B42" s="46" t="s">
        <v>257</v>
      </c>
      <c r="C42" s="47">
        <v>2.0769037853130801</v>
      </c>
      <c r="D42" s="47">
        <v>2.4789193795840099</v>
      </c>
      <c r="E42" s="47">
        <v>1.9499896255319999</v>
      </c>
      <c r="F42" s="47">
        <v>0</v>
      </c>
      <c r="G42" s="47">
        <v>4.1065239419879997</v>
      </c>
      <c r="H42" s="47">
        <v>6.99135800999999E-3</v>
      </c>
      <c r="I42" s="47">
        <v>4.2083026728029098E-2</v>
      </c>
      <c r="J42" s="47">
        <v>6.9713827014000002E-2</v>
      </c>
      <c r="K42" s="47">
        <v>0</v>
      </c>
      <c r="L42" s="47">
        <v>1.4790896726029601</v>
      </c>
      <c r="M42" s="47">
        <v>0.90050442293673705</v>
      </c>
      <c r="N42" s="47">
        <v>1.6617459224339901</v>
      </c>
      <c r="O42" s="47">
        <v>0</v>
      </c>
      <c r="P42" s="47">
        <v>1.491756046248</v>
      </c>
      <c r="T42" s="46" t="s">
        <v>257</v>
      </c>
      <c r="U42" s="47">
        <v>2.1778005659246502</v>
      </c>
      <c r="V42" s="47">
        <v>3.2056655173772302</v>
      </c>
      <c r="W42" s="47">
        <v>1.853309131908</v>
      </c>
      <c r="X42" s="47">
        <v>0</v>
      </c>
      <c r="Y42" s="47">
        <v>5.3104357913099998</v>
      </c>
      <c r="Z42" s="47">
        <v>8.8890123269999895E-3</v>
      </c>
      <c r="AA42" s="47">
        <v>8.33822721559659E-2</v>
      </c>
      <c r="AB42" s="47">
        <v>0.138129258969</v>
      </c>
      <c r="AC42" s="47">
        <v>0</v>
      </c>
      <c r="AD42" s="47">
        <v>1.40139451198383</v>
      </c>
      <c r="AE42" s="47">
        <v>1.16325203107534</v>
      </c>
      <c r="AF42" s="47">
        <v>1.4765748117119999</v>
      </c>
      <c r="AG42" s="47">
        <v>0</v>
      </c>
      <c r="AH42" s="47">
        <v>1.92701802064199</v>
      </c>
    </row>
    <row r="43" spans="2:34">
      <c r="B43" s="46" t="s">
        <v>258</v>
      </c>
      <c r="C43" s="47">
        <v>0.42481624887868602</v>
      </c>
      <c r="D43" s="47">
        <v>0.52049107413048001</v>
      </c>
      <c r="E43" s="47">
        <v>0.39461222139299901</v>
      </c>
      <c r="F43" s="47">
        <v>0</v>
      </c>
      <c r="G43" s="47">
        <v>0.86223419571899995</v>
      </c>
      <c r="H43" s="47">
        <v>6.99135800999999E-3</v>
      </c>
      <c r="I43" s="47">
        <v>0</v>
      </c>
      <c r="J43" s="47">
        <v>0</v>
      </c>
      <c r="K43" s="47">
        <v>0</v>
      </c>
      <c r="L43" s="47">
        <v>0.294012167381137</v>
      </c>
      <c r="M43" s="47">
        <v>0.14524070399401401</v>
      </c>
      <c r="N43" s="47">
        <v>0.340978517801999</v>
      </c>
      <c r="O43" s="47">
        <v>0</v>
      </c>
      <c r="P43" s="47">
        <v>0.24060259208699999</v>
      </c>
      <c r="T43" s="46" t="s">
        <v>258</v>
      </c>
      <c r="U43" s="47">
        <v>0.46801102593539601</v>
      </c>
      <c r="V43" s="47">
        <v>0.74290409074896002</v>
      </c>
      <c r="W43" s="47">
        <v>0.38122876463099997</v>
      </c>
      <c r="X43" s="47">
        <v>0</v>
      </c>
      <c r="Y43" s="47">
        <v>1.2306787628459901</v>
      </c>
      <c r="Z43" s="47">
        <v>8.8890123269999895E-3</v>
      </c>
      <c r="AA43" s="47">
        <v>0</v>
      </c>
      <c r="AB43" s="47">
        <v>0</v>
      </c>
      <c r="AC43" s="47">
        <v>0</v>
      </c>
      <c r="AD43" s="47">
        <v>0.28259638066298898</v>
      </c>
      <c r="AE43" s="47">
        <v>0.20523011888568901</v>
      </c>
      <c r="AF43" s="47">
        <v>0.30702049318199998</v>
      </c>
      <c r="AG43" s="47">
        <v>0</v>
      </c>
      <c r="AH43" s="47">
        <v>0.33997975237199901</v>
      </c>
    </row>
    <row r="44" spans="2:34">
      <c r="B44" s="48" t="s">
        <v>187</v>
      </c>
      <c r="C44" s="49">
        <v>18951607</v>
      </c>
      <c r="D44" s="49">
        <v>3029592</v>
      </c>
      <c r="E44" s="49">
        <v>15922015</v>
      </c>
      <c r="F44" s="49">
        <v>670574</v>
      </c>
      <c r="G44" s="49">
        <v>2359018</v>
      </c>
      <c r="H44" s="49">
        <v>1971320</v>
      </c>
      <c r="I44" s="49">
        <v>1146586</v>
      </c>
      <c r="J44" s="49">
        <v>861627</v>
      </c>
      <c r="K44" s="49">
        <v>284959</v>
      </c>
      <c r="L44" s="49">
        <v>15833701</v>
      </c>
      <c r="M44" s="49">
        <v>1883006</v>
      </c>
      <c r="N44" s="49">
        <v>13950695</v>
      </c>
      <c r="O44" s="49">
        <v>385615</v>
      </c>
      <c r="P44" s="49">
        <v>1497391</v>
      </c>
      <c r="T44" s="48" t="s">
        <v>187</v>
      </c>
      <c r="U44" s="49">
        <v>19431952</v>
      </c>
      <c r="V44" s="49">
        <v>3322905</v>
      </c>
      <c r="W44" s="49">
        <v>16109047</v>
      </c>
      <c r="X44" s="49">
        <v>736745</v>
      </c>
      <c r="Y44" s="49">
        <v>2586160</v>
      </c>
      <c r="Z44" s="49">
        <v>2409269</v>
      </c>
      <c r="AA44" s="49">
        <v>1261251</v>
      </c>
      <c r="AB44" s="49">
        <v>947803</v>
      </c>
      <c r="AC44" s="49">
        <v>313448</v>
      </c>
      <c r="AD44" s="49">
        <v>15761432</v>
      </c>
      <c r="AE44" s="49">
        <v>2061654</v>
      </c>
      <c r="AF44" s="49">
        <v>13699778</v>
      </c>
      <c r="AG44" s="49">
        <v>423297</v>
      </c>
      <c r="AH44" s="49">
        <v>1638357</v>
      </c>
    </row>
    <row r="45" spans="2:34">
      <c r="B45" s="46" t="s">
        <v>163</v>
      </c>
      <c r="C45" s="47">
        <v>1145.1246599660899</v>
      </c>
      <c r="D45" s="47">
        <v>762.91963082811799</v>
      </c>
      <c r="E45" s="47">
        <v>1265.7847309395099</v>
      </c>
      <c r="F45" s="47">
        <v>426.05612773284298</v>
      </c>
      <c r="G45" s="47">
        <v>984.09688211785704</v>
      </c>
      <c r="H45" s="47">
        <v>156.71802568931599</v>
      </c>
      <c r="I45" s="47">
        <v>288.73622845343101</v>
      </c>
      <c r="J45" s="47">
        <v>359.43958216875097</v>
      </c>
      <c r="K45" s="47">
        <v>181.05164844241401</v>
      </c>
      <c r="L45" s="47">
        <v>956.72949917280005</v>
      </c>
      <c r="M45" s="47">
        <v>474.18340237468601</v>
      </c>
      <c r="N45" s="47">
        <v>1109.0667052501899</v>
      </c>
      <c r="O45" s="47">
        <v>245.004479290429</v>
      </c>
      <c r="P45" s="47">
        <v>624.657299949106</v>
      </c>
      <c r="T45" s="46" t="s">
        <v>163</v>
      </c>
      <c r="U45" s="47">
        <v>1174.1488427064401</v>
      </c>
      <c r="V45" s="47">
        <v>836.78246307651602</v>
      </c>
      <c r="W45" s="47">
        <v>1280.65359331635</v>
      </c>
      <c r="X45" s="47">
        <v>468.09855709665698</v>
      </c>
      <c r="Y45" s="47">
        <v>1078.8522989896201</v>
      </c>
      <c r="Z45" s="47">
        <v>191.53454590552099</v>
      </c>
      <c r="AA45" s="47">
        <v>317.611462963196</v>
      </c>
      <c r="AB45" s="47">
        <v>395.389088663991</v>
      </c>
      <c r="AC45" s="47">
        <v>199.15242930027699</v>
      </c>
      <c r="AD45" s="47">
        <v>952.36274473075798</v>
      </c>
      <c r="AE45" s="47">
        <v>519.17100011332002</v>
      </c>
      <c r="AF45" s="47">
        <v>1089.11904741083</v>
      </c>
      <c r="AG45" s="47">
        <v>268.94612779637902</v>
      </c>
      <c r="AH45" s="47">
        <v>683.46321032563799</v>
      </c>
    </row>
    <row r="46" spans="2:34">
      <c r="B46" s="48" t="s">
        <v>239</v>
      </c>
      <c r="C46" s="49">
        <v>1654982</v>
      </c>
      <c r="D46" s="49">
        <v>397105</v>
      </c>
      <c r="E46" s="49">
        <v>1257877</v>
      </c>
      <c r="F46" s="49">
        <v>157391</v>
      </c>
      <c r="G46" s="49">
        <v>239714</v>
      </c>
      <c r="H46" s="49">
        <v>1257877</v>
      </c>
      <c r="I46" s="49">
        <v>397105</v>
      </c>
      <c r="J46" s="49">
        <v>239714</v>
      </c>
      <c r="K46" s="49">
        <v>157391</v>
      </c>
      <c r="L46" s="49">
        <v>1654982</v>
      </c>
      <c r="M46" s="49">
        <v>397105</v>
      </c>
      <c r="N46" s="49">
        <v>1257877</v>
      </c>
      <c r="O46" s="49">
        <v>157391</v>
      </c>
      <c r="P46" s="49">
        <v>239714</v>
      </c>
      <c r="T46" s="48" t="s">
        <v>239</v>
      </c>
      <c r="U46" s="49">
        <v>1654982</v>
      </c>
      <c r="V46" s="49">
        <v>397105</v>
      </c>
      <c r="W46" s="49">
        <v>1257877</v>
      </c>
      <c r="X46" s="49">
        <v>157391</v>
      </c>
      <c r="Y46" s="49">
        <v>239714</v>
      </c>
      <c r="Z46" s="49">
        <v>1257877</v>
      </c>
      <c r="AA46" s="49">
        <v>397105</v>
      </c>
      <c r="AB46" s="49">
        <v>239714</v>
      </c>
      <c r="AC46" s="49">
        <v>157391</v>
      </c>
      <c r="AD46" s="49">
        <v>1654982</v>
      </c>
      <c r="AE46" s="49">
        <v>397105</v>
      </c>
      <c r="AF46" s="49">
        <v>1257877</v>
      </c>
      <c r="AG46" s="49">
        <v>157391</v>
      </c>
      <c r="AH46" s="49">
        <v>239714</v>
      </c>
    </row>
    <row r="47" spans="2:34">
      <c r="B47" s="48" t="s">
        <v>259</v>
      </c>
      <c r="C47" s="49">
        <v>1220340</v>
      </c>
      <c r="D47" s="49">
        <v>268205</v>
      </c>
      <c r="E47" s="49">
        <v>952135</v>
      </c>
      <c r="F47" s="49">
        <v>90269</v>
      </c>
      <c r="G47" s="49">
        <v>177935</v>
      </c>
      <c r="H47" s="49">
        <v>282187</v>
      </c>
      <c r="I47" s="49">
        <v>149842</v>
      </c>
      <c r="J47" s="49">
        <v>97827</v>
      </c>
      <c r="K47" s="49">
        <v>52015</v>
      </c>
      <c r="L47" s="49">
        <v>1034729</v>
      </c>
      <c r="M47" s="49">
        <v>189972</v>
      </c>
      <c r="N47" s="49">
        <v>844757</v>
      </c>
      <c r="O47" s="49">
        <v>59612</v>
      </c>
      <c r="P47" s="49">
        <v>130360</v>
      </c>
      <c r="T47" s="48" t="s">
        <v>259</v>
      </c>
      <c r="U47" s="49">
        <v>1238505</v>
      </c>
      <c r="V47" s="49">
        <v>273934</v>
      </c>
      <c r="W47" s="49">
        <v>964572</v>
      </c>
      <c r="X47" s="49">
        <v>90083</v>
      </c>
      <c r="Y47" s="49">
        <v>183851</v>
      </c>
      <c r="Z47" s="49">
        <v>324250</v>
      </c>
      <c r="AA47" s="49">
        <v>159045</v>
      </c>
      <c r="AB47" s="49">
        <v>103712</v>
      </c>
      <c r="AC47" s="49">
        <v>55333</v>
      </c>
      <c r="AD47" s="49">
        <v>1041004</v>
      </c>
      <c r="AE47" s="49">
        <v>194773</v>
      </c>
      <c r="AF47" s="49">
        <v>846231</v>
      </c>
      <c r="AG47" s="49">
        <v>58361</v>
      </c>
      <c r="AH47" s="49">
        <v>136412</v>
      </c>
    </row>
    <row r="50" spans="2:34" ht="14.5" customHeight="1">
      <c r="B50" s="159" t="s">
        <v>326</v>
      </c>
      <c r="C50" s="161" t="s">
        <v>320</v>
      </c>
      <c r="D50" s="45" t="s">
        <v>240</v>
      </c>
      <c r="E50" s="45" t="s">
        <v>240</v>
      </c>
      <c r="F50" s="45" t="s">
        <v>240</v>
      </c>
      <c r="G50" s="45" t="s">
        <v>240</v>
      </c>
      <c r="H50" s="45" t="s">
        <v>186</v>
      </c>
      <c r="I50" s="45" t="s">
        <v>234</v>
      </c>
      <c r="J50" s="45" t="s">
        <v>234</v>
      </c>
      <c r="K50" s="45" t="s">
        <v>234</v>
      </c>
      <c r="L50" s="45" t="s">
        <v>178</v>
      </c>
      <c r="M50" s="45" t="s">
        <v>178</v>
      </c>
      <c r="N50" s="45" t="s">
        <v>178</v>
      </c>
      <c r="O50" s="45" t="s">
        <v>178</v>
      </c>
      <c r="P50" s="45" t="s">
        <v>178</v>
      </c>
      <c r="T50" s="159" t="s">
        <v>325</v>
      </c>
      <c r="U50" s="161" t="s">
        <v>320</v>
      </c>
      <c r="V50" s="45" t="s">
        <v>240</v>
      </c>
      <c r="W50" s="45" t="s">
        <v>240</v>
      </c>
      <c r="X50" s="45" t="s">
        <v>240</v>
      </c>
      <c r="Y50" s="45" t="s">
        <v>240</v>
      </c>
      <c r="Z50" s="45" t="s">
        <v>186</v>
      </c>
      <c r="AA50" s="45" t="s">
        <v>234</v>
      </c>
      <c r="AB50" s="45" t="s">
        <v>234</v>
      </c>
      <c r="AC50" s="45" t="s">
        <v>234</v>
      </c>
      <c r="AD50" s="45" t="s">
        <v>178</v>
      </c>
      <c r="AE50" s="45" t="s">
        <v>178</v>
      </c>
      <c r="AF50" s="45" t="s">
        <v>178</v>
      </c>
      <c r="AG50" s="45" t="s">
        <v>178</v>
      </c>
      <c r="AH50" s="45" t="s">
        <v>178</v>
      </c>
    </row>
    <row r="51" spans="2:34">
      <c r="B51" s="160"/>
      <c r="C51" s="162"/>
      <c r="D51" s="45" t="s">
        <v>242</v>
      </c>
      <c r="E51" s="45" t="s">
        <v>165</v>
      </c>
      <c r="F51" s="45" t="s">
        <v>210</v>
      </c>
      <c r="G51" s="45" t="s">
        <v>217</v>
      </c>
      <c r="H51" s="45" t="s">
        <v>165</v>
      </c>
      <c r="I51" s="45" t="s">
        <v>241</v>
      </c>
      <c r="J51" s="45" t="s">
        <v>217</v>
      </c>
      <c r="K51" s="45" t="s">
        <v>210</v>
      </c>
      <c r="L51" s="45" t="s">
        <v>241</v>
      </c>
      <c r="M51" s="45" t="s">
        <v>242</v>
      </c>
      <c r="N51" s="45" t="s">
        <v>165</v>
      </c>
      <c r="O51" s="45" t="s">
        <v>210</v>
      </c>
      <c r="P51" s="45" t="s">
        <v>217</v>
      </c>
      <c r="T51" s="160"/>
      <c r="U51" s="162"/>
      <c r="V51" s="45" t="s">
        <v>242</v>
      </c>
      <c r="W51" s="45" t="s">
        <v>165</v>
      </c>
      <c r="X51" s="45" t="s">
        <v>210</v>
      </c>
      <c r="Y51" s="45" t="s">
        <v>217</v>
      </c>
      <c r="Z51" s="45" t="s">
        <v>165</v>
      </c>
      <c r="AA51" s="45" t="s">
        <v>241</v>
      </c>
      <c r="AB51" s="45" t="s">
        <v>217</v>
      </c>
      <c r="AC51" s="45" t="s">
        <v>210</v>
      </c>
      <c r="AD51" s="45" t="s">
        <v>241</v>
      </c>
      <c r="AE51" s="45" t="s">
        <v>242</v>
      </c>
      <c r="AF51" s="45" t="s">
        <v>165</v>
      </c>
      <c r="AG51" s="45" t="s">
        <v>210</v>
      </c>
      <c r="AH51" s="45" t="s">
        <v>217</v>
      </c>
    </row>
    <row r="52" spans="2:34">
      <c r="B52" s="46" t="s">
        <v>243</v>
      </c>
      <c r="C52" s="47">
        <v>88.864205417107698</v>
      </c>
      <c r="D52" s="47">
        <v>75.529969622378104</v>
      </c>
      <c r="E52" s="47">
        <v>93.073751903184004</v>
      </c>
      <c r="F52" s="47">
        <v>61.304821352657903</v>
      </c>
      <c r="G52" s="47">
        <v>84.869892661163902</v>
      </c>
      <c r="H52" s="47">
        <v>33.111271288445998</v>
      </c>
      <c r="I52" s="47">
        <v>47.251028748999303</v>
      </c>
      <c r="J52" s="47">
        <v>51.703189891352999</v>
      </c>
      <c r="K52" s="47">
        <v>40.470174976685897</v>
      </c>
      <c r="L52" s="47">
        <v>83.204198960769403</v>
      </c>
      <c r="M52" s="47">
        <v>60.5572650416863</v>
      </c>
      <c r="N52" s="47">
        <v>90.353714131121905</v>
      </c>
      <c r="O52" s="47">
        <v>46.641047185940998</v>
      </c>
      <c r="P52" s="47">
        <v>69.694351088114999</v>
      </c>
      <c r="T52" s="46" t="s">
        <v>243</v>
      </c>
      <c r="U52" s="47">
        <v>89.760214306596595</v>
      </c>
      <c r="V52" s="47">
        <v>76.643693606546904</v>
      </c>
      <c r="W52" s="47">
        <v>93.901029308852898</v>
      </c>
      <c r="X52" s="47">
        <v>62.18413443723</v>
      </c>
      <c r="Y52" s="47">
        <v>86.137525744919998</v>
      </c>
      <c r="Z52" s="47">
        <v>36.329193627362997</v>
      </c>
      <c r="AA52" s="47">
        <v>49.613157074950998</v>
      </c>
      <c r="AB52" s="47">
        <v>54.330542231510996</v>
      </c>
      <c r="AC52" s="47">
        <v>42.428354478743998</v>
      </c>
      <c r="AD52" s="47">
        <v>84.224062310585396</v>
      </c>
      <c r="AE52" s="47">
        <v>62.324155655285601</v>
      </c>
      <c r="AF52" s="47">
        <v>91.137744993672001</v>
      </c>
      <c r="AG52" s="47">
        <v>48.603521379347903</v>
      </c>
      <c r="AH52" s="47">
        <v>71.332825776029907</v>
      </c>
    </row>
    <row r="53" spans="2:34">
      <c r="B53" s="46" t="s">
        <v>244</v>
      </c>
      <c r="C53" s="47">
        <v>87.395849193994295</v>
      </c>
      <c r="D53" s="47">
        <v>74.385035253618099</v>
      </c>
      <c r="E53" s="47">
        <v>91.503293141051898</v>
      </c>
      <c r="F53" s="47">
        <v>60.290175552321003</v>
      </c>
      <c r="G53" s="47">
        <v>83.639413651403999</v>
      </c>
      <c r="H53" s="47">
        <v>29.975647220960902</v>
      </c>
      <c r="I53" s="47">
        <v>45.785260707510801</v>
      </c>
      <c r="J53" s="47">
        <v>50.289437425187998</v>
      </c>
      <c r="K53" s="47">
        <v>38.925184733018902</v>
      </c>
      <c r="L53" s="47">
        <v>81.376400146265098</v>
      </c>
      <c r="M53" s="47">
        <v>58.927013977630502</v>
      </c>
      <c r="N53" s="47">
        <v>88.463550554846904</v>
      </c>
      <c r="O53" s="47">
        <v>45.124022374313903</v>
      </c>
      <c r="P53" s="47">
        <v>67.989758128733996</v>
      </c>
      <c r="T53" s="46" t="s">
        <v>244</v>
      </c>
      <c r="U53" s="47">
        <v>88.458406026113906</v>
      </c>
      <c r="V53" s="47">
        <v>75.669590245216199</v>
      </c>
      <c r="W53" s="47">
        <v>92.495766348842906</v>
      </c>
      <c r="X53" s="47">
        <v>61.353161599469999</v>
      </c>
      <c r="Y53" s="47">
        <v>85.069445994077995</v>
      </c>
      <c r="Z53" s="47">
        <v>33.605859929382</v>
      </c>
      <c r="AA53" s="47">
        <v>48.166050233057199</v>
      </c>
      <c r="AB53" s="47">
        <v>52.925079518414996</v>
      </c>
      <c r="AC53" s="47">
        <v>40.917821642412001</v>
      </c>
      <c r="AD53" s="47">
        <v>82.499287332422995</v>
      </c>
      <c r="AE53" s="47">
        <v>60.814174378268298</v>
      </c>
      <c r="AF53" s="47">
        <v>89.345160799908001</v>
      </c>
      <c r="AG53" s="47">
        <v>47.147621012037</v>
      </c>
      <c r="AH53" s="47">
        <v>69.787336149647999</v>
      </c>
    </row>
    <row r="54" spans="2:34">
      <c r="B54" s="46" t="s">
        <v>245</v>
      </c>
      <c r="C54" s="47">
        <v>85.910610929670497</v>
      </c>
      <c r="D54" s="47">
        <v>73.192838048409598</v>
      </c>
      <c r="E54" s="47">
        <v>89.925543391280996</v>
      </c>
      <c r="F54" s="47">
        <v>59.159173579388998</v>
      </c>
      <c r="G54" s="47">
        <v>82.407036987326904</v>
      </c>
      <c r="H54" s="47">
        <v>27.267394880973001</v>
      </c>
      <c r="I54" s="47">
        <v>44.282057692471703</v>
      </c>
      <c r="J54" s="47">
        <v>48.851115329445001</v>
      </c>
      <c r="K54" s="47">
        <v>37.323164983298902</v>
      </c>
      <c r="L54" s="47">
        <v>79.572134404326206</v>
      </c>
      <c r="M54" s="47">
        <v>57.276200742727198</v>
      </c>
      <c r="N54" s="47">
        <v>86.610840682196994</v>
      </c>
      <c r="O54" s="47">
        <v>43.534886698641003</v>
      </c>
      <c r="P54" s="47">
        <v>66.298448749571904</v>
      </c>
      <c r="T54" s="46" t="s">
        <v>245</v>
      </c>
      <c r="U54" s="47">
        <v>87.121183666549598</v>
      </c>
      <c r="V54" s="47">
        <v>74.639009301336003</v>
      </c>
      <c r="W54" s="47">
        <v>91.061738944448905</v>
      </c>
      <c r="X54" s="47">
        <v>60.407530490345998</v>
      </c>
      <c r="Y54" s="47">
        <v>83.983088835866994</v>
      </c>
      <c r="Z54" s="47">
        <v>31.018258453337999</v>
      </c>
      <c r="AA54" s="47">
        <v>46.679923165945098</v>
      </c>
      <c r="AB54" s="47">
        <v>51.494847422654999</v>
      </c>
      <c r="AC54" s="47">
        <v>39.346563867935998</v>
      </c>
      <c r="AD54" s="47">
        <v>80.777561961064904</v>
      </c>
      <c r="AE54" s="47">
        <v>59.272294422269397</v>
      </c>
      <c r="AF54" s="47">
        <v>87.566659198707001</v>
      </c>
      <c r="AG54" s="47">
        <v>45.6199094103089</v>
      </c>
      <c r="AH54" s="47">
        <v>68.236153560314904</v>
      </c>
    </row>
    <row r="55" spans="2:34">
      <c r="B55" s="46" t="s">
        <v>246</v>
      </c>
      <c r="C55" s="47">
        <v>84.040542451965294</v>
      </c>
      <c r="D55" s="47">
        <v>71.748984047730701</v>
      </c>
      <c r="E55" s="47">
        <v>87.920921296727997</v>
      </c>
      <c r="F55" s="47">
        <v>57.672211607205</v>
      </c>
      <c r="G55" s="47">
        <v>80.991486743387995</v>
      </c>
      <c r="H55" s="47">
        <v>23.622000938016001</v>
      </c>
      <c r="I55" s="47">
        <v>42.636036833676997</v>
      </c>
      <c r="J55" s="47">
        <v>47.363753851088902</v>
      </c>
      <c r="K55" s="47">
        <v>35.435498320599002</v>
      </c>
      <c r="L55" s="47">
        <v>77.330891174624696</v>
      </c>
      <c r="M55" s="47">
        <v>55.435439786499401</v>
      </c>
      <c r="N55" s="47">
        <v>84.243167353838999</v>
      </c>
      <c r="O55" s="47">
        <v>41.729817937001997</v>
      </c>
      <c r="P55" s="47">
        <v>64.434253074476999</v>
      </c>
      <c r="T55" s="46" t="s">
        <v>246</v>
      </c>
      <c r="U55" s="47">
        <v>85.470718446611798</v>
      </c>
      <c r="V55" s="47">
        <v>73.393481703290504</v>
      </c>
      <c r="W55" s="47">
        <v>89.283437096333998</v>
      </c>
      <c r="X55" s="47">
        <v>59.146689011513999</v>
      </c>
      <c r="Y55" s="47">
        <v>82.747615998956903</v>
      </c>
      <c r="Z55" s="47">
        <v>27.978815496762</v>
      </c>
      <c r="AA55" s="47">
        <v>45.061442837381797</v>
      </c>
      <c r="AB55" s="47">
        <v>50.019271376372998</v>
      </c>
      <c r="AC55" s="47">
        <v>37.510433501423996</v>
      </c>
      <c r="AD55" s="47">
        <v>78.668235465824694</v>
      </c>
      <c r="AE55" s="47">
        <v>57.5674991013748</v>
      </c>
      <c r="AF55" s="47">
        <v>85.329624388592904</v>
      </c>
      <c r="AG55" s="47">
        <v>43.892444722580997</v>
      </c>
      <c r="AH55" s="47">
        <v>66.546242452754996</v>
      </c>
    </row>
    <row r="56" spans="2:34">
      <c r="B56" s="46" t="s">
        <v>247</v>
      </c>
      <c r="C56" s="47">
        <v>81.656344176363504</v>
      </c>
      <c r="D56" s="47">
        <v>69.989158081636802</v>
      </c>
      <c r="E56" s="47">
        <v>85.339612042892895</v>
      </c>
      <c r="F56" s="47">
        <v>55.744294697675898</v>
      </c>
      <c r="G56" s="47">
        <v>79.342025635742999</v>
      </c>
      <c r="H56" s="47">
        <v>19.790237365821</v>
      </c>
      <c r="I56" s="47">
        <v>40.781206248049401</v>
      </c>
      <c r="J56" s="47">
        <v>45.785904224774903</v>
      </c>
      <c r="K56" s="47">
        <v>33.158812522913998</v>
      </c>
      <c r="L56" s="47">
        <v>74.505445113468397</v>
      </c>
      <c r="M56" s="47">
        <v>53.261595400211803</v>
      </c>
      <c r="N56" s="47">
        <v>81.212014150331996</v>
      </c>
      <c r="O56" s="47">
        <v>39.587565966195001</v>
      </c>
      <c r="P56" s="47">
        <v>62.239665795138002</v>
      </c>
      <c r="T56" s="46" t="s">
        <v>247</v>
      </c>
      <c r="U56" s="47">
        <v>83.378400192643497</v>
      </c>
      <c r="V56" s="47">
        <v>71.889598615023104</v>
      </c>
      <c r="W56" s="47">
        <v>87.005353027046993</v>
      </c>
      <c r="X56" s="47">
        <v>57.488039261912903</v>
      </c>
      <c r="Y56" s="47">
        <v>81.345349335237003</v>
      </c>
      <c r="Z56" s="47">
        <v>24.678994392585</v>
      </c>
      <c r="AA56" s="47">
        <v>43.2478883022725</v>
      </c>
      <c r="AB56" s="47">
        <v>48.461796564830998</v>
      </c>
      <c r="AC56" s="47">
        <v>35.306857333215</v>
      </c>
      <c r="AD56" s="47">
        <v>76.033520849841807</v>
      </c>
      <c r="AE56" s="47">
        <v>55.585547897564503</v>
      </c>
      <c r="AF56" s="47">
        <v>82.488835876043893</v>
      </c>
      <c r="AG56" s="47">
        <v>41.847971887371003</v>
      </c>
      <c r="AH56" s="47">
        <v>64.605341592635995</v>
      </c>
    </row>
    <row r="57" spans="2:34">
      <c r="B57" s="46" t="s">
        <v>248</v>
      </c>
      <c r="C57" s="47">
        <v>73.001528210285599</v>
      </c>
      <c r="D57" s="47">
        <v>63.111668217318801</v>
      </c>
      <c r="E57" s="47">
        <v>76.123703790653906</v>
      </c>
      <c r="F57" s="47">
        <v>47.152614839186903</v>
      </c>
      <c r="G57" s="47">
        <v>73.590035647829893</v>
      </c>
      <c r="H57" s="47">
        <v>9.3447489927089897</v>
      </c>
      <c r="I57" s="47">
        <v>33.402067568173401</v>
      </c>
      <c r="J57" s="47">
        <v>39.847644484166999</v>
      </c>
      <c r="K57" s="47">
        <v>23.585146493648999</v>
      </c>
      <c r="L57" s="47">
        <v>64.629192562780602</v>
      </c>
      <c r="M57" s="47">
        <v>45.229909132562398</v>
      </c>
      <c r="N57" s="47">
        <v>70.753441950086994</v>
      </c>
      <c r="O57" s="47">
        <v>30.571510676498999</v>
      </c>
      <c r="P57" s="47">
        <v>54.854294823002903</v>
      </c>
      <c r="T57" s="46" t="s">
        <v>248</v>
      </c>
      <c r="U57" s="47">
        <v>75.716500292187206</v>
      </c>
      <c r="V57" s="47">
        <v>65.869122715759602</v>
      </c>
      <c r="W57" s="47">
        <v>78.825264402260999</v>
      </c>
      <c r="X57" s="47">
        <v>49.932678413591901</v>
      </c>
      <c r="Y57" s="47">
        <v>76.332645518609993</v>
      </c>
      <c r="Z57" s="47">
        <v>14.0552263902179</v>
      </c>
      <c r="AA57" s="47">
        <v>36.051552151362699</v>
      </c>
      <c r="AB57" s="47">
        <v>42.668257935029999</v>
      </c>
      <c r="AC57" s="47">
        <v>25.9739936491229</v>
      </c>
      <c r="AD57" s="47">
        <v>66.818905048947101</v>
      </c>
      <c r="AE57" s="47">
        <v>48.1090541642236</v>
      </c>
      <c r="AF57" s="47">
        <v>72.725504291621903</v>
      </c>
      <c r="AG57" s="47">
        <v>33.166203387095898</v>
      </c>
      <c r="AH57" s="47">
        <v>57.920205063474</v>
      </c>
    </row>
    <row r="58" spans="2:34">
      <c r="B58" s="46" t="s">
        <v>249</v>
      </c>
      <c r="C58" s="47">
        <v>66.508190213094593</v>
      </c>
      <c r="D58" s="47">
        <v>57.764337743295201</v>
      </c>
      <c r="E58" s="47">
        <v>69.268577385306003</v>
      </c>
      <c r="F58" s="47">
        <v>40.518315470411999</v>
      </c>
      <c r="G58" s="47">
        <v>69.087700965932996</v>
      </c>
      <c r="H58" s="47">
        <v>4.9663611006749901</v>
      </c>
      <c r="I58" s="47">
        <v>27.209305922489801</v>
      </c>
      <c r="J58" s="47">
        <v>34.446121285640999</v>
      </c>
      <c r="K58" s="47">
        <v>16.187290953639</v>
      </c>
      <c r="L58" s="47">
        <v>57.470220281214999</v>
      </c>
      <c r="M58" s="47">
        <v>39.088000919316499</v>
      </c>
      <c r="N58" s="47">
        <v>63.273388015187898</v>
      </c>
      <c r="O58" s="47">
        <v>23.202020074701</v>
      </c>
      <c r="P58" s="47">
        <v>49.518390513227999</v>
      </c>
      <c r="T58" s="46" t="s">
        <v>249</v>
      </c>
      <c r="U58" s="47">
        <v>69.889473067813796</v>
      </c>
      <c r="V58" s="47">
        <v>61.025597271395803</v>
      </c>
      <c r="W58" s="47">
        <v>72.6877509583679</v>
      </c>
      <c r="X58" s="47">
        <v>43.847100772058901</v>
      </c>
      <c r="Y58" s="47">
        <v>72.304624539420004</v>
      </c>
      <c r="Z58" s="47">
        <v>8.7456894877949996</v>
      </c>
      <c r="AA58" s="47">
        <v>29.916939315389101</v>
      </c>
      <c r="AB58" s="47">
        <v>37.381293131325002</v>
      </c>
      <c r="AC58" s="47">
        <v>18.548372430158999</v>
      </c>
      <c r="AD58" s="47">
        <v>60.114531925020501</v>
      </c>
      <c r="AE58" s="47">
        <v>42.185609416913501</v>
      </c>
      <c r="AF58" s="47">
        <v>65.774596281537001</v>
      </c>
      <c r="AG58" s="47">
        <v>25.851245377775999</v>
      </c>
      <c r="AH58" s="47">
        <v>52.910397666593902</v>
      </c>
    </row>
    <row r="59" spans="2:34">
      <c r="B59" s="46" t="s">
        <v>250</v>
      </c>
      <c r="C59" s="47">
        <v>59.882415239752198</v>
      </c>
      <c r="D59" s="47">
        <v>52.194402475253902</v>
      </c>
      <c r="E59" s="47">
        <v>62.309479498694998</v>
      </c>
      <c r="F59" s="47">
        <v>33.971607829847997</v>
      </c>
      <c r="G59" s="47">
        <v>64.159093198511997</v>
      </c>
      <c r="H59" s="47">
        <v>2.6013844389779899</v>
      </c>
      <c r="I59" s="47">
        <v>20.861708002826301</v>
      </c>
      <c r="J59" s="47">
        <v>28.225910064143999</v>
      </c>
      <c r="K59" s="47">
        <v>9.6456770167679995</v>
      </c>
      <c r="L59" s="47">
        <v>50.482630997131302</v>
      </c>
      <c r="M59" s="47">
        <v>33.297157974778003</v>
      </c>
      <c r="N59" s="47">
        <v>55.907992351653</v>
      </c>
      <c r="O59" s="47">
        <v>16.721630458688999</v>
      </c>
      <c r="P59" s="47">
        <v>44.180288919506999</v>
      </c>
      <c r="T59" s="46" t="s">
        <v>250</v>
      </c>
      <c r="U59" s="47">
        <v>63.833788791853699</v>
      </c>
      <c r="V59" s="47">
        <v>55.857112488608003</v>
      </c>
      <c r="W59" s="47">
        <v>66.351982576620003</v>
      </c>
      <c r="X59" s="47">
        <v>37.671034982567903</v>
      </c>
      <c r="Y59" s="47">
        <v>67.797695536544893</v>
      </c>
      <c r="Z59" s="47">
        <v>5.3713604825400001</v>
      </c>
      <c r="AA59" s="47">
        <v>23.451097013076801</v>
      </c>
      <c r="AB59" s="47">
        <v>31.173866107332</v>
      </c>
      <c r="AC59" s="47">
        <v>11.688951333462001</v>
      </c>
      <c r="AD59" s="47">
        <v>53.459203198770901</v>
      </c>
      <c r="AE59" s="47">
        <v>36.443467926167401</v>
      </c>
      <c r="AF59" s="47">
        <v>58.830979259090903</v>
      </c>
      <c r="AG59" s="47">
        <v>19.188281441160001</v>
      </c>
      <c r="AH59" s="47">
        <v>47.772848171216999</v>
      </c>
    </row>
    <row r="60" spans="2:34">
      <c r="B60" s="46" t="s">
        <v>251</v>
      </c>
      <c r="C60" s="47">
        <v>53.272137895593097</v>
      </c>
      <c r="D60" s="47">
        <v>46.558394288331399</v>
      </c>
      <c r="E60" s="47">
        <v>55.391630624343001</v>
      </c>
      <c r="F60" s="47">
        <v>27.796840435415898</v>
      </c>
      <c r="G60" s="47">
        <v>58.876822592327997</v>
      </c>
      <c r="H60" s="47">
        <v>1.375999132911</v>
      </c>
      <c r="I60" s="47">
        <v>15.437087170934999</v>
      </c>
      <c r="J60" s="47">
        <v>22.219934027381999</v>
      </c>
      <c r="K60" s="47">
        <v>5.1064878905039999</v>
      </c>
      <c r="L60" s="47">
        <v>43.837880801296897</v>
      </c>
      <c r="M60" s="47">
        <v>28.152752569984401</v>
      </c>
      <c r="N60" s="47">
        <v>48.789591378956999</v>
      </c>
      <c r="O60" s="47">
        <v>11.690149851977999</v>
      </c>
      <c r="P60" s="47">
        <v>38.961739547756999</v>
      </c>
      <c r="T60" s="46" t="s">
        <v>251</v>
      </c>
      <c r="U60" s="47">
        <v>57.656741772668397</v>
      </c>
      <c r="V60" s="47">
        <v>50.502368592571997</v>
      </c>
      <c r="W60" s="47">
        <v>59.915338886442001</v>
      </c>
      <c r="X60" s="47">
        <v>31.666656970494</v>
      </c>
      <c r="Y60" s="47">
        <v>62.869487275295903</v>
      </c>
      <c r="Z60" s="47">
        <v>3.2654635733849999</v>
      </c>
      <c r="AA60" s="47">
        <v>17.731383994301702</v>
      </c>
      <c r="AB60" s="47">
        <v>24.998799083270999</v>
      </c>
      <c r="AC60" s="47">
        <v>6.6627641835299896</v>
      </c>
      <c r="AD60" s="47">
        <v>47.004742604806502</v>
      </c>
      <c r="AE60" s="47">
        <v>31.2243119527791</v>
      </c>
      <c r="AF60" s="47">
        <v>51.986539643843997</v>
      </c>
      <c r="AG60" s="47">
        <v>13.884537378230901</v>
      </c>
      <c r="AH60" s="47">
        <v>42.609230898116998</v>
      </c>
    </row>
    <row r="61" spans="2:34">
      <c r="B61" s="46" t="s">
        <v>252</v>
      </c>
      <c r="C61" s="47">
        <v>50.0197524355562</v>
      </c>
      <c r="D61" s="47">
        <v>43.780230481947498</v>
      </c>
      <c r="E61" s="47">
        <v>51.989535940133898</v>
      </c>
      <c r="F61" s="47">
        <v>24.8962258736099</v>
      </c>
      <c r="G61" s="47">
        <v>56.179057289354901</v>
      </c>
      <c r="H61" s="47">
        <v>0.99696765222599903</v>
      </c>
      <c r="I61" s="47">
        <v>13.235512380708601</v>
      </c>
      <c r="J61" s="47">
        <v>19.581095884779</v>
      </c>
      <c r="K61" s="47">
        <v>3.5708860418789898</v>
      </c>
      <c r="L61" s="47">
        <v>40.664546438281</v>
      </c>
      <c r="M61" s="47">
        <v>25.782819865736101</v>
      </c>
      <c r="N61" s="47">
        <v>45.362627435541</v>
      </c>
      <c r="O61" s="47">
        <v>9.6439791155370003</v>
      </c>
      <c r="P61" s="47">
        <v>36.379231775405998</v>
      </c>
      <c r="T61" s="46" t="s">
        <v>252</v>
      </c>
      <c r="U61" s="47">
        <v>54.5683632706682</v>
      </c>
      <c r="V61" s="47">
        <v>47.818957195097802</v>
      </c>
      <c r="W61" s="47">
        <v>56.6991144487559</v>
      </c>
      <c r="X61" s="47">
        <v>28.783321050626999</v>
      </c>
      <c r="Y61" s="47">
        <v>60.317341972016898</v>
      </c>
      <c r="Z61" s="47">
        <v>2.5272760440719999</v>
      </c>
      <c r="AA61" s="47">
        <v>15.35431281859</v>
      </c>
      <c r="AB61" s="47">
        <v>22.228523410080001</v>
      </c>
      <c r="AC61" s="47">
        <v>4.8845622119579897</v>
      </c>
      <c r="AD61" s="47">
        <v>43.8810636781905</v>
      </c>
      <c r="AE61" s="47">
        <v>28.783866998967699</v>
      </c>
      <c r="AF61" s="47">
        <v>48.647167428638902</v>
      </c>
      <c r="AG61" s="47">
        <v>11.685255901371001</v>
      </c>
      <c r="AH61" s="47">
        <v>40.010443249256902</v>
      </c>
    </row>
    <row r="62" spans="2:34">
      <c r="B62" s="46" t="s">
        <v>253</v>
      </c>
      <c r="C62" s="47">
        <v>46.833094202047697</v>
      </c>
      <c r="D62" s="47">
        <v>41.069086187047802</v>
      </c>
      <c r="E62" s="47">
        <v>48.6527605150469</v>
      </c>
      <c r="F62" s="47">
        <v>22.131543286827</v>
      </c>
      <c r="G62" s="47">
        <v>53.503065072755902</v>
      </c>
      <c r="H62" s="47">
        <v>0.71691382565399997</v>
      </c>
      <c r="I62" s="47">
        <v>11.357618403772401</v>
      </c>
      <c r="J62" s="47">
        <v>17.229203050214998</v>
      </c>
      <c r="K62" s="47">
        <v>2.4149149331969899</v>
      </c>
      <c r="L62" s="47">
        <v>37.607146537412497</v>
      </c>
      <c r="M62" s="47">
        <v>23.5363441869452</v>
      </c>
      <c r="N62" s="47">
        <v>42.049223121516</v>
      </c>
      <c r="O62" s="47">
        <v>7.8648782550779899</v>
      </c>
      <c r="P62" s="47">
        <v>33.825887953611002</v>
      </c>
      <c r="T62" s="46" t="s">
        <v>253</v>
      </c>
      <c r="U62" s="47">
        <v>51.512976011330402</v>
      </c>
      <c r="V62" s="47">
        <v>45.173067542198503</v>
      </c>
      <c r="W62" s="47">
        <v>53.514450998657999</v>
      </c>
      <c r="X62" s="47">
        <v>25.995566982410899</v>
      </c>
      <c r="Y62" s="47">
        <v>57.764597409479997</v>
      </c>
      <c r="Z62" s="47">
        <v>1.9442966625810001</v>
      </c>
      <c r="AA62" s="47">
        <v>13.302118667064899</v>
      </c>
      <c r="AB62" s="47">
        <v>19.735305267171</v>
      </c>
      <c r="AC62" s="47">
        <v>3.5040686346119898</v>
      </c>
      <c r="AD62" s="47">
        <v>40.8492121954162</v>
      </c>
      <c r="AE62" s="47">
        <v>26.4502484723943</v>
      </c>
      <c r="AF62" s="47">
        <v>45.394887558930002</v>
      </c>
      <c r="AG62" s="47">
        <v>9.7448544239670003</v>
      </c>
      <c r="AH62" s="47">
        <v>37.418646958406903</v>
      </c>
    </row>
    <row r="63" spans="2:34">
      <c r="B63" s="46" t="s">
        <v>254</v>
      </c>
      <c r="C63" s="47">
        <v>40.731371966957099</v>
      </c>
      <c r="D63" s="47">
        <v>35.926395846138803</v>
      </c>
      <c r="E63" s="47">
        <v>42.248277071715002</v>
      </c>
      <c r="F63" s="47">
        <v>17.036241569138902</v>
      </c>
      <c r="G63" s="47">
        <v>48.329260392269902</v>
      </c>
      <c r="H63" s="47">
        <v>0.36065419677299998</v>
      </c>
      <c r="I63" s="47">
        <v>8.3850534021260703</v>
      </c>
      <c r="J63" s="47">
        <v>13.2881745399779</v>
      </c>
      <c r="K63" s="47">
        <v>0.91736604745500006</v>
      </c>
      <c r="L63" s="47">
        <v>31.893367885653699</v>
      </c>
      <c r="M63" s="47">
        <v>19.447947368065101</v>
      </c>
      <c r="N63" s="47">
        <v>35.822320171637998</v>
      </c>
      <c r="O63" s="47">
        <v>4.9959245574029998</v>
      </c>
      <c r="P63" s="47">
        <v>28.9368312972179</v>
      </c>
      <c r="T63" s="46" t="s">
        <v>254</v>
      </c>
      <c r="U63" s="47">
        <v>45.581093362121301</v>
      </c>
      <c r="V63" s="47">
        <v>40.084581772243297</v>
      </c>
      <c r="W63" s="47">
        <v>47.316312493163998</v>
      </c>
      <c r="X63" s="47">
        <v>20.7446576107289</v>
      </c>
      <c r="Y63" s="47">
        <v>52.782755444639903</v>
      </c>
      <c r="Z63" s="47">
        <v>1.13090209638899</v>
      </c>
      <c r="AA63" s="47">
        <v>10.007350777980299</v>
      </c>
      <c r="AB63" s="47">
        <v>15.519616263684</v>
      </c>
      <c r="AC63" s="47">
        <v>1.6119075274769901</v>
      </c>
      <c r="AD63" s="47">
        <v>35.124452107187402</v>
      </c>
      <c r="AE63" s="47">
        <v>22.146826869008098</v>
      </c>
      <c r="AF63" s="47">
        <v>39.221418559556902</v>
      </c>
      <c r="AG63" s="47">
        <v>6.5372193689789997</v>
      </c>
      <c r="AH63" s="47">
        <v>32.395755734393902</v>
      </c>
    </row>
    <row r="64" spans="2:34">
      <c r="B64" s="46" t="s">
        <v>255</v>
      </c>
      <c r="C64" s="47">
        <v>35.074344025009502</v>
      </c>
      <c r="D64" s="47">
        <v>31.211771282207302</v>
      </c>
      <c r="E64" s="47">
        <v>36.293737454597903</v>
      </c>
      <c r="F64" s="47">
        <v>12.581048615537901</v>
      </c>
      <c r="G64" s="47">
        <v>43.444298674140001</v>
      </c>
      <c r="H64" s="47">
        <v>0.17608234530899999</v>
      </c>
      <c r="I64" s="47">
        <v>6.19525412058056</v>
      </c>
      <c r="J64" s="47">
        <v>10.150852571262</v>
      </c>
      <c r="K64" s="47">
        <v>0.17068901198699901</v>
      </c>
      <c r="L64" s="47">
        <v>26.776283487485401</v>
      </c>
      <c r="M64" s="47">
        <v>15.9690003177221</v>
      </c>
      <c r="N64" s="47">
        <v>30.188084627921999</v>
      </c>
      <c r="O64" s="47">
        <v>2.9042101173539998</v>
      </c>
      <c r="P64" s="47">
        <v>24.5470574792819</v>
      </c>
      <c r="T64" s="46" t="s">
        <v>255</v>
      </c>
      <c r="U64" s="47">
        <v>39.974561674796597</v>
      </c>
      <c r="V64" s="47">
        <v>35.337117208914897</v>
      </c>
      <c r="W64" s="47">
        <v>41.438577937613999</v>
      </c>
      <c r="X64" s="47">
        <v>16.002619225631999</v>
      </c>
      <c r="Y64" s="47">
        <v>48.031728170672899</v>
      </c>
      <c r="Z64" s="47">
        <v>0.64300518383399996</v>
      </c>
      <c r="AA64" s="47">
        <v>7.5170573473664497</v>
      </c>
      <c r="AB64" s="47">
        <v>12.111528986894999</v>
      </c>
      <c r="AC64" s="47">
        <v>0.51945790014299997</v>
      </c>
      <c r="AD64" s="47">
        <v>29.9251736034368</v>
      </c>
      <c r="AE64" s="47">
        <v>18.425615700977399</v>
      </c>
      <c r="AF64" s="47">
        <v>33.555522151710001</v>
      </c>
      <c r="AG64" s="47">
        <v>4.1015301148379999</v>
      </c>
      <c r="AH64" s="47">
        <v>27.830498830406899</v>
      </c>
    </row>
    <row r="65" spans="2:34">
      <c r="B65" s="46" t="s">
        <v>256</v>
      </c>
      <c r="C65" s="47">
        <v>23.180854034419099</v>
      </c>
      <c r="D65" s="47">
        <v>21.381045509109999</v>
      </c>
      <c r="E65" s="47">
        <v>23.749043900712</v>
      </c>
      <c r="F65" s="47">
        <v>4.5847328298720003</v>
      </c>
      <c r="G65" s="47">
        <v>32.409139191156001</v>
      </c>
      <c r="H65" s="47">
        <v>2.9863086356999999E-2</v>
      </c>
      <c r="I65" s="47">
        <v>2.9225998863054499</v>
      </c>
      <c r="J65" s="47">
        <v>4.8415154219249903</v>
      </c>
      <c r="K65" s="47">
        <v>0</v>
      </c>
      <c r="L65" s="47">
        <v>16.639225712634801</v>
      </c>
      <c r="M65" s="47">
        <v>9.7359950693934803</v>
      </c>
      <c r="N65" s="47">
        <v>18.818538478973998</v>
      </c>
      <c r="O65" s="47">
        <v>0.26327456734799998</v>
      </c>
      <c r="P65" s="47">
        <v>15.955577373878899</v>
      </c>
      <c r="T65" s="46" t="s">
        <v>256</v>
      </c>
      <c r="U65" s="47">
        <v>27.738305422982599</v>
      </c>
      <c r="V65" s="47">
        <v>25.097535473050801</v>
      </c>
      <c r="W65" s="47">
        <v>28.571982285638999</v>
      </c>
      <c r="X65" s="47">
        <v>6.9079610965949998</v>
      </c>
      <c r="Y65" s="47">
        <v>37.040414490065999</v>
      </c>
      <c r="Z65" s="47">
        <v>0.141724814516999</v>
      </c>
      <c r="AA65" s="47">
        <v>3.7081296216055901</v>
      </c>
      <c r="AB65" s="47">
        <v>6.1428069006720003</v>
      </c>
      <c r="AC65" s="47">
        <v>0</v>
      </c>
      <c r="AD65" s="47">
        <v>19.345841861886399</v>
      </c>
      <c r="AE65" s="47">
        <v>11.5879729301456</v>
      </c>
      <c r="AF65" s="47">
        <v>21.794959336917</v>
      </c>
      <c r="AG65" s="47">
        <v>0.67526530722299904</v>
      </c>
      <c r="AH65" s="47">
        <v>18.753019466765998</v>
      </c>
    </row>
    <row r="66" spans="2:34">
      <c r="B66" s="46" t="s">
        <v>257</v>
      </c>
      <c r="C66" s="47">
        <v>14.5787599583971</v>
      </c>
      <c r="D66" s="47">
        <v>14.280044930626801</v>
      </c>
      <c r="E66" s="47">
        <v>14.673062685215999</v>
      </c>
      <c r="F66" s="47">
        <v>0.76036012185900004</v>
      </c>
      <c r="G66" s="47">
        <v>23.156776000721901</v>
      </c>
      <c r="H66" s="47">
        <v>8.0899999829999996E-3</v>
      </c>
      <c r="I66" s="47">
        <v>1.1673518101835201</v>
      </c>
      <c r="J66" s="47">
        <v>1.933809625566</v>
      </c>
      <c r="K66" s="47">
        <v>0</v>
      </c>
      <c r="L66" s="47">
        <v>9.8704015857328091</v>
      </c>
      <c r="M66" s="47">
        <v>6.0467521484730904</v>
      </c>
      <c r="N66" s="47">
        <v>11.077507137215999</v>
      </c>
      <c r="O66" s="47">
        <v>0</v>
      </c>
      <c r="P66" s="47">
        <v>10.016918127098901</v>
      </c>
      <c r="T66" s="46" t="s">
        <v>257</v>
      </c>
      <c r="U66" s="47">
        <v>18.3476274331104</v>
      </c>
      <c r="V66" s="47">
        <v>17.286225282298801</v>
      </c>
      <c r="W66" s="47">
        <v>18.682706380494</v>
      </c>
      <c r="X66" s="47">
        <v>1.8366297492269901</v>
      </c>
      <c r="Y66" s="47">
        <v>27.430093769519999</v>
      </c>
      <c r="Z66" s="47">
        <v>2.86645678409999E-2</v>
      </c>
      <c r="AA66" s="47">
        <v>1.62767259681461</v>
      </c>
      <c r="AB66" s="47">
        <v>2.6963670313709902</v>
      </c>
      <c r="AC66" s="47">
        <v>0</v>
      </c>
      <c r="AD66" s="47">
        <v>11.962825740585</v>
      </c>
      <c r="AE66" s="47">
        <v>7.3821346112225399</v>
      </c>
      <c r="AF66" s="47">
        <v>13.408925280465001</v>
      </c>
      <c r="AG66" s="47">
        <v>0</v>
      </c>
      <c r="AH66" s="47">
        <v>12.2290836780059</v>
      </c>
    </row>
    <row r="67" spans="2:34">
      <c r="B67" s="46" t="s">
        <v>258</v>
      </c>
      <c r="C67" s="47">
        <v>5.1983987694013898</v>
      </c>
      <c r="D67" s="47">
        <v>6.2083316780305697</v>
      </c>
      <c r="E67" s="47">
        <v>4.8795683848079996</v>
      </c>
      <c r="F67" s="47">
        <v>0</v>
      </c>
      <c r="G67" s="47">
        <v>10.284587262339</v>
      </c>
      <c r="H67" s="47">
        <v>4.8939506069999904E-3</v>
      </c>
      <c r="I67" s="47">
        <v>2.3332566395053302E-2</v>
      </c>
      <c r="J67" s="47">
        <v>3.8652222140999899E-2</v>
      </c>
      <c r="K67" s="47">
        <v>0</v>
      </c>
      <c r="L67" s="47">
        <v>3.05368860477004</v>
      </c>
      <c r="M67" s="47">
        <v>2.0582699849114401</v>
      </c>
      <c r="N67" s="47">
        <v>3.367936906503</v>
      </c>
      <c r="O67" s="47">
        <v>0</v>
      </c>
      <c r="P67" s="47">
        <v>3.4096853014769999</v>
      </c>
      <c r="T67" s="46" t="s">
        <v>258</v>
      </c>
      <c r="U67" s="47">
        <v>7.2339789915600701</v>
      </c>
      <c r="V67" s="47">
        <v>7.9964985687563797</v>
      </c>
      <c r="W67" s="47">
        <v>6.9932556643169903</v>
      </c>
      <c r="X67" s="47">
        <v>0</v>
      </c>
      <c r="Y67" s="47">
        <v>13.246825651176</v>
      </c>
      <c r="Z67" s="47">
        <v>2.6966666609999999E-3</v>
      </c>
      <c r="AA67" s="47">
        <v>8.5733616056242606E-2</v>
      </c>
      <c r="AB67" s="47">
        <v>0.14202444414599999</v>
      </c>
      <c r="AC67" s="47">
        <v>0</v>
      </c>
      <c r="AD67" s="47">
        <v>4.0420102194219298</v>
      </c>
      <c r="AE67" s="47">
        <v>2.7208666378355599</v>
      </c>
      <c r="AF67" s="47">
        <v>4.4590881387779904</v>
      </c>
      <c r="AG67" s="47">
        <v>0</v>
      </c>
      <c r="AH67" s="47">
        <v>4.5073285090469897</v>
      </c>
    </row>
    <row r="68" spans="2:34">
      <c r="B68" s="48" t="s">
        <v>187</v>
      </c>
      <c r="C68" s="49">
        <v>38111378</v>
      </c>
      <c r="D68" s="49">
        <v>5815078</v>
      </c>
      <c r="E68" s="49">
        <v>32296300</v>
      </c>
      <c r="F68" s="49">
        <v>1288626</v>
      </c>
      <c r="G68" s="49">
        <v>4526452</v>
      </c>
      <c r="H68" s="49">
        <v>3871498</v>
      </c>
      <c r="I68" s="49">
        <v>2201377</v>
      </c>
      <c r="J68" s="49">
        <v>1655754</v>
      </c>
      <c r="K68" s="49">
        <v>545623</v>
      </c>
      <c r="L68" s="49">
        <v>32038503</v>
      </c>
      <c r="M68" s="49">
        <v>3613701</v>
      </c>
      <c r="N68" s="49">
        <v>28424802</v>
      </c>
      <c r="O68" s="49">
        <v>743003</v>
      </c>
      <c r="P68" s="49">
        <v>2870698</v>
      </c>
      <c r="T68" s="48" t="s">
        <v>187</v>
      </c>
      <c r="U68" s="49">
        <v>41321517</v>
      </c>
      <c r="V68" s="49">
        <v>6378819</v>
      </c>
      <c r="W68" s="49">
        <v>34942698</v>
      </c>
      <c r="X68" s="49">
        <v>1416625</v>
      </c>
      <c r="Y68" s="49">
        <v>4962194</v>
      </c>
      <c r="Z68" s="49">
        <v>4819240</v>
      </c>
      <c r="AA68" s="49">
        <v>2421539</v>
      </c>
      <c r="AB68" s="49">
        <v>1821351</v>
      </c>
      <c r="AC68" s="49">
        <v>600188</v>
      </c>
      <c r="AD68" s="49">
        <v>34080738</v>
      </c>
      <c r="AE68" s="49">
        <v>3957280</v>
      </c>
      <c r="AF68" s="49">
        <v>30123458</v>
      </c>
      <c r="AG68" s="49">
        <v>816437</v>
      </c>
      <c r="AH68" s="49">
        <v>3140843</v>
      </c>
    </row>
    <row r="69" spans="2:34">
      <c r="B69" s="46" t="s">
        <v>163</v>
      </c>
      <c r="C69" s="47">
        <v>2302.8273419287898</v>
      </c>
      <c r="D69" s="47">
        <v>1464.3678624041499</v>
      </c>
      <c r="E69" s="47">
        <v>2567.5244876883798</v>
      </c>
      <c r="F69" s="47">
        <v>818.74185944558405</v>
      </c>
      <c r="G69" s="47">
        <v>1888.2718572966101</v>
      </c>
      <c r="H69" s="47">
        <v>307.780331463251</v>
      </c>
      <c r="I69" s="47">
        <v>554.35640447740502</v>
      </c>
      <c r="J69" s="47">
        <v>690.72060872539703</v>
      </c>
      <c r="K69" s="47">
        <v>346.66721731229802</v>
      </c>
      <c r="L69" s="47">
        <v>1935.8822633720399</v>
      </c>
      <c r="M69" s="47">
        <v>910.01145792674401</v>
      </c>
      <c r="N69" s="47">
        <v>2259.7441562251302</v>
      </c>
      <c r="O69" s="47">
        <v>472.07464213328501</v>
      </c>
      <c r="P69" s="47">
        <v>1197.55124857121</v>
      </c>
      <c r="T69" s="46" t="s">
        <v>163</v>
      </c>
      <c r="U69" s="47">
        <v>2496.7955542718801</v>
      </c>
      <c r="V69" s="47">
        <v>1606.3305674821499</v>
      </c>
      <c r="W69" s="47">
        <v>2777.9105588225202</v>
      </c>
      <c r="X69" s="47">
        <v>900.067348196529</v>
      </c>
      <c r="Y69" s="47">
        <v>2070.0476401044498</v>
      </c>
      <c r="Z69" s="47">
        <v>383.12490012934398</v>
      </c>
      <c r="AA69" s="47">
        <v>609.79816421349506</v>
      </c>
      <c r="AB69" s="47">
        <v>759.80168033573295</v>
      </c>
      <c r="AC69" s="47">
        <v>381.33565451645899</v>
      </c>
      <c r="AD69" s="47">
        <v>2059.2814906748199</v>
      </c>
      <c r="AE69" s="47">
        <v>996.53240326865603</v>
      </c>
      <c r="AF69" s="47">
        <v>2394.7856586931698</v>
      </c>
      <c r="AG69" s="47">
        <v>518.73169368006995</v>
      </c>
      <c r="AH69" s="47">
        <v>1310.24595976872</v>
      </c>
    </row>
    <row r="70" spans="2:34">
      <c r="B70" s="48" t="s">
        <v>239</v>
      </c>
      <c r="C70" s="49">
        <v>1654982</v>
      </c>
      <c r="D70" s="49">
        <v>397105</v>
      </c>
      <c r="E70" s="49">
        <v>1257877</v>
      </c>
      <c r="F70" s="49">
        <v>157391</v>
      </c>
      <c r="G70" s="49">
        <v>239714</v>
      </c>
      <c r="H70" s="49">
        <v>1257877</v>
      </c>
      <c r="I70" s="49">
        <v>397105</v>
      </c>
      <c r="J70" s="49">
        <v>239714</v>
      </c>
      <c r="K70" s="49">
        <v>157391</v>
      </c>
      <c r="L70" s="49">
        <v>1654982</v>
      </c>
      <c r="M70" s="49">
        <v>397105</v>
      </c>
      <c r="N70" s="49">
        <v>1257877</v>
      </c>
      <c r="O70" s="49">
        <v>157391</v>
      </c>
      <c r="P70" s="49">
        <v>239714</v>
      </c>
      <c r="T70" s="48" t="s">
        <v>239</v>
      </c>
      <c r="U70" s="49">
        <v>1654982</v>
      </c>
      <c r="V70" s="49">
        <v>397105</v>
      </c>
      <c r="W70" s="49">
        <v>1257877</v>
      </c>
      <c r="X70" s="49">
        <v>157391</v>
      </c>
      <c r="Y70" s="49">
        <v>239714</v>
      </c>
      <c r="Z70" s="49">
        <v>1257877</v>
      </c>
      <c r="AA70" s="49">
        <v>397105</v>
      </c>
      <c r="AB70" s="49">
        <v>239714</v>
      </c>
      <c r="AC70" s="49">
        <v>157391</v>
      </c>
      <c r="AD70" s="49">
        <v>1654982</v>
      </c>
      <c r="AE70" s="49">
        <v>397105</v>
      </c>
      <c r="AF70" s="49">
        <v>1257877</v>
      </c>
      <c r="AG70" s="49">
        <v>157391</v>
      </c>
      <c r="AH70" s="49">
        <v>239714</v>
      </c>
    </row>
    <row r="71" spans="2:34">
      <c r="B71" s="48" t="s">
        <v>259</v>
      </c>
      <c r="C71" s="49">
        <v>1470687</v>
      </c>
      <c r="D71" s="49">
        <v>299933</v>
      </c>
      <c r="E71" s="49">
        <v>1170753</v>
      </c>
      <c r="F71" s="49">
        <v>96488</v>
      </c>
      <c r="G71" s="49">
        <v>203445</v>
      </c>
      <c r="H71" s="49">
        <v>416499</v>
      </c>
      <c r="I71" s="49">
        <v>187636</v>
      </c>
      <c r="J71" s="49">
        <v>123940</v>
      </c>
      <c r="K71" s="49">
        <v>63696</v>
      </c>
      <c r="L71" s="49">
        <v>1377015</v>
      </c>
      <c r="M71" s="49">
        <v>240476</v>
      </c>
      <c r="N71" s="49">
        <v>1136539</v>
      </c>
      <c r="O71" s="49">
        <v>73409</v>
      </c>
      <c r="P71" s="49">
        <v>167067</v>
      </c>
      <c r="T71" s="48" t="s">
        <v>259</v>
      </c>
      <c r="U71" s="49">
        <v>1485515</v>
      </c>
      <c r="V71" s="49">
        <v>304356</v>
      </c>
      <c r="W71" s="49">
        <v>1181159</v>
      </c>
      <c r="X71" s="49">
        <v>97872</v>
      </c>
      <c r="Y71" s="49">
        <v>206484</v>
      </c>
      <c r="Z71" s="49">
        <v>456977</v>
      </c>
      <c r="AA71" s="49">
        <v>197016</v>
      </c>
      <c r="AB71" s="49">
        <v>130238</v>
      </c>
      <c r="AC71" s="49">
        <v>66778</v>
      </c>
      <c r="AD71" s="49">
        <v>1393893</v>
      </c>
      <c r="AE71" s="49">
        <v>247492</v>
      </c>
      <c r="AF71" s="49">
        <v>1146401</v>
      </c>
      <c r="AG71" s="49">
        <v>76498</v>
      </c>
      <c r="AH71" s="49">
        <v>170995</v>
      </c>
    </row>
  </sheetData>
  <protectedRanges>
    <protectedRange sqref="X50:AH71" name="Range1_2_2"/>
    <protectedRange sqref="F2:P23" name="Range1_1_5"/>
    <protectedRange sqref="F26:P47" name="Range1_4_4"/>
    <protectedRange sqref="X26:AH47" name="Range1_3_3"/>
  </protectedRanges>
  <mergeCells count="8">
    <mergeCell ref="U50:U51"/>
    <mergeCell ref="B2:B3"/>
    <mergeCell ref="T2:T3"/>
    <mergeCell ref="B26:B27"/>
    <mergeCell ref="T26:T27"/>
    <mergeCell ref="B50:B51"/>
    <mergeCell ref="C50:C51"/>
    <mergeCell ref="T50:T51"/>
  </mergeCells>
  <conditionalFormatting sqref="C4:P19">
    <cfRule type="colorScale" priority="6">
      <colorScale>
        <cfvo type="min"/>
        <cfvo type="max"/>
        <color rgb="FFFCFCFF"/>
        <color rgb="FF63BE7B"/>
      </colorScale>
    </cfRule>
  </conditionalFormatting>
  <conditionalFormatting sqref="C28:P43">
    <cfRule type="colorScale" priority="2">
      <colorScale>
        <cfvo type="min"/>
        <cfvo type="max"/>
        <color rgb="FFFCFCFF"/>
        <color rgb="FF63BE7B"/>
      </colorScale>
    </cfRule>
  </conditionalFormatting>
  <conditionalFormatting sqref="C52:P67">
    <cfRule type="colorScale" priority="1">
      <colorScale>
        <cfvo type="min"/>
        <cfvo type="max"/>
        <color rgb="FFFCFCFF"/>
        <color rgb="FF63BE7B"/>
      </colorScale>
    </cfRule>
  </conditionalFormatting>
  <conditionalFormatting sqref="U4:AH19">
    <cfRule type="colorScale" priority="5">
      <colorScale>
        <cfvo type="min"/>
        <cfvo type="max"/>
        <color rgb="FFFCFCFF"/>
        <color rgb="FF63BE7B"/>
      </colorScale>
    </cfRule>
  </conditionalFormatting>
  <conditionalFormatting sqref="U28:AH43">
    <cfRule type="colorScale" priority="4">
      <colorScale>
        <cfvo type="min"/>
        <cfvo type="max"/>
        <color rgb="FFFCFCFF"/>
        <color rgb="FF63BE7B"/>
      </colorScale>
    </cfRule>
  </conditionalFormatting>
  <conditionalFormatting sqref="U52:AH67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4"/>
  <sheetViews>
    <sheetView zoomScale="80" zoomScaleNormal="80" workbookViewId="0">
      <selection activeCell="A2" sqref="A2:C154"/>
    </sheetView>
  </sheetViews>
  <sheetFormatPr baseColWidth="10" defaultColWidth="8.6640625" defaultRowHeight="15"/>
  <cols>
    <col min="1" max="1" width="11.5" customWidth="1"/>
    <col min="2" max="2" width="33.5" customWidth="1"/>
    <col min="3" max="3" width="16.5" bestFit="1" customWidth="1"/>
  </cols>
  <sheetData>
    <row r="1" spans="1:3">
      <c r="A1" s="1" t="s">
        <v>11</v>
      </c>
      <c r="B1" s="1" t="s">
        <v>0</v>
      </c>
      <c r="C1" s="1" t="s">
        <v>12</v>
      </c>
    </row>
    <row r="2" spans="1:3">
      <c r="A2" s="2" t="s">
        <v>1</v>
      </c>
      <c r="B2" s="2" t="s">
        <v>10</v>
      </c>
      <c r="C2" s="2" t="s">
        <v>9</v>
      </c>
    </row>
    <row r="3" spans="1:3">
      <c r="A3" s="2" t="s">
        <v>1</v>
      </c>
      <c r="B3" s="2" t="s">
        <v>13</v>
      </c>
      <c r="C3" s="2" t="s">
        <v>9</v>
      </c>
    </row>
    <row r="4" spans="1:3">
      <c r="A4" s="2" t="s">
        <v>1</v>
      </c>
      <c r="B4" s="2" t="s">
        <v>14</v>
      </c>
      <c r="C4" s="2" t="s">
        <v>9</v>
      </c>
    </row>
    <row r="5" spans="1:3">
      <c r="A5" s="2" t="s">
        <v>1</v>
      </c>
      <c r="B5" s="2" t="s">
        <v>15</v>
      </c>
      <c r="C5" s="2" t="s">
        <v>9</v>
      </c>
    </row>
    <row r="6" spans="1:3">
      <c r="A6" s="2" t="s">
        <v>1</v>
      </c>
      <c r="B6" s="2" t="s">
        <v>17</v>
      </c>
      <c r="C6" s="2" t="s">
        <v>9</v>
      </c>
    </row>
    <row r="7" spans="1:3">
      <c r="A7" s="2" t="s">
        <v>1</v>
      </c>
      <c r="B7" s="2" t="s">
        <v>18</v>
      </c>
      <c r="C7" s="2" t="s">
        <v>9</v>
      </c>
    </row>
    <row r="8" spans="1:3">
      <c r="A8" s="2" t="s">
        <v>1</v>
      </c>
      <c r="B8" s="2" t="s">
        <v>19</v>
      </c>
      <c r="C8" s="2" t="s">
        <v>9</v>
      </c>
    </row>
    <row r="9" spans="1:3">
      <c r="A9" s="2" t="s">
        <v>1</v>
      </c>
      <c r="B9" s="2" t="s">
        <v>20</v>
      </c>
      <c r="C9" s="2" t="s">
        <v>9</v>
      </c>
    </row>
    <row r="10" spans="1:3">
      <c r="A10" s="2" t="s">
        <v>1</v>
      </c>
      <c r="B10" s="2" t="s">
        <v>21</v>
      </c>
      <c r="C10" s="2" t="s">
        <v>9</v>
      </c>
    </row>
    <row r="11" spans="1:3">
      <c r="A11" s="2" t="s">
        <v>1</v>
      </c>
      <c r="B11" s="2" t="s">
        <v>22</v>
      </c>
      <c r="C11" s="2" t="s">
        <v>9</v>
      </c>
    </row>
    <row r="12" spans="1:3">
      <c r="A12" s="2" t="s">
        <v>1</v>
      </c>
      <c r="B12" s="2" t="s">
        <v>23</v>
      </c>
      <c r="C12" s="2" t="s">
        <v>9</v>
      </c>
    </row>
    <row r="13" spans="1:3">
      <c r="A13" s="2" t="s">
        <v>1</v>
      </c>
      <c r="B13" s="2" t="s">
        <v>24</v>
      </c>
      <c r="C13" s="2" t="s">
        <v>9</v>
      </c>
    </row>
    <row r="14" spans="1:3">
      <c r="A14" s="2" t="s">
        <v>1</v>
      </c>
      <c r="B14" s="2" t="s">
        <v>25</v>
      </c>
      <c r="C14" s="2" t="s">
        <v>9</v>
      </c>
    </row>
    <row r="15" spans="1:3">
      <c r="A15" s="2" t="s">
        <v>1</v>
      </c>
      <c r="B15" s="2" t="s">
        <v>26</v>
      </c>
      <c r="C15" s="2" t="s">
        <v>9</v>
      </c>
    </row>
    <row r="16" spans="1:3">
      <c r="A16" s="2" t="s">
        <v>1</v>
      </c>
      <c r="B16" s="2" t="s">
        <v>27</v>
      </c>
      <c r="C16" s="2" t="s">
        <v>9</v>
      </c>
    </row>
    <row r="17" spans="1:3">
      <c r="A17" s="2" t="s">
        <v>1</v>
      </c>
      <c r="B17" s="2" t="s">
        <v>28</v>
      </c>
      <c r="C17" s="2" t="s">
        <v>9</v>
      </c>
    </row>
    <row r="18" spans="1:3">
      <c r="A18" s="2" t="s">
        <v>1</v>
      </c>
      <c r="B18" s="2" t="s">
        <v>29</v>
      </c>
      <c r="C18" s="2" t="s">
        <v>9</v>
      </c>
    </row>
    <row r="19" spans="1:3">
      <c r="A19" s="2" t="s">
        <v>1</v>
      </c>
      <c r="B19" s="2" t="s">
        <v>30</v>
      </c>
      <c r="C19" s="2" t="s">
        <v>9</v>
      </c>
    </row>
    <row r="20" spans="1:3">
      <c r="A20" s="2" t="s">
        <v>1</v>
      </c>
      <c r="B20" s="2" t="s">
        <v>31</v>
      </c>
      <c r="C20" s="2" t="s">
        <v>9</v>
      </c>
    </row>
    <row r="21" spans="1:3">
      <c r="A21" s="2" t="s">
        <v>1</v>
      </c>
      <c r="B21" s="2" t="s">
        <v>32</v>
      </c>
      <c r="C21" s="2" t="s">
        <v>9</v>
      </c>
    </row>
    <row r="22" spans="1:3">
      <c r="A22" s="2" t="s">
        <v>1</v>
      </c>
      <c r="B22" s="2" t="s">
        <v>69</v>
      </c>
      <c r="C22" s="2" t="s">
        <v>94</v>
      </c>
    </row>
    <row r="23" spans="1:3">
      <c r="A23" s="2" t="s">
        <v>1</v>
      </c>
      <c r="B23" s="2" t="s">
        <v>95</v>
      </c>
      <c r="C23" s="2" t="s">
        <v>94</v>
      </c>
    </row>
    <row r="24" spans="1:3">
      <c r="A24" s="2" t="s">
        <v>1</v>
      </c>
      <c r="B24" s="2" t="s">
        <v>151</v>
      </c>
      <c r="C24" s="2" t="s">
        <v>94</v>
      </c>
    </row>
    <row r="25" spans="1:3">
      <c r="A25" s="2" t="s">
        <v>1</v>
      </c>
      <c r="B25" s="2" t="s">
        <v>96</v>
      </c>
      <c r="C25" s="2" t="s">
        <v>94</v>
      </c>
    </row>
    <row r="26" spans="1:3">
      <c r="A26" s="2" t="s">
        <v>1</v>
      </c>
      <c r="B26" s="2" t="s">
        <v>98</v>
      </c>
      <c r="C26" s="2" t="s">
        <v>94</v>
      </c>
    </row>
    <row r="27" spans="1:3">
      <c r="A27" s="2" t="s">
        <v>1</v>
      </c>
      <c r="B27" s="2" t="s">
        <v>99</v>
      </c>
      <c r="C27" s="2" t="s">
        <v>94</v>
      </c>
    </row>
    <row r="28" spans="1:3">
      <c r="A28" s="2" t="s">
        <v>1</v>
      </c>
      <c r="B28" s="2" t="s">
        <v>100</v>
      </c>
      <c r="C28" s="2" t="s">
        <v>94</v>
      </c>
    </row>
    <row r="29" spans="1:3">
      <c r="A29" s="2" t="s">
        <v>1</v>
      </c>
      <c r="B29" s="2" t="s">
        <v>101</v>
      </c>
      <c r="C29" s="2" t="s">
        <v>94</v>
      </c>
    </row>
    <row r="30" spans="1:3">
      <c r="A30" s="2" t="s">
        <v>1</v>
      </c>
      <c r="B30" s="2" t="s">
        <v>102</v>
      </c>
      <c r="C30" s="2" t="s">
        <v>94</v>
      </c>
    </row>
    <row r="31" spans="1:3">
      <c r="A31" s="2" t="s">
        <v>1</v>
      </c>
      <c r="B31" s="2" t="s">
        <v>103</v>
      </c>
      <c r="C31" s="2" t="s">
        <v>94</v>
      </c>
    </row>
    <row r="32" spans="1:3">
      <c r="A32" s="2" t="s">
        <v>1</v>
      </c>
      <c r="B32" s="2" t="s">
        <v>149</v>
      </c>
      <c r="C32" s="2" t="s">
        <v>94</v>
      </c>
    </row>
    <row r="33" spans="1:3">
      <c r="A33" s="2" t="s">
        <v>1</v>
      </c>
      <c r="B33" s="2" t="s">
        <v>104</v>
      </c>
      <c r="C33" s="2" t="s">
        <v>94</v>
      </c>
    </row>
    <row r="34" spans="1:3">
      <c r="A34" s="2" t="s">
        <v>1</v>
      </c>
      <c r="B34" s="2" t="s">
        <v>105</v>
      </c>
      <c r="C34" s="2" t="s">
        <v>94</v>
      </c>
    </row>
    <row r="35" spans="1:3">
      <c r="A35" s="2" t="s">
        <v>1</v>
      </c>
      <c r="B35" s="2" t="s">
        <v>144</v>
      </c>
      <c r="C35" s="2" t="s">
        <v>94</v>
      </c>
    </row>
    <row r="36" spans="1:3">
      <c r="A36" s="2" t="s">
        <v>1</v>
      </c>
      <c r="B36" s="2" t="s">
        <v>106</v>
      </c>
      <c r="C36" s="2" t="s">
        <v>94</v>
      </c>
    </row>
    <row r="37" spans="1:3">
      <c r="A37" s="2" t="s">
        <v>1</v>
      </c>
      <c r="B37" s="2" t="s">
        <v>150</v>
      </c>
      <c r="C37" s="2" t="s">
        <v>94</v>
      </c>
    </row>
    <row r="38" spans="1:3">
      <c r="A38" s="2" t="s">
        <v>1</v>
      </c>
      <c r="B38" s="2" t="s">
        <v>108</v>
      </c>
      <c r="C38" s="2" t="s">
        <v>94</v>
      </c>
    </row>
    <row r="39" spans="1:3">
      <c r="A39" s="2" t="s">
        <v>1</v>
      </c>
      <c r="B39" s="2" t="s">
        <v>109</v>
      </c>
      <c r="C39" s="2" t="s">
        <v>94</v>
      </c>
    </row>
    <row r="40" spans="1:3">
      <c r="A40" s="2" t="s">
        <v>1</v>
      </c>
      <c r="B40" s="2" t="s">
        <v>83</v>
      </c>
      <c r="C40" s="2" t="s">
        <v>82</v>
      </c>
    </row>
    <row r="41" spans="1:3">
      <c r="A41" s="2" t="s">
        <v>1</v>
      </c>
      <c r="B41" s="2" t="s">
        <v>84</v>
      </c>
      <c r="C41" s="2" t="s">
        <v>82</v>
      </c>
    </row>
    <row r="42" spans="1:3">
      <c r="A42" s="2" t="s">
        <v>1</v>
      </c>
      <c r="B42" s="2" t="s">
        <v>85</v>
      </c>
      <c r="C42" s="2" t="s">
        <v>82</v>
      </c>
    </row>
    <row r="43" spans="1:3">
      <c r="A43" s="2" t="s">
        <v>1</v>
      </c>
      <c r="B43" s="2" t="s">
        <v>86</v>
      </c>
      <c r="C43" s="2" t="s">
        <v>82</v>
      </c>
    </row>
    <row r="44" spans="1:3">
      <c r="A44" s="2" t="s">
        <v>1</v>
      </c>
      <c r="B44" s="2" t="s">
        <v>87</v>
      </c>
      <c r="C44" s="2" t="s">
        <v>82</v>
      </c>
    </row>
    <row r="45" spans="1:3">
      <c r="A45" s="2" t="s">
        <v>1</v>
      </c>
      <c r="B45" s="2" t="s">
        <v>88</v>
      </c>
      <c r="C45" s="2" t="s">
        <v>82</v>
      </c>
    </row>
    <row r="46" spans="1:3">
      <c r="A46" s="2" t="s">
        <v>1</v>
      </c>
      <c r="B46" s="2" t="s">
        <v>89</v>
      </c>
      <c r="C46" s="2" t="s">
        <v>82</v>
      </c>
    </row>
    <row r="47" spans="1:3">
      <c r="A47" s="2" t="s">
        <v>1</v>
      </c>
      <c r="B47" s="2" t="s">
        <v>90</v>
      </c>
      <c r="C47" s="2" t="s">
        <v>82</v>
      </c>
    </row>
    <row r="48" spans="1:3">
      <c r="A48" s="2" t="s">
        <v>1</v>
      </c>
      <c r="B48" s="2" t="s">
        <v>91</v>
      </c>
      <c r="C48" s="2" t="s">
        <v>82</v>
      </c>
    </row>
    <row r="49" spans="1:3">
      <c r="A49" s="2" t="s">
        <v>1</v>
      </c>
      <c r="B49" s="2" t="s">
        <v>92</v>
      </c>
      <c r="C49" s="2" t="s">
        <v>82</v>
      </c>
    </row>
    <row r="50" spans="1:3">
      <c r="A50" s="2" t="s">
        <v>1</v>
      </c>
      <c r="B50" s="2" t="s">
        <v>93</v>
      </c>
      <c r="C50" s="2" t="s">
        <v>82</v>
      </c>
    </row>
    <row r="51" spans="1:3">
      <c r="A51" s="2" t="s">
        <v>1</v>
      </c>
      <c r="B51" s="2" t="s">
        <v>111</v>
      </c>
      <c r="C51" s="2" t="s">
        <v>110</v>
      </c>
    </row>
    <row r="52" spans="1:3">
      <c r="A52" s="2" t="s">
        <v>1</v>
      </c>
      <c r="B52" s="2" t="s">
        <v>112</v>
      </c>
      <c r="C52" s="2" t="s">
        <v>110</v>
      </c>
    </row>
    <row r="53" spans="1:3">
      <c r="A53" s="2" t="s">
        <v>1</v>
      </c>
      <c r="B53" s="2" t="s">
        <v>113</v>
      </c>
      <c r="C53" s="2" t="s">
        <v>110</v>
      </c>
    </row>
    <row r="54" spans="1:3">
      <c r="A54" s="2" t="s">
        <v>1</v>
      </c>
      <c r="B54" s="2" t="s">
        <v>114</v>
      </c>
      <c r="C54" s="2" t="s">
        <v>110</v>
      </c>
    </row>
    <row r="55" spans="1:3">
      <c r="A55" s="2" t="s">
        <v>1</v>
      </c>
      <c r="B55" s="2" t="s">
        <v>115</v>
      </c>
      <c r="C55" s="2" t="s">
        <v>110</v>
      </c>
    </row>
    <row r="56" spans="1:3">
      <c r="A56" s="2" t="s">
        <v>1</v>
      </c>
      <c r="B56" s="2" t="s">
        <v>116</v>
      </c>
      <c r="C56" s="2" t="s">
        <v>110</v>
      </c>
    </row>
    <row r="57" spans="1:3">
      <c r="A57" s="2" t="s">
        <v>1</v>
      </c>
      <c r="B57" s="2" t="s">
        <v>117</v>
      </c>
      <c r="C57" s="2" t="s">
        <v>110</v>
      </c>
    </row>
    <row r="58" spans="1:3">
      <c r="A58" s="2" t="s">
        <v>1</v>
      </c>
      <c r="B58" s="2" t="s">
        <v>118</v>
      </c>
      <c r="C58" s="2" t="s">
        <v>110</v>
      </c>
    </row>
    <row r="59" spans="1:3">
      <c r="A59" s="2" t="s">
        <v>1</v>
      </c>
      <c r="B59" s="2" t="s">
        <v>119</v>
      </c>
      <c r="C59" s="2" t="s">
        <v>110</v>
      </c>
    </row>
    <row r="60" spans="1:3">
      <c r="A60" s="2" t="s">
        <v>1</v>
      </c>
      <c r="B60" s="2" t="s">
        <v>120</v>
      </c>
      <c r="C60" s="2" t="s">
        <v>110</v>
      </c>
    </row>
    <row r="61" spans="1:3">
      <c r="A61" s="2" t="s">
        <v>1</v>
      </c>
      <c r="B61" s="2" t="s">
        <v>121</v>
      </c>
      <c r="C61" s="2" t="s">
        <v>110</v>
      </c>
    </row>
    <row r="62" spans="1:3">
      <c r="A62" s="2" t="s">
        <v>1</v>
      </c>
      <c r="B62" s="2" t="s">
        <v>122</v>
      </c>
      <c r="C62" s="2" t="s">
        <v>110</v>
      </c>
    </row>
    <row r="63" spans="1:3">
      <c r="A63" s="2" t="s">
        <v>1</v>
      </c>
      <c r="B63" s="2" t="s">
        <v>16</v>
      </c>
      <c r="C63" s="2" t="s">
        <v>153</v>
      </c>
    </row>
    <row r="64" spans="1:3">
      <c r="A64" s="2" t="s">
        <v>1</v>
      </c>
      <c r="B64" s="2" t="s">
        <v>50</v>
      </c>
      <c r="C64" s="2" t="s">
        <v>153</v>
      </c>
    </row>
    <row r="65" spans="1:3">
      <c r="A65" s="2" t="s">
        <v>1</v>
      </c>
      <c r="B65" s="2" t="s">
        <v>51</v>
      </c>
      <c r="C65" s="2" t="s">
        <v>153</v>
      </c>
    </row>
    <row r="66" spans="1:3">
      <c r="A66" s="2" t="s">
        <v>1</v>
      </c>
      <c r="B66" s="2" t="s">
        <v>52</v>
      </c>
      <c r="C66" s="2" t="s">
        <v>153</v>
      </c>
    </row>
    <row r="67" spans="1:3">
      <c r="A67" s="2" t="s">
        <v>1</v>
      </c>
      <c r="B67" s="2" t="s">
        <v>53</v>
      </c>
      <c r="C67" s="2" t="s">
        <v>153</v>
      </c>
    </row>
    <row r="68" spans="1:3">
      <c r="A68" s="2" t="s">
        <v>1</v>
      </c>
      <c r="B68" s="2" t="s">
        <v>54</v>
      </c>
      <c r="C68" s="2" t="s">
        <v>153</v>
      </c>
    </row>
    <row r="69" spans="1:3">
      <c r="A69" s="2" t="s">
        <v>1</v>
      </c>
      <c r="B69" s="2" t="s">
        <v>55</v>
      </c>
      <c r="C69" s="2" t="s">
        <v>153</v>
      </c>
    </row>
    <row r="70" spans="1:3">
      <c r="A70" s="2" t="s">
        <v>1</v>
      </c>
      <c r="B70" s="2" t="s">
        <v>56</v>
      </c>
      <c r="C70" s="2" t="s">
        <v>153</v>
      </c>
    </row>
    <row r="71" spans="1:3">
      <c r="A71" s="2" t="s">
        <v>1</v>
      </c>
      <c r="B71" s="2" t="s">
        <v>57</v>
      </c>
      <c r="C71" s="2" t="s">
        <v>153</v>
      </c>
    </row>
    <row r="72" spans="1:3">
      <c r="A72" s="2" t="s">
        <v>1</v>
      </c>
      <c r="B72" s="2" t="s">
        <v>58</v>
      </c>
      <c r="C72" s="2" t="s">
        <v>153</v>
      </c>
    </row>
    <row r="73" spans="1:3">
      <c r="A73" s="2" t="s">
        <v>1</v>
      </c>
      <c r="B73" s="2" t="s">
        <v>59</v>
      </c>
      <c r="C73" s="2" t="s">
        <v>153</v>
      </c>
    </row>
    <row r="74" spans="1:3">
      <c r="A74" s="2" t="s">
        <v>1</v>
      </c>
      <c r="B74" s="2" t="s">
        <v>60</v>
      </c>
      <c r="C74" s="2" t="s">
        <v>153</v>
      </c>
    </row>
    <row r="75" spans="1:3">
      <c r="A75" s="2" t="s">
        <v>1</v>
      </c>
      <c r="B75" s="2" t="s">
        <v>61</v>
      </c>
      <c r="C75" s="2" t="s">
        <v>153</v>
      </c>
    </row>
    <row r="76" spans="1:3">
      <c r="A76" s="2" t="s">
        <v>1</v>
      </c>
      <c r="B76" s="2" t="s">
        <v>62</v>
      </c>
      <c r="C76" s="2" t="s">
        <v>153</v>
      </c>
    </row>
    <row r="77" spans="1:3">
      <c r="A77" s="2" t="s">
        <v>1</v>
      </c>
      <c r="B77" s="2" t="s">
        <v>63</v>
      </c>
      <c r="C77" s="2" t="s">
        <v>153</v>
      </c>
    </row>
    <row r="78" spans="1:3">
      <c r="A78" s="2" t="s">
        <v>1</v>
      </c>
      <c r="B78" s="2" t="s">
        <v>64</v>
      </c>
      <c r="C78" s="2" t="s">
        <v>153</v>
      </c>
    </row>
    <row r="79" spans="1:3">
      <c r="A79" s="2" t="s">
        <v>1</v>
      </c>
      <c r="B79" s="2" t="s">
        <v>65</v>
      </c>
      <c r="C79" s="2" t="s">
        <v>153</v>
      </c>
    </row>
    <row r="80" spans="1:3">
      <c r="A80" s="2" t="s">
        <v>1</v>
      </c>
      <c r="B80" s="2" t="s">
        <v>66</v>
      </c>
      <c r="C80" s="2" t="s">
        <v>153</v>
      </c>
    </row>
    <row r="81" spans="1:3">
      <c r="A81" s="2" t="s">
        <v>1</v>
      </c>
      <c r="B81" s="2" t="s">
        <v>67</v>
      </c>
      <c r="C81" s="2" t="s">
        <v>153</v>
      </c>
    </row>
    <row r="82" spans="1:3">
      <c r="A82" s="2" t="s">
        <v>1</v>
      </c>
      <c r="B82" s="2" t="s">
        <v>68</v>
      </c>
      <c r="C82" s="2" t="s">
        <v>153</v>
      </c>
    </row>
    <row r="83" spans="1:3">
      <c r="A83" s="2" t="s">
        <v>1</v>
      </c>
      <c r="B83" s="2" t="s">
        <v>70</v>
      </c>
      <c r="C83" s="2" t="s">
        <v>153</v>
      </c>
    </row>
    <row r="84" spans="1:3">
      <c r="A84" s="2" t="s">
        <v>1</v>
      </c>
      <c r="B84" s="2" t="s">
        <v>71</v>
      </c>
      <c r="C84" s="2" t="s">
        <v>153</v>
      </c>
    </row>
    <row r="85" spans="1:3">
      <c r="A85" s="2" t="s">
        <v>1</v>
      </c>
      <c r="B85" s="2" t="s">
        <v>72</v>
      </c>
      <c r="C85" s="2" t="s">
        <v>153</v>
      </c>
    </row>
    <row r="86" spans="1:3">
      <c r="A86" s="2" t="s">
        <v>1</v>
      </c>
      <c r="B86" s="2" t="s">
        <v>73</v>
      </c>
      <c r="C86" s="2" t="s">
        <v>153</v>
      </c>
    </row>
    <row r="87" spans="1:3">
      <c r="A87" s="2" t="s">
        <v>1</v>
      </c>
      <c r="B87" s="2" t="s">
        <v>74</v>
      </c>
      <c r="C87" s="2" t="s">
        <v>153</v>
      </c>
    </row>
    <row r="88" spans="1:3">
      <c r="A88" s="2" t="s">
        <v>1</v>
      </c>
      <c r="B88" s="2" t="s">
        <v>75</v>
      </c>
      <c r="C88" s="2" t="s">
        <v>153</v>
      </c>
    </row>
    <row r="89" spans="1:3">
      <c r="A89" s="2" t="s">
        <v>1</v>
      </c>
      <c r="B89" s="2" t="s">
        <v>76</v>
      </c>
      <c r="C89" s="2" t="s">
        <v>153</v>
      </c>
    </row>
    <row r="90" spans="1:3">
      <c r="A90" s="2" t="s">
        <v>1</v>
      </c>
      <c r="B90" s="2" t="s">
        <v>77</v>
      </c>
      <c r="C90" s="2" t="s">
        <v>153</v>
      </c>
    </row>
    <row r="91" spans="1:3">
      <c r="A91" s="2" t="s">
        <v>1</v>
      </c>
      <c r="B91" s="2" t="s">
        <v>78</v>
      </c>
      <c r="C91" s="2" t="s">
        <v>153</v>
      </c>
    </row>
    <row r="92" spans="1:3">
      <c r="A92" s="2" t="s">
        <v>1</v>
      </c>
      <c r="B92" s="2" t="s">
        <v>79</v>
      </c>
      <c r="C92" s="2" t="s">
        <v>153</v>
      </c>
    </row>
    <row r="93" spans="1:3">
      <c r="A93" s="2" t="s">
        <v>1</v>
      </c>
      <c r="B93" s="2" t="s">
        <v>80</v>
      </c>
      <c r="C93" s="2" t="s">
        <v>153</v>
      </c>
    </row>
    <row r="94" spans="1:3">
      <c r="A94" s="2" t="s">
        <v>1</v>
      </c>
      <c r="B94" s="2" t="s">
        <v>81</v>
      </c>
      <c r="C94" s="2" t="s">
        <v>153</v>
      </c>
    </row>
    <row r="95" spans="1:3">
      <c r="A95" s="2" t="s">
        <v>1</v>
      </c>
      <c r="B95" s="2" t="s">
        <v>97</v>
      </c>
      <c r="C95" s="2" t="s">
        <v>153</v>
      </c>
    </row>
    <row r="96" spans="1:3">
      <c r="A96" s="2" t="s">
        <v>1</v>
      </c>
      <c r="B96" s="2" t="s">
        <v>107</v>
      </c>
      <c r="C96" s="2" t="s">
        <v>153</v>
      </c>
    </row>
    <row r="97" spans="1:3">
      <c r="A97" s="2" t="s">
        <v>1</v>
      </c>
      <c r="B97" s="2" t="s">
        <v>34</v>
      </c>
      <c r="C97" s="2" t="s">
        <v>33</v>
      </c>
    </row>
    <row r="98" spans="1:3">
      <c r="A98" s="2" t="s">
        <v>1</v>
      </c>
      <c r="B98" s="2" t="s">
        <v>35</v>
      </c>
      <c r="C98" s="2" t="s">
        <v>33</v>
      </c>
    </row>
    <row r="99" spans="1:3">
      <c r="A99" s="2" t="s">
        <v>1</v>
      </c>
      <c r="B99" s="2" t="s">
        <v>36</v>
      </c>
      <c r="C99" s="2" t="s">
        <v>33</v>
      </c>
    </row>
    <row r="100" spans="1:3">
      <c r="A100" s="2" t="s">
        <v>1</v>
      </c>
      <c r="B100" s="2" t="s">
        <v>37</v>
      </c>
      <c r="C100" s="2" t="s">
        <v>33</v>
      </c>
    </row>
    <row r="101" spans="1:3">
      <c r="A101" s="2" t="s">
        <v>1</v>
      </c>
      <c r="B101" s="2" t="s">
        <v>38</v>
      </c>
      <c r="C101" s="2" t="s">
        <v>33</v>
      </c>
    </row>
    <row r="102" spans="1:3">
      <c r="A102" s="2" t="s">
        <v>1</v>
      </c>
      <c r="B102" s="2" t="s">
        <v>39</v>
      </c>
      <c r="C102" s="2" t="s">
        <v>33</v>
      </c>
    </row>
    <row r="103" spans="1:3">
      <c r="A103" s="2" t="s">
        <v>1</v>
      </c>
      <c r="B103" s="2" t="s">
        <v>40</v>
      </c>
      <c r="C103" s="2" t="s">
        <v>33</v>
      </c>
    </row>
    <row r="104" spans="1:3">
      <c r="A104" s="2" t="s">
        <v>1</v>
      </c>
      <c r="B104" s="2" t="s">
        <v>41</v>
      </c>
      <c r="C104" s="2" t="s">
        <v>33</v>
      </c>
    </row>
    <row r="105" spans="1:3">
      <c r="A105" s="2" t="s">
        <v>1</v>
      </c>
      <c r="B105" s="2" t="s">
        <v>42</v>
      </c>
      <c r="C105" s="2" t="s">
        <v>33</v>
      </c>
    </row>
    <row r="106" spans="1:3">
      <c r="A106" s="2" t="s">
        <v>1</v>
      </c>
      <c r="B106" s="2" t="s">
        <v>43</v>
      </c>
      <c r="C106" s="2" t="s">
        <v>33</v>
      </c>
    </row>
    <row r="107" spans="1:3">
      <c r="A107" s="2" t="s">
        <v>1</v>
      </c>
      <c r="B107" s="2" t="s">
        <v>44</v>
      </c>
      <c r="C107" s="2" t="s">
        <v>33</v>
      </c>
    </row>
    <row r="108" spans="1:3">
      <c r="A108" s="2" t="s">
        <v>1</v>
      </c>
      <c r="B108" s="2" t="s">
        <v>45</v>
      </c>
      <c r="C108" s="2" t="s">
        <v>33</v>
      </c>
    </row>
    <row r="109" spans="1:3">
      <c r="A109" s="2" t="s">
        <v>1</v>
      </c>
      <c r="B109" s="2" t="s">
        <v>46</v>
      </c>
      <c r="C109" s="2" t="s">
        <v>33</v>
      </c>
    </row>
    <row r="110" spans="1:3">
      <c r="A110" s="2" t="s">
        <v>1</v>
      </c>
      <c r="B110" s="2" t="s">
        <v>47</v>
      </c>
      <c r="C110" s="2" t="s">
        <v>33</v>
      </c>
    </row>
    <row r="111" spans="1:3">
      <c r="A111" s="2" t="s">
        <v>1</v>
      </c>
      <c r="B111" s="2" t="s">
        <v>48</v>
      </c>
      <c r="C111" s="2" t="s">
        <v>33</v>
      </c>
    </row>
    <row r="112" spans="1:3">
      <c r="A112" s="2" t="s">
        <v>1</v>
      </c>
      <c r="B112" s="2" t="s">
        <v>49</v>
      </c>
      <c r="C112" s="2" t="s">
        <v>33</v>
      </c>
    </row>
    <row r="113" spans="1:3">
      <c r="A113" s="2" t="s">
        <v>2</v>
      </c>
      <c r="B113" s="3" t="s">
        <v>140</v>
      </c>
      <c r="C113" s="2" t="s">
        <v>94</v>
      </c>
    </row>
    <row r="114" spans="1:3">
      <c r="A114" s="2" t="s">
        <v>2</v>
      </c>
      <c r="B114" s="3" t="s">
        <v>141</v>
      </c>
      <c r="C114" s="2" t="s">
        <v>94</v>
      </c>
    </row>
    <row r="115" spans="1:3">
      <c r="A115" s="2" t="s">
        <v>2</v>
      </c>
      <c r="B115" s="3" t="s">
        <v>142</v>
      </c>
      <c r="C115" s="2" t="s">
        <v>94</v>
      </c>
    </row>
    <row r="116" spans="1:3">
      <c r="A116" s="2" t="s">
        <v>2</v>
      </c>
      <c r="B116" s="3" t="s">
        <v>99</v>
      </c>
      <c r="C116" s="2" t="s">
        <v>94</v>
      </c>
    </row>
    <row r="117" spans="1:3">
      <c r="A117" s="2" t="s">
        <v>2</v>
      </c>
      <c r="B117" s="3" t="s">
        <v>95</v>
      </c>
      <c r="C117" s="2" t="s">
        <v>94</v>
      </c>
    </row>
    <row r="118" spans="1:3">
      <c r="A118" s="2" t="s">
        <v>2</v>
      </c>
      <c r="B118" s="3" t="s">
        <v>103</v>
      </c>
      <c r="C118" s="2" t="s">
        <v>94</v>
      </c>
    </row>
    <row r="119" spans="1:3">
      <c r="A119" s="2" t="s">
        <v>2</v>
      </c>
      <c r="B119" s="3" t="s">
        <v>143</v>
      </c>
      <c r="C119" s="2" t="s">
        <v>94</v>
      </c>
    </row>
    <row r="120" spans="1:3">
      <c r="A120" s="2" t="s">
        <v>2</v>
      </c>
      <c r="B120" s="3" t="s">
        <v>144</v>
      </c>
      <c r="C120" s="2" t="s">
        <v>94</v>
      </c>
    </row>
    <row r="121" spans="1:3">
      <c r="A121" s="2" t="s">
        <v>2</v>
      </c>
      <c r="B121" s="3" t="s">
        <v>93</v>
      </c>
      <c r="C121" s="3" t="s">
        <v>82</v>
      </c>
    </row>
    <row r="122" spans="1:3">
      <c r="A122" s="2" t="s">
        <v>2</v>
      </c>
      <c r="B122" s="3" t="s">
        <v>145</v>
      </c>
      <c r="C122" s="3" t="s">
        <v>82</v>
      </c>
    </row>
    <row r="123" spans="1:3">
      <c r="A123" s="2" t="s">
        <v>2</v>
      </c>
      <c r="B123" s="3" t="s">
        <v>146</v>
      </c>
      <c r="C123" s="3" t="s">
        <v>82</v>
      </c>
    </row>
    <row r="124" spans="1:3">
      <c r="A124" s="2" t="s">
        <v>2</v>
      </c>
      <c r="B124" s="3" t="s">
        <v>88</v>
      </c>
      <c r="C124" s="3" t="s">
        <v>82</v>
      </c>
    </row>
    <row r="125" spans="1:3">
      <c r="A125" s="2" t="s">
        <v>2</v>
      </c>
      <c r="B125" s="3" t="s">
        <v>147</v>
      </c>
      <c r="C125" s="3" t="s">
        <v>82</v>
      </c>
    </row>
    <row r="126" spans="1:3">
      <c r="A126" s="2" t="s">
        <v>2</v>
      </c>
      <c r="B126" s="3" t="s">
        <v>84</v>
      </c>
      <c r="C126" s="3" t="s">
        <v>82</v>
      </c>
    </row>
    <row r="127" spans="1:3">
      <c r="A127" s="2" t="s">
        <v>2</v>
      </c>
      <c r="B127" s="3" t="s">
        <v>90</v>
      </c>
      <c r="C127" s="3" t="s">
        <v>82</v>
      </c>
    </row>
    <row r="128" spans="1:3">
      <c r="A128" s="2" t="s">
        <v>2</v>
      </c>
      <c r="B128" s="3" t="s">
        <v>111</v>
      </c>
      <c r="C128" s="3" t="s">
        <v>110</v>
      </c>
    </row>
    <row r="129" spans="1:3">
      <c r="A129" s="2" t="s">
        <v>2</v>
      </c>
      <c r="B129" s="3" t="s">
        <v>148</v>
      </c>
      <c r="C129" s="3" t="s">
        <v>110</v>
      </c>
    </row>
    <row r="130" spans="1:3">
      <c r="A130" s="2" t="s">
        <v>2</v>
      </c>
      <c r="B130" s="3" t="s">
        <v>123</v>
      </c>
      <c r="C130" s="3" t="s">
        <v>154</v>
      </c>
    </row>
    <row r="131" spans="1:3">
      <c r="A131" s="2" t="s">
        <v>2</v>
      </c>
      <c r="B131" s="3" t="s">
        <v>124</v>
      </c>
      <c r="C131" s="3" t="s">
        <v>154</v>
      </c>
    </row>
    <row r="132" spans="1:3">
      <c r="A132" s="2" t="s">
        <v>2</v>
      </c>
      <c r="B132" s="3" t="s">
        <v>65</v>
      </c>
      <c r="C132" s="3" t="s">
        <v>154</v>
      </c>
    </row>
    <row r="133" spans="1:3">
      <c r="A133" s="2" t="s">
        <v>2</v>
      </c>
      <c r="B133" s="3" t="s">
        <v>125</v>
      </c>
      <c r="C133" s="3" t="s">
        <v>154</v>
      </c>
    </row>
    <row r="134" spans="1:3">
      <c r="A134" s="2" t="s">
        <v>2</v>
      </c>
      <c r="B134" s="3" t="s">
        <v>64</v>
      </c>
      <c r="C134" s="3" t="s">
        <v>154</v>
      </c>
    </row>
    <row r="135" spans="1:3">
      <c r="A135" s="2" t="s">
        <v>2</v>
      </c>
      <c r="B135" s="3" t="s">
        <v>126</v>
      </c>
      <c r="C135" s="3" t="s">
        <v>154</v>
      </c>
    </row>
    <row r="136" spans="1:3">
      <c r="A136" s="2" t="s">
        <v>2</v>
      </c>
      <c r="B136" s="3" t="s">
        <v>127</v>
      </c>
      <c r="C136" s="3" t="s">
        <v>154</v>
      </c>
    </row>
    <row r="137" spans="1:3">
      <c r="A137" s="2" t="s">
        <v>2</v>
      </c>
      <c r="B137" s="3" t="s">
        <v>72</v>
      </c>
      <c r="C137" s="3" t="s">
        <v>154</v>
      </c>
    </row>
    <row r="138" spans="1:3">
      <c r="A138" s="2" t="s">
        <v>2</v>
      </c>
      <c r="B138" s="3" t="s">
        <v>79</v>
      </c>
      <c r="C138" s="3" t="s">
        <v>154</v>
      </c>
    </row>
    <row r="139" spans="1:3">
      <c r="A139" s="2" t="s">
        <v>2</v>
      </c>
      <c r="B139" s="3" t="s">
        <v>128</v>
      </c>
      <c r="C139" s="3" t="s">
        <v>154</v>
      </c>
    </row>
    <row r="140" spans="1:3">
      <c r="A140" s="2" t="s">
        <v>2</v>
      </c>
      <c r="B140" s="3" t="s">
        <v>129</v>
      </c>
      <c r="C140" s="3" t="s">
        <v>154</v>
      </c>
    </row>
    <row r="141" spans="1:3">
      <c r="A141" s="2" t="s">
        <v>2</v>
      </c>
      <c r="B141" s="3" t="s">
        <v>130</v>
      </c>
      <c r="C141" s="3" t="s">
        <v>154</v>
      </c>
    </row>
    <row r="142" spans="1:3">
      <c r="A142" s="2" t="s">
        <v>2</v>
      </c>
      <c r="B142" s="3" t="s">
        <v>131</v>
      </c>
      <c r="C142" s="3" t="s">
        <v>154</v>
      </c>
    </row>
    <row r="143" spans="1:3">
      <c r="A143" s="2" t="s">
        <v>2</v>
      </c>
      <c r="B143" s="3" t="s">
        <v>55</v>
      </c>
      <c r="C143" s="3" t="s">
        <v>154</v>
      </c>
    </row>
    <row r="144" spans="1:3">
      <c r="A144" s="2" t="s">
        <v>2</v>
      </c>
      <c r="B144" s="3" t="s">
        <v>132</v>
      </c>
      <c r="C144" s="3" t="s">
        <v>154</v>
      </c>
    </row>
    <row r="145" spans="1:3">
      <c r="A145" s="2" t="s">
        <v>2</v>
      </c>
      <c r="B145" s="3" t="s">
        <v>133</v>
      </c>
      <c r="C145" s="3" t="s">
        <v>154</v>
      </c>
    </row>
    <row r="146" spans="1:3">
      <c r="A146" s="2" t="s">
        <v>2</v>
      </c>
      <c r="B146" s="3" t="s">
        <v>80</v>
      </c>
      <c r="C146" s="3" t="s">
        <v>154</v>
      </c>
    </row>
    <row r="147" spans="1:3">
      <c r="A147" s="2" t="s">
        <v>2</v>
      </c>
      <c r="B147" s="3" t="s">
        <v>134</v>
      </c>
      <c r="C147" s="3" t="s">
        <v>154</v>
      </c>
    </row>
    <row r="148" spans="1:3">
      <c r="A148" s="2" t="s">
        <v>2</v>
      </c>
      <c r="B148" s="3" t="s">
        <v>135</v>
      </c>
      <c r="C148" s="3" t="s">
        <v>154</v>
      </c>
    </row>
    <row r="149" spans="1:3">
      <c r="A149" s="2" t="s">
        <v>2</v>
      </c>
      <c r="B149" s="3" t="s">
        <v>56</v>
      </c>
      <c r="C149" s="3" t="s">
        <v>154</v>
      </c>
    </row>
    <row r="150" spans="1:3">
      <c r="A150" s="2" t="s">
        <v>2</v>
      </c>
      <c r="B150" s="3" t="s">
        <v>136</v>
      </c>
      <c r="C150" s="3" t="s">
        <v>154</v>
      </c>
    </row>
    <row r="151" spans="1:3">
      <c r="A151" s="2" t="s">
        <v>2</v>
      </c>
      <c r="B151" s="3" t="s">
        <v>63</v>
      </c>
      <c r="C151" s="3" t="s">
        <v>154</v>
      </c>
    </row>
    <row r="152" spans="1:3">
      <c r="A152" s="2" t="s">
        <v>2</v>
      </c>
      <c r="B152" s="3" t="s">
        <v>137</v>
      </c>
      <c r="C152" s="3" t="s">
        <v>154</v>
      </c>
    </row>
    <row r="153" spans="1:3">
      <c r="A153" s="2" t="s">
        <v>2</v>
      </c>
      <c r="B153" s="3" t="s">
        <v>138</v>
      </c>
      <c r="C153" s="3" t="s">
        <v>154</v>
      </c>
    </row>
    <row r="154" spans="1:3">
      <c r="A154" s="2" t="s">
        <v>2</v>
      </c>
      <c r="B154" s="3" t="s">
        <v>139</v>
      </c>
      <c r="C154" s="3" t="s">
        <v>154</v>
      </c>
    </row>
  </sheetData>
  <autoFilter ref="B1:B154" xr:uid="{00000000-0009-0000-0000-000001000000}"/>
  <sortState xmlns:xlrd2="http://schemas.microsoft.com/office/spreadsheetml/2017/richdata2" ref="A2:C154">
    <sortCondition ref="A2:A154"/>
    <sortCondition ref="C2:C154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F1" sqref="F1:F3"/>
    </sheetView>
  </sheetViews>
  <sheetFormatPr baseColWidth="10" defaultColWidth="8.6640625" defaultRowHeight="15"/>
  <sheetData>
    <row r="1" spans="1:7">
      <c r="A1" t="s">
        <v>1</v>
      </c>
      <c r="B1" t="s">
        <v>157</v>
      </c>
      <c r="C1" t="s">
        <v>3</v>
      </c>
      <c r="D1" t="s">
        <v>5</v>
      </c>
      <c r="E1" t="s">
        <v>7</v>
      </c>
      <c r="F1" t="s">
        <v>159</v>
      </c>
      <c r="G1" t="s">
        <v>3</v>
      </c>
    </row>
    <row r="2" spans="1:7">
      <c r="A2" t="s">
        <v>2</v>
      </c>
      <c r="B2" t="s">
        <v>156</v>
      </c>
      <c r="C2" t="s">
        <v>4</v>
      </c>
      <c r="D2" t="s">
        <v>6</v>
      </c>
      <c r="E2" t="s">
        <v>8</v>
      </c>
      <c r="F2" t="s">
        <v>152</v>
      </c>
      <c r="G2" t="s">
        <v>4</v>
      </c>
    </row>
    <row r="3" spans="1:7">
      <c r="A3" t="s">
        <v>155</v>
      </c>
      <c r="F3" t="s">
        <v>158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Первый месяц</vt:lpstr>
      <vt:lpstr>Второй месяц</vt:lpstr>
      <vt:lpstr>Охваты</vt:lpstr>
      <vt:lpstr>регионы-города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olga.v.vasileva</dc:creator>
  <cp:lastModifiedBy>Камила Авезбаева</cp:lastModifiedBy>
  <dcterms:created xsi:type="dcterms:W3CDTF">2020-05-07T07:50:06Z</dcterms:created>
  <dcterms:modified xsi:type="dcterms:W3CDTF">2026-04-17T07:02:34Z</dcterms:modified>
</cp:coreProperties>
</file>