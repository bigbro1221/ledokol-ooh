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tarted\Geely\2 флайт март-апр\"/>
    </mc:Choice>
  </mc:AlternateContent>
  <xr:revisionPtr revIDLastSave="0" documentId="13_ncr:1_{7D086423-598F-4A03-BDEB-465A65BBBF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OH (March-April)" sheetId="10" r:id="rId1"/>
    <sheet name="регионы-города" sheetId="3" state="hidden" r:id="rId2"/>
    <sheet name="справочник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e">#REF!</definedName>
    <definedName name="\l">#REF!</definedName>
    <definedName name="__________MCV2">[1]Vehicles!$B$58:$O$58</definedName>
    <definedName name="_________dd1" hidden="1">{#N/A,#N/A,TRUE,"Пресса";#N/A,#N/A,TRUE,"Метро";#N/A,#N/A,TRUE,"Щиты";#N/A,#N/A,TRUE,"График";#N/A,#N/A,TRUE,"График"}</definedName>
    <definedName name="_________eh1" hidden="1">{#N/A,#N/A,TRUE,"Пресса";#N/A,#N/A,TRUE,"Метро";#N/A,#N/A,TRUE,"Щиты";#N/A,#N/A,TRUE,"График";#N/A,#N/A,TRUE,"График"}</definedName>
    <definedName name="_________fjk1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GK2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MCV2">[1]Vehicles!$B$58:$O$58</definedName>
    <definedName name="_________old1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wwe2" hidden="1">{#VALUE!,#N/A,TRUE,0;#N/A,#N/A,TRUE,0;#N/A,#N/A,TRUE,0;#N/A,#N/A,TRUE,0;#N/A,#N/A,TRUE,0}</definedName>
    <definedName name="________erw2" hidden="1">27</definedName>
    <definedName name="________MCV2">[1]Vehicles!$B$58:$O$58</definedName>
    <definedName name="_______dd1" hidden="1">{#N/A,#N/A,TRUE,"Пресса";#N/A,#N/A,TRUE,"Метро";#N/A,#N/A,TRUE,"Щиты";#N/A,#N/A,TRUE,"График";#N/A,#N/A,TRUE,"График"}</definedName>
    <definedName name="_______eh1" hidden="1">{#N/A,#N/A,TRUE,"Пресса";#N/A,#N/A,TRUE,"Метро";#N/A,#N/A,TRUE,"Щиты";#N/A,#N/A,TRUE,"График";#N/A,#N/A,TRUE,"График"}</definedName>
    <definedName name="_______erw2" hidden="1">27</definedName>
    <definedName name="_______fjk1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GK2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MCV2">[1]Vehicles!$B$58:$O$58</definedName>
    <definedName name="_______old1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wwe2" hidden="1">{#VALUE!,#N/A,TRUE,0;#N/A,#N/A,TRUE,0;#N/A,#N/A,TRUE,0;#N/A,#N/A,TRUE,0;#N/A,#N/A,TRUE,0}</definedName>
    <definedName name="______1solver_rh¤" hidden="1">4</definedName>
    <definedName name="______2solver_va" hidden="1">27</definedName>
    <definedName name="______dd1" hidden="1">{#N/A,#N/A,TRUE,"Пресса";#N/A,#N/A,TRUE,"Метро";#N/A,#N/A,TRUE,"Щиты";#N/A,#N/A,TRUE,"График";#N/A,#N/A,TRUE,"График"}</definedName>
    <definedName name="______eh1" hidden="1">{#N/A,#N/A,TRUE,"Пресса";#N/A,#N/A,TRUE,"Метро";#N/A,#N/A,TRUE,"Щиты";#N/A,#N/A,TRUE,"График";#N/A,#N/A,TRUE,"График"}</definedName>
    <definedName name="______erw2" hidden="1">27</definedName>
    <definedName name="______fjk1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GK2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MCV2">[1]Vehicles!$B$58:$O$58</definedName>
    <definedName name="______old1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wwe2" hidden="1">{#VALUE!,#N/A,TRUE,0;#N/A,#N/A,TRUE,0;#N/A,#N/A,TRUE,0;#N/A,#N/A,TRUE,0;#N/A,#N/A,TRUE,0}</definedName>
    <definedName name="_____1solver_rh¤" hidden="1">4</definedName>
    <definedName name="_____2solver_va" hidden="1">27</definedName>
    <definedName name="_____dd1" hidden="1">{#N/A,#N/A,TRUE,"Пресса";#N/A,#N/A,TRUE,"Метро";#N/A,#N/A,TRUE,"Щиты";#N/A,#N/A,TRUE,"График";#N/A,#N/A,TRUE,"График"}</definedName>
    <definedName name="_____eh1" hidden="1">{#N/A,#N/A,TRUE,"Пресса";#N/A,#N/A,TRUE,"Метро";#N/A,#N/A,TRUE,"Щиты";#N/A,#N/A,TRUE,"График";#N/A,#N/A,TRUE,"График"}</definedName>
    <definedName name="_____erw2" hidden="1">27</definedName>
    <definedName name="_____fjk1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GK2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MCV2">[1]Vehicles!$B$58:$O$58</definedName>
    <definedName name="_____old1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wwe2" hidden="1">{#VALUE!,#N/A,TRUE,0;#N/A,#N/A,TRUE,0;#N/A,#N/A,TRUE,0;#N/A,#N/A,TRUE,0;#N/A,#N/A,TRUE,0}</definedName>
    <definedName name="____1solver_rh¤" hidden="1">4</definedName>
    <definedName name="____2solver_va" hidden="1">27</definedName>
    <definedName name="____dd1" hidden="1">{#N/A,#N/A,TRUE,"Пресса";#N/A,#N/A,TRUE,"Метро";#N/A,#N/A,TRUE,"Щиты";#N/A,#N/A,TRUE,"График";#N/A,#N/A,TRUE,"График"}</definedName>
    <definedName name="____eh1" hidden="1">{#N/A,#N/A,TRUE,"Пресса";#N/A,#N/A,TRUE,"Метро";#N/A,#N/A,TRUE,"Щиты";#N/A,#N/A,TRUE,"График";#N/A,#N/A,TRUE,"График"}</definedName>
    <definedName name="____erw2" hidden="1">27</definedName>
    <definedName name="____fjk1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GK2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MCV2">[1]Vehicles!$B$58:$O$58</definedName>
    <definedName name="____old1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wwe2" hidden="1">{#VALUE!,#N/A,TRUE,0;#N/A,#N/A,TRUE,0;#N/A,#N/A,TRUE,0;#N/A,#N/A,TRUE,0;#N/A,#N/A,TRUE,0}</definedName>
    <definedName name="___1solver_rh¤" hidden="1">4</definedName>
    <definedName name="___2solver_va" hidden="1">27</definedName>
    <definedName name="___dd1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rw2" hidden="1">27</definedName>
    <definedName name="___fjk1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LL100">#REF!</definedName>
    <definedName name="___MCV2">[1]Vehicles!$B$58:$O$58</definedName>
    <definedName name="___old1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wwe2" hidden="1">{#VALUE!,#N/A,TRUE,0;#N/A,#N/A,TRUE,0;#N/A,#N/A,TRUE,0;#N/A,#N/A,TRUE,0;#N/A,#N/A,TRUE,0}</definedName>
    <definedName name="__1solver_rh¤" hidden="1">4</definedName>
    <definedName name="__2solver_rh¤" hidden="1">4</definedName>
    <definedName name="__2solver_va" hidden="1">27</definedName>
    <definedName name="__3solver_va" hidden="1">27</definedName>
    <definedName name="__dd1" hidden="1">{#N/A,#N/A,TRUE,"Пресса";#N/A,#N/A,TRUE,"Метро";#N/A,#N/A,TRUE,"Щиты";#N/A,#N/A,TRUE,"График";#N/A,#N/A,TRUE,"График"}</definedName>
    <definedName name="__eh1" hidden="1">{#N/A,#N/A,TRUE,"Пресса";#N/A,#N/A,TRUE,"Метро";#N/A,#N/A,TRUE,"Щиты";#N/A,#N/A,TRUE,"График";#N/A,#N/A,TRUE,"График"}</definedName>
    <definedName name="__erw2" hidden="1">27</definedName>
    <definedName name="__fjk1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GK2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MCV2">[1]Vehicles!$B$58:$O$58</definedName>
    <definedName name="__old1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wwe2" hidden="1">{#VALUE!,#N/A,TRUE,0;#N/A,#N/A,TRUE,0;#N/A,#N/A,TRUE,0;#N/A,#N/A,TRUE,0;#N/A,#N/A,TRUE,0}</definedName>
    <definedName name="__xlfn.BAHTTEXT" hidden="1">#NAME?</definedName>
    <definedName name="_1_solver_rh¤" hidden="1">4</definedName>
    <definedName name="_1solver_rh¤" hidden="1">4</definedName>
    <definedName name="_2">#REF!</definedName>
    <definedName name="_2_solver_va" hidden="1">27</definedName>
    <definedName name="_2_US_Fixed_TV_Pricing_W25_49">#REF!</definedName>
    <definedName name="_2solver_rh¤" hidden="1">4</definedName>
    <definedName name="_2solver_va" hidden="1">27</definedName>
    <definedName name="_3">#REF!</definedName>
    <definedName name="_3solver_va" hidden="1">27</definedName>
    <definedName name="_4solver_rh¤" hidden="1">4</definedName>
    <definedName name="_5solver_va" hidden="1">27</definedName>
    <definedName name="_clb07">#REF!</definedName>
    <definedName name="_clp07">#REF!</definedName>
    <definedName name="_dd1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rw2" hidden="1">27</definedName>
    <definedName name="_fjk1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LL100">#REF!</definedName>
    <definedName name="_MCV2">[1]Vehicles!$B$58:$O$58</definedName>
    <definedName name="_mon01" hidden="1">#REF!</definedName>
    <definedName name="_mon02" hidden="1">#REF!</definedName>
    <definedName name="_mon03" hidden="1">#REF!</definedName>
    <definedName name="_mon04" hidden="1">#REF!</definedName>
    <definedName name="_mon05" hidden="1">#REF!</definedName>
    <definedName name="_mon06" hidden="1">#REF!</definedName>
    <definedName name="_mon07" hidden="1">#REF!</definedName>
    <definedName name="_mon08" hidden="1">#REF!</definedName>
    <definedName name="_mon09" hidden="1">#REF!</definedName>
    <definedName name="_mon10" hidden="1">#REF!</definedName>
    <definedName name="_mon11" hidden="1">#REF!</definedName>
    <definedName name="_mon12" hidden="1">#REF!</definedName>
    <definedName name="_mon88" hidden="1">#REF!</definedName>
    <definedName name="_old1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Pos1">'[2]Data CpGRP'!$A$41</definedName>
    <definedName name="_Pos2">'[2]Data CpGRP'!$A$42</definedName>
    <definedName name="_Pos3">'[2]Data CpGRP'!$A$43</definedName>
    <definedName name="_Pos4">'[2]Data CpGRP'!$A$44</definedName>
    <definedName name="_Pos5">'[2]Data CpGRP'!$A$45</definedName>
    <definedName name="_Pos6">'[2]Data CpGRP'!$A$46</definedName>
    <definedName name="_Pos7">'[2]Data CpGRP'!$A$47</definedName>
    <definedName name="_Pos8">'[2]Data CpGRP'!$A$48</definedName>
    <definedName name="_wwe2" hidden="1">{#VALUE!,#N/A,TRUE,0;#N/A,#N/A,TRUE,0;#N/A,#N/A,TRUE,0;#N/A,#N/A,TRUE,0;#N/A,#N/A,TRUE,0}</definedName>
    <definedName name="_xlnm._FilterDatabase" localSheetId="0" hidden="1">'DOOH (March-April)'!$A$9:$AB$64</definedName>
    <definedName name="_xlnm._FilterDatabase" localSheetId="1" hidden="1">'регионы-города'!$B$1:$B$154</definedName>
    <definedName name="_ьщт55" hidden="1">#REF!</definedName>
    <definedName name="a" hidden="1">{"'siets LAT'!$J$95","'siets LAT'!$J$95"}</definedName>
    <definedName name="aa">#REF!</definedName>
    <definedName name="aaa" hidden="1">{#N/A,#N/A,TRUE,"Пресса";#N/A,#N/A,TRUE,"Метро";#N/A,#N/A,TRUE,"Щиты";#N/A,#N/A,TRUE,"График";#N/A,#N/A,TRUE,"График"}</definedName>
    <definedName name="ab">#REF!</definedName>
    <definedName name="Abfrage_KW18">#REF!</definedName>
    <definedName name="ac">#REF!</definedName>
    <definedName name="ad">'[3]cic 22-9 - 26-10'!$D$11</definedName>
    <definedName name="Adformat">[4]FormatSpecs!$B$1:$B$71</definedName>
    <definedName name="adresse1Vermarkter">[5]SitesVermarkter!#REF!</definedName>
    <definedName name="Adserverimplementierung">[4]Basisdaten!$H$8:$H$18</definedName>
    <definedName name="afishaDisc" hidden="1">[6]AFISHA.RU!$E$44</definedName>
    <definedName name="afishaDiscTotal" hidden="1">MAX((100%-splitDisc)*(100%-[0]!afishaDisc)*(100%-agencyDisc)*(100%-[0]!discReach),[0]!maxAfisha)</definedName>
    <definedName name="agencyDisc" hidden="1">#REF!</definedName>
    <definedName name="aggregate_tag">#REF!</definedName>
    <definedName name="Aggregated_spec">#REF!</definedName>
    <definedName name="Alti" localSheetId="0">[7]!Alti</definedName>
    <definedName name="Alti">[7]!Alti</definedName>
    <definedName name="amediaDisc" hidden="1">[6]AMEDIA.RU!$E$49</definedName>
    <definedName name="amediaDiscTotal" hidden="1">MAX((100%-splitDisc)*(100%-[0]!amediaDisc)*(100%-agencyDisc)*(100%-[0]!discReach),[0]!maxAmedia)</definedName>
    <definedName name="anscount" hidden="1">2</definedName>
    <definedName name="apr">#REF!</definedName>
    <definedName name="area">#REF!,#REF!,#REF!,#REF!,#REF!,#REF!,#REF!,#REF!,#REF!,#REF!,#REF!,#REF!,#REF!,#REF!,#REF!,#REF!,#REF!,#REF!,#REF!,#REF!,#REF!,#REF!,#REF!,#REF!</definedName>
    <definedName name="AS2DocOpenMode" hidden="1">"AS2DocumentEdit"</definedName>
    <definedName name="asd.xlc" hidden="1">27</definedName>
    <definedName name="asda">#REF!</definedName>
    <definedName name="asdad">#REF!</definedName>
    <definedName name="asdafasf">#REF!</definedName>
    <definedName name="asdda111">#REF!</definedName>
    <definedName name="asddsad">#REF!</definedName>
    <definedName name="asdfakafs.">[5]SitesVermarkter!#REF!</definedName>
    <definedName name="asdlls">#REF!</definedName>
    <definedName name="asdq111d">#REF!</definedName>
    <definedName name="assss" hidden="1">#REF!</definedName>
    <definedName name="astek" hidden="1">{#N/A,#N/A,TRUE,"Пресса";#N/A,#N/A,TRUE,"Метро";#N/A,#N/A,TRUE,"Щиты";#N/A,#N/A,TRUE,"График";#N/A,#N/A,TRUE,"График"}</definedName>
    <definedName name="AUDI">#REF!</definedName>
    <definedName name="AUDITLISTE">#REF!</definedName>
    <definedName name="aug">#REF!</definedName>
    <definedName name="autoDisc" hidden="1">[6]AUTO.RU!$E$46</definedName>
    <definedName name="autoDiscTotal" hidden="1">MAX((100%-splitDisc)*(100%-[0]!autoDisc)*(100%-agencyDisc)*(100%-[0]!discReach),[0]!maxAuto)</definedName>
    <definedName name="avtoDisc" hidden="1">[6]AVTO.RU!$E$48</definedName>
    <definedName name="avtoDiscTotal" hidden="1">MAX((100%-splitDisc)*(100%-[0]!avtoDisc)*(100%-agencyDisc)*(100%-[0]!discReach),[0]!maxAvto)</definedName>
    <definedName name="azer">#REF!</definedName>
    <definedName name="b" hidden="1">{"'siets LAT'!$J$95","'siets LAT'!$J$95"}</definedName>
    <definedName name="ba">#REF!</definedName>
    <definedName name="banner">#REF!</definedName>
    <definedName name="basia" hidden="1">{"'siets LAT'!$J$95","'siets LAT'!$J$95"}</definedName>
    <definedName name="BB">#REF!</definedName>
    <definedName name="bdgcin">'[8]CINEMA RMB'!#REF!</definedName>
    <definedName name="BDGMTV">#REF!</definedName>
    <definedName name="BDGPBL">'[9]Conto Sipra'!#REF!</definedName>
    <definedName name="BDGPER">#REF!</definedName>
    <definedName name="BDGPRS">#REF!</definedName>
    <definedName name="BDGQUO">#REF!</definedName>
    <definedName name="BDGSIPRA">#REF!</definedName>
    <definedName name="Beschreibung">#REF!</definedName>
    <definedName name="bla" hidden="1">{"'siets LAT'!$J$95","'siets LAT'!$J$95"}</definedName>
    <definedName name="blabla" hidden="1">{"'siets LAT'!$J$95","'siets LAT'!$J$95"}</definedName>
    <definedName name="bn">#REF!</definedName>
    <definedName name="Brand">#REF!</definedName>
    <definedName name="Brutto">'[2]Data CpGRP'!$B$4</definedName>
    <definedName name="budAfisha" localSheetId="0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0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0" hidden="1">OFFSET(Anch,MATCH("Auto.ru",resList,0),3,COUNTIF(resList,"Auto.ru")-1,1)</definedName>
    <definedName name="budAuto" hidden="1">OFFSET(Anch,MATCH("Auto.ru",resList,0),3,COUNTIF(resList,"Auto.ru")-1,1)</definedName>
    <definedName name="budAvto" localSheetId="0" hidden="1">OFFSET(Anch,MATCH("Avto.ru",resList,0),3,COUNTIF(resList,"Avto.ru")-1,1)</definedName>
    <definedName name="budAvto" hidden="1">OFFSET(Anch,MATCH("Avto.ru",resList,0),3,COUNTIF(resList,"Avto.ru")-1,1)</definedName>
    <definedName name="budd3" localSheetId="0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0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0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0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">#REF!</definedName>
    <definedName name="budGazeta" localSheetId="0" hidden="1">OFFSET(Anch,MATCH("Gazeta.ru",resList,0),3,COUNTIF(resList,"Gazeta.ru")-1,1)</definedName>
    <definedName name="budGazeta" hidden="1">OFFSET(Anch,MATCH("Gazeta.ru",resList,0),3,COUNTIF(resList,"Gazeta.ru")-1,1)</definedName>
    <definedName name="budIno" localSheetId="0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0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0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0" hidden="1">OFFSET(Anch,MATCH("Mail.ru",resList,0),3,COUNTIF(resList,"Mail.ru")-1,1)</definedName>
    <definedName name="budMail" hidden="1">OFFSET(Anch,MATCH("Mail.ru",resList,0),3,COUNTIF(resList,"Mail.ru")-1,1)</definedName>
    <definedName name="budMtv" localSheetId="0" hidden="1">OFFSET(Anch,MATCH("MTV.ru",resList,0),3,COUNTIF(resList,"MTV.ru")-1,1)</definedName>
    <definedName name="budMtv" hidden="1">OFFSET(Anch,MATCH("MTV.ru",resList,0),3,COUNTIF(resList,"MTV.ru")-1,1)</definedName>
    <definedName name="budNewsru" localSheetId="0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0" hidden="1">OFFSET(Anch,MATCH("24open.ru",resList,0),3,COUNTIF(resList,"24open.ru")-1,1)</definedName>
    <definedName name="budo24" hidden="1">OFFSET(Anch,MATCH("24open.ru",resList,0),3,COUNTIF(resList,"24open.ru")-1,1)</definedName>
    <definedName name="budRian" localSheetId="0" hidden="1">OFFSET(Anch,MATCH("RIAN.ru",resList,0),3,COUNTIF(resList,"RIAN.ru")-1,1)</definedName>
    <definedName name="budRian" hidden="1">OFFSET(Anch,MATCH("RIAN.ru",resList,0),3,COUNTIF(resList,"RIAN.ru")-1,1)</definedName>
    <definedName name="budSp" localSheetId="0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0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0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okrug" localSheetId="0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0" hidden="1">OFFSET(Anch,MATCH("Vzglyad.ru",resList,0),3,COUNTIF(resList,"Vzglyad.ru")-1,1)</definedName>
    <definedName name="budVzglyad" hidden="1">OFFSET(Anch,MATCH("Vzglyad.ru",resList,0),3,COUNTIF(resList,"Vzglyad.ru")-1,1)</definedName>
    <definedName name="budYa" localSheetId="0" hidden="1">OFFSET(Anch,MATCH("Yandex.ru",resList,0),3,COUNTIF(resList,"Yandex.ru")-1,1)</definedName>
    <definedName name="budYa" hidden="1">OFFSET(Anch,MATCH("Yandex.ru",resList,0),3,COUNTIF(resList,"Yandex.ru")-1,1)</definedName>
    <definedName name="ca">#REF!</definedName>
    <definedName name="cad" hidden="1">[10]XLR_NoRangeSheet!$B$5</definedName>
    <definedName name="CAL">#REF!</definedName>
    <definedName name="calcola_indice">[11]GRP!#REF!</definedName>
    <definedName name="calmedia">#REF!</definedName>
    <definedName name="calmedia2">#REF!</definedName>
    <definedName name="calprod2">#REF!</definedName>
    <definedName name="CALPROD3">#REF!</definedName>
    <definedName name="Calproduit">#REF!</definedName>
    <definedName name="canale5">#REF!,#REF!,#REF!,#REF!,#REF!,#REF!,#REF!,#REF!,#REF!,#REF!</definedName>
    <definedName name="canali">#REF!</definedName>
    <definedName name="cat">#REF!</definedName>
    <definedName name="cc">#REF!</definedName>
    <definedName name="Cēsu" hidden="1">{"'siets LAT'!$J$95","'siets LAT'!$J$95"}</definedName>
    <definedName name="Cha">#REF!</definedName>
    <definedName name="ci">'[12]PIANO GENERALE'!#REF!</definedName>
    <definedName name="clb">#REF!</definedName>
    <definedName name="CLP">#REF!</definedName>
    <definedName name="CMERCE">#REF!</definedName>
    <definedName name="CN" hidden="1">{#N/A,#N/A,TRUE,"Пресса";#N/A,#N/A,TRUE,"Метро";#N/A,#N/A,TRUE,"Щиты";#N/A,#N/A,TRUE,"График";#N/A,#N/A,TRUE,"График"}</definedName>
    <definedName name="coco">#REF!</definedName>
    <definedName name="coco_1">#REF!</definedName>
    <definedName name="coco_2">#REF!</definedName>
    <definedName name="coco_3">#REF!</definedName>
    <definedName name="COMPBL">#REF!</definedName>
    <definedName name="COMPER">#REF!</definedName>
    <definedName name="COMPRS">#REF!</definedName>
    <definedName name="COMQUO">#REF!</definedName>
    <definedName name="cost">#REF!</definedName>
    <definedName name="CPP">#REF!</definedName>
    <definedName name="CSMEZ">#REF!</definedName>
    <definedName name="d3Disc" hidden="1">'[6]3DNEWS.RU'!$E$48</definedName>
    <definedName name="d3DiscTotal" hidden="1">MAX((100%-splitDisc)*(100%-[0]!d3Disc)*(100%-agencyDisc)*(100%-[0]!discReach),[0]!maxd3)</definedName>
    <definedName name="daimler">#REF!</definedName>
    <definedName name="Dandy_new" hidden="1">{"'siets LAT'!$J$95","'siets LAT'!$J$95"}</definedName>
    <definedName name="dd">'[13]MP 2007'!#REF!</definedName>
    <definedName name="ddd">#REF!</definedName>
    <definedName name="de">[14]Spee!$A$63</definedName>
    <definedName name="debby">#REF!</definedName>
    <definedName name="DEBORA">#REF!</definedName>
    <definedName name="description">#REF!</definedName>
    <definedName name="dez">#REF!</definedName>
    <definedName name="dfg" hidden="1">[10]XLR_NoRangeSheet!$A$5</definedName>
    <definedName name="dgdg" hidden="1">[10]XLR_NoRangeSheet!$A$5</definedName>
    <definedName name="discMax" hidden="1">'[6]##'!$Q$20:$Q$42</definedName>
    <definedName name="discReach" hidden="1">#N/A</definedName>
    <definedName name="dolzina">#REF!</definedName>
    <definedName name="dolzina_1">#REF!</definedName>
    <definedName name="dqsqqs">#REF!</definedName>
    <definedName name="Druckbereich_MI">#REF!</definedName>
    <definedName name="Drucktitel2">#REF!</definedName>
    <definedName name="dsdasadsfsf" hidden="1">4</definedName>
    <definedName name="echoDisc" hidden="1">'[6]ECHO.MSK.RU'!$E$49</definedName>
    <definedName name="echoDiscTotal" hidden="1">MAX((100%-splitDisc)*(100%-[0]!echoDisc)*(100%-agencyDisc)*(100%-[0]!discReach),[0]!maxEcho)</definedName>
    <definedName name="EDITION">#REF!</definedName>
    <definedName name="eeeeeee" hidden="1">4</definedName>
    <definedName name="eeeeeeeeeee" hidden="1">27</definedName>
    <definedName name="eh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qwqeq">#REF!</definedName>
    <definedName name="Estimacion">#REF!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Criteria">[15]LODI!#REF!</definedName>
    <definedName name="Excel_BuiltIn_Extract">[15]LODI!#REF!</definedName>
    <definedName name="expertDisc" hidden="1">[6]EXPERT.RU!$E$50</definedName>
    <definedName name="expertDiscTotal" hidden="1">MAX((100%-splitDisc)*(100%-[0]!expertDisc)*(100%-agencyDisc)*(100%-[0]!discReach),[0]!maxExpert)</definedName>
    <definedName name="extraDelay" hidden="1">IF([0]!fixDelay,10%,0)</definedName>
    <definedName name="f">#REF!</definedName>
    <definedName name="FA">#REF!,#REF!,#REF!,#REF!,#REF!,#REF!,#REF!,#REF!,#REF!,#REF!,#REF!,#REF!,#REF!,#REF!,#REF!,#REF!,#REF!,#REF!,#REF!,#REF!,#REF!,#REF!,#REF!</definedName>
    <definedName name="FactsCount">1</definedName>
    <definedName name="FASCIA1">#REF!,#REF!,#REF!,#REF!,#REF!,#REF!,#REF!,#REF!,#REF!,#REF!,#REF!,#REF!,#REF!,#REF!,#REF!,#REF!,#REF!,#REF!,#REF!,#REF!,#REF!,#REF!,#REF!</definedName>
    <definedName name="FASCIAA">#REF!,#REF!,#REF!,#REF!,#REF!,#REF!,#REF!,#REF!,#REF!,#REF!,#REF!,#REF!,#REF!,#REF!,#REF!,#REF!,#REF!,#REF!,#REF!,#REF!,#REF!,#REF!,#REF!,#REF!</definedName>
    <definedName name="FB">#REF!</definedName>
    <definedName name="FD">#REF!</definedName>
    <definedName name="Feb" hidden="1">{#N/A,#N/A,TRUE,"Пресса";#N/A,#N/A,TRUE,"Метро";#N/A,#N/A,TRUE,"Щиты";#N/A,#N/A,TRUE,"График";#N/A,#N/A,TRUE,"График"}</definedName>
    <definedName name="Fehl1">'[2]Data CpGRP'!$A$60</definedName>
    <definedName name="Fehl2">'[2]Data CpGRP'!$A$61</definedName>
    <definedName name="Fehl3">'[2]Data CpGRP'!$A$62</definedName>
    <definedName name="ffdffdf" hidden="1">27</definedName>
    <definedName name="fff">'[16]MP NEON 2008'!#REF!</definedName>
    <definedName name="fg" hidden="1">{#N/A,#N/A,TRUE,"Пресса";#N/A,#N/A,TRUE,"Метро";#N/A,#N/A,TRUE,"Щиты";#N/A,#N/A,TRUE,"График";#N/A,#N/A,TRUE,"График"}</definedName>
    <definedName name="fixAfisha" hidden="1">'[17]##'!$I$24</definedName>
    <definedName name="fixAmedia" hidden="1">'[17]##'!$I$35</definedName>
    <definedName name="fixAuto" hidden="1">'[17]##'!$I$29</definedName>
    <definedName name="fixAvto" hidden="1">'[17]##'!$I$30</definedName>
    <definedName name="fixd3" hidden="1">'[17]##'!$I$39</definedName>
    <definedName name="fixDelay" hidden="1">'[6]##'!$F$6</definedName>
    <definedName name="fixEcho" hidden="1">'[17]##'!$I$33</definedName>
    <definedName name="fixExpert" hidden="1">'[17]##'!$I$26</definedName>
    <definedName name="fixFt" hidden="1">'[17]##'!$I$40</definedName>
    <definedName name="fixGazeta" hidden="1">'[17]##'!$I$23</definedName>
    <definedName name="fixIno" hidden="1">'[17]##'!$I$31</definedName>
    <definedName name="fixKomm" hidden="1">'[17]##'!$I$27</definedName>
    <definedName name="fixLive" hidden="1">'[17]##'!$I$38</definedName>
    <definedName name="fixMail" hidden="1">'[17]##'!$I$21</definedName>
    <definedName name="fixMtv" hidden="1">'[17]##'!$I$37</definedName>
    <definedName name="fixN" hidden="1">'[6]##'!$I$43</definedName>
    <definedName name="fixNewsru" hidden="1">'[17]##'!$I$25</definedName>
    <definedName name="fixo24" hidden="1">'[17]##'!$I$42</definedName>
    <definedName name="fixPlan" hidden="1">'[6]##'!$H$3</definedName>
    <definedName name="fixReach" hidden="1">'[6]##'!$F$3</definedName>
    <definedName name="fixRian" hidden="1">'[17]##'!$I$34</definedName>
    <definedName name="fixSp" hidden="1">'[17]##'!$I$41</definedName>
    <definedName name="fixStyle" hidden="1">'[17]##'!$I$32</definedName>
    <definedName name="fixSubscribe" hidden="1">'[17]##'!$I$28</definedName>
    <definedName name="fixVokrug" hidden="1">'[17]##'!$I$36</definedName>
    <definedName name="fixVzglyad" hidden="1">'[17]##'!$I$22</definedName>
    <definedName name="fixYa" hidden="1">'[17]##'!$I$20</definedName>
    <definedName name="fjk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reiplindex">#REF!</definedName>
    <definedName name="ftDisc" hidden="1">[6]FASHIONTIME.RU!$E$46</definedName>
    <definedName name="ftDiscTotal" hidden="1">MAX((100%-splitDisc)*(100%-[0]!ftDisc)*(100%-agencyDisc)*(100%-[0]!discReach),[0]!maxFt)</definedName>
    <definedName name="Full">#REF!</definedName>
    <definedName name="FX">#REF!</definedName>
    <definedName name="G_F0" hidden="1">[18]XLRpt_TempSheet!$B$6</definedName>
    <definedName name="gazetaDisc" hidden="1">[6]GAZETA.RU!$E$53</definedName>
    <definedName name="gazetaDiscTotal" hidden="1">MAX((100%-splitDisc)*(100%-[0]!gazetaDisc)*(100%-agencyDisc)*(100%-[0]!discReach),[0]!maxGazeta)</definedName>
    <definedName name="gflisa">#REF!</definedName>
    <definedName name="gg">#REF!</definedName>
    <definedName name="gh">#REF!</definedName>
    <definedName name="ghh" hidden="1">[10]XLR_NoRangeSheet!$B$5</definedName>
    <definedName name="ghjk">#REF!</definedName>
    <definedName name="ghvggg">#REF!</definedName>
    <definedName name="ghvggg_1">#REF!</definedName>
    <definedName name="ghvggg_2">#REF!</definedName>
    <definedName name="gio">#REF!</definedName>
    <definedName name="gjhfg" hidden="1">[18]XLRpt_TempSheet!$B$6</definedName>
    <definedName name="gkfy" hidden="1">{#N/A,#N/A,TRUE,"Пресса";#N/A,#N/A,TRUE,"Метро";#N/A,#N/A,TRUE,"Щиты";#N/A,#N/A,TRUE,"График";#N/A,#N/A,TRUE,"График"}</definedName>
    <definedName name="gwer">#REF!</definedName>
    <definedName name="haa">#REF!</definedName>
    <definedName name="HeaderCols">2</definedName>
    <definedName name="HeaderRows">3</definedName>
    <definedName name="hen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gth">#REF!</definedName>
    <definedName name="hhhhhhh">#REF!</definedName>
    <definedName name="HQLogo_1">#REF!</definedName>
    <definedName name="HTML_CodePage" hidden="1">1257</definedName>
    <definedName name="HTML_Control" hidden="1">{"'siets LAT'!$J$95","'siets LAT'!$J$95"}</definedName>
    <definedName name="HTML_Description" hidden="1">""</definedName>
    <definedName name="HTML_Email" hidden="1">""</definedName>
    <definedName name="HTML_Header" hidden="1">"siets LAT"</definedName>
    <definedName name="HTML_LastUpdate" hidden="1">"98.04.24."</definedName>
    <definedName name="HTML_LineAfter" hidden="1">FALSE</definedName>
    <definedName name="HTML_LineBefore" hidden="1">FALSE</definedName>
    <definedName name="HTML_Name" hidden="1">"Guru"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"5 CENU LISTES 1998A"</definedName>
    <definedName name="IL">#REF!,#REF!,#REF!,#REF!,#REF!,#REF!,#REF!,#REF!,#REF!,#REF!,#REF!,#REF!,#REF!</definedName>
    <definedName name="import">#REF!</definedName>
    <definedName name="Indoor">#REF!</definedName>
    <definedName name="inoDisc" hidden="1">[6]INOPRESSA.RU!$E$49</definedName>
    <definedName name="inoDiscTotal" hidden="1">MAX((100%-splitDisc)*(100%-[0]!inoDisc)*(100%-agencyDisc)*(100%-[0]!discReach),[0]!maxIno)</definedName>
    <definedName name="Internet">#REF!</definedName>
    <definedName name="io" hidden="1">{#N/A,#N/A,TRUE,"Пресса";#N/A,#N/A,TRUE,"Метро";#N/A,#N/A,TRUE,"Щиты";#N/A,#N/A,TRUE,"График";#N/A,#N/A,TRUE,"График"}</definedName>
    <definedName name="ir">#REF!</definedName>
    <definedName name="italia1">#REF!,#REF!,#REF!,#REF!,#REF!,#REF!,#REF!,#REF!,#REF!,#REF!,#REF!,#REF!,#REF!</definedName>
    <definedName name="ITCCBDG">#REF!</definedName>
    <definedName name="ITCCCOM">#REF!</definedName>
    <definedName name="ITCCLIST">#REF!</definedName>
    <definedName name="j">'[19]MP NEON 2007'!#REF!</definedName>
    <definedName name="jan">#REF!</definedName>
    <definedName name="jhgjgg" hidden="1">{#N/A,#N/A,TRUE,"Пресса";#N/A,#N/A,TRUE,"Метро";#N/A,#N/A,TRUE,"Щиты";#N/A,#N/A,TRUE,"График";#N/A,#N/A,TRUE,"График"}</definedName>
    <definedName name="jul">#REF!</definedName>
    <definedName name="jun">#REF!</definedName>
    <definedName name="k">[15]LODI!#REF!</definedName>
    <definedName name="katja">'[2]Data CpGRP'!#REF!</definedName>
    <definedName name="Kino">#REF!</definedName>
    <definedName name="km">#REF!</definedName>
    <definedName name="kommDisc" hidden="1">[6]KOMMERSANT.RU!$E$44</definedName>
    <definedName name="kommDiscTotal" hidden="1">MAX((100%-splitDisc)*(100%-[0]!kommDisc)*(100%-agencyDisc)*(100%-[0]!discReach),[0]!maxKomm)</definedName>
    <definedName name="KOSIA" hidden="1">{"'siets LAT'!$J$95","'siets LAT'!$J$95"}</definedName>
    <definedName name="KostProz_1">'[2]Data Sender-ZS'!$C$15,'[2]Data Sender-ZS'!$C$29,'[2]Data Sender-ZS'!$C$43,'[2]Data Sender-ZS'!$C$57,'[2]Data Sender-ZS'!$C$71,'[2]Data Sender-ZS'!$C$99,'[2]Data Sender-ZS'!$C$113,'[2]Data Sender-ZS'!$C$85</definedName>
    <definedName name="KostProz_10">'[2]Data Sender-ZS'!$L$15,'[2]Data Sender-ZS'!$L$29,'[2]Data Sender-ZS'!$L$43,'[2]Data Sender-ZS'!$L$57,'[2]Data Sender-ZS'!$L$71,'[2]Data Sender-ZS'!$L$85,'[2]Data Sender-ZS'!$L$99,'[2]Data Sender-ZS'!$L$113</definedName>
    <definedName name="KostProz_11">'[2]Data Sender-ZS'!$M$15,'[2]Data Sender-ZS'!$M$29,'[2]Data Sender-ZS'!$M$43,'[2]Data Sender-ZS'!$M$57,'[2]Data Sender-ZS'!$M$71,'[2]Data Sender-ZS'!$M$85,'[2]Data Sender-ZS'!$M$99,'[2]Data Sender-ZS'!$M$113</definedName>
    <definedName name="KostProz_12">'[2]Data Sender-ZS'!$N$15,'[2]Data Sender-ZS'!$N$29,'[2]Data Sender-ZS'!$N$43,'[2]Data Sender-ZS'!$N$57,'[2]Data Sender-ZS'!$N$71,'[2]Data Sender-ZS'!$N$85,'[2]Data Sender-ZS'!$N$99,'[2]Data Sender-ZS'!$N$113</definedName>
    <definedName name="KostProz_2">'[2]Data Sender-ZS'!$D$15,'[2]Data Sender-ZS'!$D$29,'[2]Data Sender-ZS'!$D$43,'[2]Data Sender-ZS'!$D$57,'[2]Data Sender-ZS'!$D$71,'[2]Data Sender-ZS'!$D$85,'[2]Data Sender-ZS'!$D$99,'[2]Data Sender-ZS'!$D$113</definedName>
    <definedName name="KostProz_3">'[2]Data Sender-ZS'!$E$15,'[2]Data Sender-ZS'!$E$29,'[2]Data Sender-ZS'!$E$43,'[2]Data Sender-ZS'!$E$57,'[2]Data Sender-ZS'!$E$71,'[2]Data Sender-ZS'!$E$85,'[2]Data Sender-ZS'!$E$99,'[2]Data Sender-ZS'!$E$113</definedName>
    <definedName name="KostProz_4">'[2]Data Sender-ZS'!$F$15,'[2]Data Sender-ZS'!$F$29,'[2]Data Sender-ZS'!$F$43,'[2]Data Sender-ZS'!$F$57,'[2]Data Sender-ZS'!$F$71,'[2]Data Sender-ZS'!$F$85,'[2]Data Sender-ZS'!$F$99,'[2]Data Sender-ZS'!$F$113</definedName>
    <definedName name="KostProz_5">'[2]Data Sender-ZS'!$G$15,'[2]Data Sender-ZS'!$G$29,'[2]Data Sender-ZS'!$G$43,'[2]Data Sender-ZS'!$G$57,'[2]Data Sender-ZS'!$G$71,'[2]Data Sender-ZS'!$G$85,'[2]Data Sender-ZS'!$G$99,'[2]Data Sender-ZS'!$G$113</definedName>
    <definedName name="KostProz_6">'[2]Data Sender-ZS'!$H$15,'[2]Data Sender-ZS'!$H$29,'[2]Data Sender-ZS'!$H$43,'[2]Data Sender-ZS'!$H$57,'[2]Data Sender-ZS'!$H$71,'[2]Data Sender-ZS'!$H$85,'[2]Data Sender-ZS'!$H$99,'[2]Data Sender-ZS'!$H$113</definedName>
    <definedName name="KostProz_7">'[2]Data Sender-ZS'!$I$15,'[2]Data Sender-ZS'!$I$29,'[2]Data Sender-ZS'!$I$43,'[2]Data Sender-ZS'!$I$57,'[2]Data Sender-ZS'!$I$71,'[2]Data Sender-ZS'!$I$85,'[2]Data Sender-ZS'!$I$99,'[2]Data Sender-ZS'!$I$113</definedName>
    <definedName name="KostProz_8">'[2]Data Sender-ZS'!$J$15,'[2]Data Sender-ZS'!$J$29,'[2]Data Sender-ZS'!$J$43,'[2]Data Sender-ZS'!$J$57,'[2]Data Sender-ZS'!$J$71,'[2]Data Sender-ZS'!$J$85,'[2]Data Sender-ZS'!$J$99,'[2]Data Sender-ZS'!$J$113</definedName>
    <definedName name="KostProz_9">'[2]Data Sender-ZS'!$K$15,'[2]Data Sender-ZS'!$K$29,'[2]Data Sender-ZS'!$K$43,'[2]Data Sender-ZS'!$K$57,'[2]Data Sender-ZS'!$K$71,'[2]Data Sender-ZS'!$K$85,'[2]Data Sender-ZS'!$K$99,'[2]Data Sender-ZS'!$K$113</definedName>
    <definedName name="Kunde">'[2]Data CpGRP'!$B$2</definedName>
    <definedName name="LCV">[1]Vehicles!$B$63:$O$71</definedName>
    <definedName name="Lieferant">#REF!</definedName>
    <definedName name="linkedAfisha" hidden="1">'[6]##'!$C$24</definedName>
    <definedName name="linkedAll" hidden="1">'[6]##'!$C$20:$C$42</definedName>
    <definedName name="linkedAmedia" hidden="1">'[6]##'!$C$35</definedName>
    <definedName name="linkedAuto" hidden="1">'[6]##'!$C$29</definedName>
    <definedName name="linkedAvto" hidden="1">'[6]##'!$C$30</definedName>
    <definedName name="linkedd3" hidden="1">'[6]##'!$C$39</definedName>
    <definedName name="linkedEcho" hidden="1">'[6]##'!$C$33</definedName>
    <definedName name="linkedExpert" hidden="1">'[6]##'!$C$26</definedName>
    <definedName name="linkedFt" hidden="1">'[6]##'!$C$40</definedName>
    <definedName name="linkedGazeta" hidden="1">'[6]##'!$C$23</definedName>
    <definedName name="linkedIno" hidden="1">'[6]##'!$C$31</definedName>
    <definedName name="linkedKomm" hidden="1">'[6]##'!$C$27</definedName>
    <definedName name="linkedLive" hidden="1">'[6]##'!$C$38</definedName>
    <definedName name="linkedMail" hidden="1">'[6]##'!$C$21</definedName>
    <definedName name="linkedMtv" hidden="1">'[6]##'!$C$37</definedName>
    <definedName name="linkedNewsru" hidden="1">'[6]##'!$C$25</definedName>
    <definedName name="linkedo24" hidden="1">'[6]##'!$C$42</definedName>
    <definedName name="linkedRian" hidden="1">'[6]##'!$C$34</definedName>
    <definedName name="linkedSp" hidden="1">'[6]##'!$C$41</definedName>
    <definedName name="linkedStyle" hidden="1">'[6]##'!$C$32</definedName>
    <definedName name="linkedSubscribe" hidden="1">'[6]##'!$C$28</definedName>
    <definedName name="linkedVokrug" hidden="1">'[6]##'!$C$36</definedName>
    <definedName name="linkedVzglyad" hidden="1">'[6]##'!$C$22</definedName>
    <definedName name="linkedYa" hidden="1">'[6]##'!$C$20</definedName>
    <definedName name="lisa">#REF!</definedName>
    <definedName name="lisquo">#REF!</definedName>
    <definedName name="LISTMTV">#REF!</definedName>
    <definedName name="LISTPBL">#REF!</definedName>
    <definedName name="LISTPER">#REF!</definedName>
    <definedName name="LISTPRS">#REF!</definedName>
    <definedName name="LISTQUO">#REF!</definedName>
    <definedName name="LISTTMC">#REF!</definedName>
    <definedName name="liveDisc" hidden="1">[6]LIVEINTERNET.RU!$E$55</definedName>
    <definedName name="liveDiscTotal" hidden="1">MAX((100%-splitDisc)*(100%-[0]!liveDisc)*(100%-agencyDisc)*(100%-[0]!discReach),[0]!maxLive)</definedName>
    <definedName name="lm">#REF!</definedName>
    <definedName name="LTV_6MONTHNEW" hidden="1">{"'siets LAT'!$J$95","'siets LAT'!$J$95"}</definedName>
    <definedName name="m_plan" hidden="1">{#N/A,#N/A,TRUE,"Пресса";#N/A,#N/A,TRUE,"Метро";#N/A,#N/A,TRUE,"Щиты";#N/A,#N/A,TRUE,"График";#N/A,#N/A,TRUE,"График"}</definedName>
    <definedName name="Magazyny">#REF!</definedName>
    <definedName name="mai">#REF!</definedName>
    <definedName name="mailDisc" hidden="1">[6]MAIL.RU!$E$59</definedName>
    <definedName name="mailDiscTotal" hidden="1">MAX((100%-splitDisc)*(100%-[0]!mailDisc)*(100%-agencyDisc)*(100%-[0]!discReach),[0]!maxMail)</definedName>
    <definedName name="Martini" hidden="1">{"'siets LAT'!$J$95","'siets LAT'!$J$95"}</definedName>
    <definedName name="material_number">#REF!</definedName>
    <definedName name="maxAfisha" hidden="1">'[6]##'!$O$24</definedName>
    <definedName name="maxAmedia" hidden="1">'[6]##'!$O$35</definedName>
    <definedName name="maxAuto" hidden="1">'[6]##'!$O$29</definedName>
    <definedName name="maxAvto" hidden="1">'[6]##'!$O$30</definedName>
    <definedName name="maxd3" hidden="1">'[6]##'!$O$39</definedName>
    <definedName name="maxEcho" hidden="1">'[6]##'!$O$33</definedName>
    <definedName name="maxExpert" hidden="1">'[6]##'!$O$26</definedName>
    <definedName name="maxFt" hidden="1">'[6]##'!$O$40</definedName>
    <definedName name="maxGazeta" hidden="1">'[6]##'!$O$23</definedName>
    <definedName name="maxIno" hidden="1">'[6]##'!$O$31</definedName>
    <definedName name="maxKomm" hidden="1">'[6]##'!$O$27</definedName>
    <definedName name="maxLive" hidden="1">'[6]##'!$O$38</definedName>
    <definedName name="maxMail" hidden="1">'[6]##'!$O$21</definedName>
    <definedName name="maxMtv" hidden="1">'[6]##'!$O$37</definedName>
    <definedName name="maxNewsru" hidden="1">'[6]##'!$O$25</definedName>
    <definedName name="maxo24" hidden="1">'[6]##'!$O$42</definedName>
    <definedName name="MaxRange">'[20]MA-BL'!#REF!</definedName>
    <definedName name="maxRian" hidden="1">'[6]##'!$O$34</definedName>
    <definedName name="maxSp" hidden="1">'[6]##'!$O$41</definedName>
    <definedName name="maxStyle" hidden="1">'[6]##'!$O$32</definedName>
    <definedName name="maxSubscribe" hidden="1">'[6]##'!$O$28</definedName>
    <definedName name="maxVokrug" hidden="1">'[6]##'!$O$36</definedName>
    <definedName name="maxVzglyad" hidden="1">'[6]##'!$O$22</definedName>
    <definedName name="maxYa" hidden="1">'[6]##'!$O$20</definedName>
    <definedName name="MC">[1]Vehicles!$B$91:$O$99</definedName>
    <definedName name="MCV">[1]Vehicles!$B$49:$O$57</definedName>
    <definedName name="Mfc">#REF!</definedName>
    <definedName name="mmmm">#REF!</definedName>
    <definedName name="monthCol" hidden="1">#REF!</definedName>
    <definedName name="monthFinish" hidden="1">#REF!</definedName>
    <definedName name="months" hidden="1">'[6]##'!$B$3:$B$14</definedName>
    <definedName name="monthSel" hidden="1">#REF!</definedName>
    <definedName name="monthStart" hidden="1">#REF!</definedName>
    <definedName name="mrz">#REF!</definedName>
    <definedName name="mtvDisc" hidden="1">[6]MTV.RU!$E$48</definedName>
    <definedName name="mtvDiscTotal" hidden="1">MAX((100%-splitDisc)*(100%-[0]!mtvDisc)*(100%-agencyDisc)*(100%-[0]!discReach),[0]!maxMtv)</definedName>
    <definedName name="nameSites">[4]SitesVermarkter!$C:$C</definedName>
    <definedName name="NETMTV">#REF!</definedName>
    <definedName name="NETPBL">#REF!</definedName>
    <definedName name="NETPER">#REF!</definedName>
    <definedName name="NETQUO">#REF!</definedName>
    <definedName name="NETTOMTV">#REF!</definedName>
    <definedName name="NETTOSIPRA">#REF!</definedName>
    <definedName name="NETWORK">#REF!,#REF!,#REF!,#REF!,#REF!,#REF!,#REF!,#REF!,#REF!,#REF!,#REF!,#REF!,#REF!,#REF!,#REF!</definedName>
    <definedName name="newsruDisc" hidden="1">[6]NEWSRU.COM!$E$49</definedName>
    <definedName name="newsruDiscTotal" hidden="1">MAX((100%-splitDisc)*(100%-[0]!newsruDisc)*(100%-agencyDisc)*(100%-[0]!discReach),[0]!maxNewsru)</definedName>
    <definedName name="normal" localSheetId="0">[7]OT97QUAR!normal</definedName>
    <definedName name="normal">[7]OT97QUAR!normal</definedName>
    <definedName name="nov">#REF!</definedName>
    <definedName name="NTSSPRS">#REF!</definedName>
    <definedName name="NZ">#REF!</definedName>
    <definedName name="o24Disc" hidden="1">'[6]24OPEN.RU'!$E$52</definedName>
    <definedName name="o24DiscTotal" hidden="1">MAX((100%-splitDisc)*(100%-[0]!o24Disc)*(100%-agencyDisc)*(100%-[0]!discReach),[0]!maxo24)</definedName>
    <definedName name="obla" hidden="1">{"'siets LAT'!$J$95","'siets LAT'!$J$95"}</definedName>
    <definedName name="okt">#REF!</definedName>
    <definedName name="old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nl">#REF!</definedName>
    <definedName name="OOG" localSheetId="0" hidden="1">OFFSET(Anch,MATCH("Amedia.ru",resList,0),3,COUNTIF(resList,"Amedia.ru")-1,1)</definedName>
    <definedName name="OOG" hidden="1">OFFSET(Anch,MATCH("Amedia.ru",resList,0),3,COUNTIF(resList,"Amedia.ru")-1,1)</definedName>
    <definedName name="OOh" localSheetId="0" hidden="1">OFFSET(Anch,MATCH("Expert.ru",resList,0),3,COUNTIF(resList,"Expert.ru")-1,1)</definedName>
    <definedName name="OOh" hidden="1">OFFSET(Anch,MATCH("Expert.ru",resList,0),3,COUNTIF(resList,"Expert.ru")-1,1)</definedName>
    <definedName name="op">#REF!</definedName>
    <definedName name="Opti">'[2]Data CpGRP'!#REF!</definedName>
    <definedName name="Outdoor">#REF!</definedName>
    <definedName name="PA">#REF!</definedName>
    <definedName name="pathfinder" hidden="1">[10]XLR_NoRangeSheet!$A$5</definedName>
    <definedName name="PB">#REF!</definedName>
    <definedName name="PC">#REF!</definedName>
    <definedName name="PD">#REF!</definedName>
    <definedName name="Pemolux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IANO">#REF!</definedName>
    <definedName name="pippo">#REF!</definedName>
    <definedName name="Platform">#REF!</definedName>
    <definedName name="pluto">#REF!</definedName>
    <definedName name="poiugt" hidden="1">[10]XLR_NoRangeSheet!$A$5</definedName>
    <definedName name="Pos1_Clicks">#REF!</definedName>
    <definedName name="Pos1_CostClick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rint_BE">#REF!</definedName>
    <definedName name="Print_DE">#REF!</definedName>
    <definedName name="Print_FR">#REF!</definedName>
    <definedName name="Print_main">#REF!</definedName>
    <definedName name="Print_NL">#REF!</definedName>
    <definedName name="Print_SE">#REF!</definedName>
    <definedName name="Print_UK">#REF!</definedName>
    <definedName name="Prod">'[2]Data CpGRP'!$B$3</definedName>
    <definedName name="Product">#REF!</definedName>
    <definedName name="PVariant">'[2]Data CpGRP'!$B$6</definedName>
    <definedName name="PX">#REF!</definedName>
    <definedName name="qduua" hidden="1">#REF!</definedName>
    <definedName name="qff">#REF!</definedName>
    <definedName name="qq" hidden="1">4</definedName>
    <definedName name="qqqqqqq" hidden="1">4</definedName>
    <definedName name="qqqqqqqq" hidden="1">27</definedName>
    <definedName name="qsdf">#REF!</definedName>
    <definedName name="Radio">#REF!</definedName>
    <definedName name="RAI">#REF!,#REF!,#REF!,#REF!,#REF!,#REF!,#REF!,#REF!,#REF!,#REF!,#REF!,#REF!,#REF!,#REF!,#REF!,#REF!,#REF!,#REF!,#REF!,#REF!,#REF!,#REF!,#REF!</definedName>
    <definedName name="Range_1">#REF!</definedName>
    <definedName name="Range_2">#REF!</definedName>
    <definedName name="Range_3">#REF!</definedName>
    <definedName name="Range_4">#REF!</definedName>
    <definedName name="Range_5">#REF!</definedName>
    <definedName name="Report_1_Range_1">#REF!</definedName>
    <definedName name="Report_1_Range_2">#REF!</definedName>
    <definedName name="Report_1_Range_3">#REF!</definedName>
    <definedName name="Report_1_Range_4">#REF!</definedName>
    <definedName name="Report_1_Range_5">#REF!</definedName>
    <definedName name="Report_2_Range_1">#REF!</definedName>
    <definedName name="rete4">#REF!,#REF!,#REF!,#REF!,#REF!,#REF!,#REF!,#REF!,#REF!,#REF!,#REF!,#REF!</definedName>
    <definedName name="rianDisc" hidden="1">'[6]RIAN.RU'!$E$46</definedName>
    <definedName name="rianDiscTotal" hidden="1">MAX((100%-splitDisc)*(100%-[0]!rianDisc)*(100%-agencyDisc)*(100%-[0]!discReach),[0]!maxRian)</definedName>
    <definedName name="rMain">'[21]Teleport FIX'!#REF!</definedName>
    <definedName name="rngCommentsBlank">#REF!</definedName>
    <definedName name="rngDescription">#REF!</definedName>
    <definedName name="rngIOyourcontact">#REF!</definedName>
    <definedName name="rngTitle">#REF!</definedName>
    <definedName name="Rollton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sadfedfr">#REF!</definedName>
    <definedName name="SAPBEXrevision" hidden="1">6</definedName>
    <definedName name="SAPBEXsysID" hidden="1">"HBP"</definedName>
    <definedName name="SAPBEXwbID" hidden="1">"3ZIPRQHC3J68QW4YD9OZ5AYYW"</definedName>
    <definedName name="sasa" hidden="1">#REF!</definedName>
    <definedName name="SC">[1]Vehicles!$B$77:$O$85</definedName>
    <definedName name="Schaltzeitraum">'[22]12'!$D$13</definedName>
    <definedName name="SCHEDA">[15]LODI!#REF!</definedName>
    <definedName name="SCV">[1]Vehicles!$B$34:$O$42</definedName>
    <definedName name="sd" hidden="1">{#N/A,#N/A,TRUE,"Пресса";#N/A,#N/A,TRUE,"Метро";#N/A,#N/A,TRUE,"Щиты";#N/A,#N/A,TRUE,"График";#N/A,#N/A,TRUE,"График"}</definedName>
    <definedName name="sep">#REF!</definedName>
    <definedName name="solver_rh" hidden="1">4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р" hidden="1">3</definedName>
    <definedName name="solver_va" hidden="1">27</definedName>
    <definedName name="spDisc" hidden="1">[6]SPORTS.RU!$E$46</definedName>
    <definedName name="spDiscTotal" hidden="1">MAX((100%-splitDisc)*(100%-[0]!spDisc)*(100%-agencyDisc)*(100%-[0]!discReach),[0]!maxSp)</definedName>
    <definedName name="SPESE">#REF!</definedName>
    <definedName name="splitDisc" hidden="1">#REF!</definedName>
    <definedName name="SpotForm">'[2]Data CpGRP'!$B$5</definedName>
    <definedName name="Spotl1">'[2]Data CpGRP'!$B$30</definedName>
    <definedName name="Spotl2">'[2]Data CpGRP'!$B$31</definedName>
    <definedName name="Spotl3">'[2]Data CpGRP'!$B$32</definedName>
    <definedName name="Spotl4">'[2]Data CpGRP'!$B$33</definedName>
    <definedName name="Spotl5">'[2]Data CpGRP'!$B$34</definedName>
    <definedName name="Spotl6">'[2]Data CpGRP'!$B$35</definedName>
    <definedName name="Spotl7">'[2]Data CpGRP'!$B$36</definedName>
    <definedName name="Spotl8">'[2]Data CpGRP'!$B$37</definedName>
    <definedName name="status12_6">#REF!</definedName>
    <definedName name="status12_6_1">#REF!</definedName>
    <definedName name="status12_6_2">#REF!</definedName>
    <definedName name="STIMA">[11]GRP!#REF!</definedName>
    <definedName name="StudiaforTNK" hidden="1">{#N/A,#N/A,TRUE,"Пресса";#N/A,#N/A,TRUE,"Метро";#N/A,#N/A,TRUE,"Щиты";#N/A,#N/A,TRUE,"График";#N/A,#N/A,TRUE,"График"}</definedName>
    <definedName name="styleDisc" hidden="1">[6]SUPERSTYLE.RU!$E$48</definedName>
    <definedName name="styleDiscTotal" hidden="1">MAX((100%-splitDisc)*(100%-[0]!styleDisc)*(100%-agencyDisc)*(100%-[0]!discReach),[0]!maxStyle)</definedName>
    <definedName name="subscribeDisc" hidden="1">[6]SUBSCRIBE.RU!$E$63</definedName>
    <definedName name="subscribeDiscTotal" hidden="1">MAX((100%-splitDisc)*(100%-[0]!subscribeDisc)*(100%-agencyDisc)*(100%-[0]!discReach),[0]!maxSubscribe)</definedName>
    <definedName name="supplier">#REF!</definedName>
    <definedName name="t">#REF!</definedName>
    <definedName name="ta">#REF!</definedName>
    <definedName name="TABELLE">#REF!</definedName>
    <definedName name="TABLE1">#REF!</definedName>
    <definedName name="TABLE1_1">#REF!</definedName>
    <definedName name="taft1" hidden="1">{#N/A,#N/A,TRUE,"Пресса";#N/A,#N/A,TRUE,"Метро";#N/A,#N/A,TRUE,"Щиты";#N/A,#N/A,TRUE,"График";#N/A,#N/A,TRUE,"График"}</definedName>
    <definedName name="tc">#REF!</definedName>
    <definedName name="td">#REF!</definedName>
    <definedName name="tecaj">#REF!</definedName>
    <definedName name="tecaj_1">#REF!</definedName>
    <definedName name="tecaj_frf">#REF!</definedName>
    <definedName name="tecaj_frf_1">#REF!</definedName>
    <definedName name="TelePlan">'[2]Data CpGRP'!$B$11</definedName>
    <definedName name="Telewizja">#REF!</definedName>
    <definedName name="temp.xls">#REF!</definedName>
    <definedName name="term">#REF!</definedName>
    <definedName name="test">#REF!</definedName>
    <definedName name="Titolo">#REF!</definedName>
    <definedName name="titre">"Texte 1"</definedName>
    <definedName name="total">#REF!</definedName>
    <definedName name="TOTCOM">#REF!</definedName>
    <definedName name="totquo">#REF!</definedName>
    <definedName name="tt">#REF!</definedName>
    <definedName name="TV" hidden="1">{#N/A,#N/A,TRUE,"Пресса";#N/A,#N/A,TRUE,"Метро";#N/A,#N/A,TRUE,"Щиты";#N/A,#N/A,TRUE,"График";#N/A,#N/A,TRUE,"График"}</definedName>
    <definedName name="ty" hidden="1">[10]XLR_NoRangeSheet!$A$5</definedName>
    <definedName name="tyui">#REF!</definedName>
    <definedName name="u" hidden="1">{#N/A,#N/A,TRUE,"Пресса";#N/A,#N/A,TRUE,"Метро";#N/A,#N/A,TRUE,"Щиты";#N/A,#N/A,TRUE,"График";#N/A,#N/A,TRUE,"График"}</definedName>
    <definedName name="USIA" hidden="1">{"'siets LAT'!$J$95","'siets LAT'!$J$95"}</definedName>
    <definedName name="uu">#REF!</definedName>
    <definedName name="V_F0" hidden="1">[23]XLR_NoRangeSheet!$B$6</definedName>
    <definedName name="V_F1" hidden="1">[23]XLR_NoRangeSheet!$C$6</definedName>
    <definedName name="V_F10" hidden="1">[23]XLR_NoRangeSheet!$L$6</definedName>
    <definedName name="V_F11" hidden="1">[23]XLR_NoRangeSheet!$M$6</definedName>
    <definedName name="V_F12" hidden="1">[23]XLR_NoRangeSheet!$N$6</definedName>
    <definedName name="V_F13" hidden="1">[23]XLR_NoRangeSheet!$O$6</definedName>
    <definedName name="V_F14" hidden="1">[24]XLR_NoRangeSheet!$P$6</definedName>
    <definedName name="V_F15" hidden="1">[24]XLR_NoRangeSheet!$Q$6</definedName>
    <definedName name="V_F2" hidden="1">[23]XLR_NoRangeSheet!$D$6</definedName>
    <definedName name="V_F3" hidden="1">[23]XLR_NoRangeSheet!$E$6</definedName>
    <definedName name="V_F4" hidden="1">[23]XLR_NoRangeSheet!$F$6</definedName>
    <definedName name="V_F5" hidden="1">[23]XLR_NoRangeSheet!$G$6</definedName>
    <definedName name="V_F6" hidden="1">[23]XLR_NoRangeSheet!$H$6</definedName>
    <definedName name="V_F7" hidden="1">[23]XLR_NoRangeSheet!$I$6</definedName>
    <definedName name="V_F8" hidden="1">[23]XLR_NoRangeSheet!$J$6</definedName>
    <definedName name="V_F9" hidden="1">[23]XLR_NoRangeSheet!$K$6</definedName>
    <definedName name="va" hidden="1">27</definedName>
    <definedName name="vaffanculo">#REF!</definedName>
    <definedName name="vasia" hidden="1">{"'siets LAT'!$J$95","'siets LAT'!$J$95"}</definedName>
    <definedName name="vdsydv" hidden="1">{#N/A,#N/A,FALSE,"Kostenplan"}</definedName>
    <definedName name="ver" hidden="1">{#N/A,#N/A,TRUE,"Пресса";#N/A,#N/A,TRUE,"Метро";#N/A,#N/A,TRUE,"Щиты";#N/A,#N/A,TRUE,"График";#N/A,#N/A,TRUE,"График"}</definedName>
    <definedName name="vg">#REF!</definedName>
    <definedName name="vokrugDisc" hidden="1">[6]VOKRUGSVETA.RU!$E$46</definedName>
    <definedName name="vokrugDiscTotal" hidden="1">MAX((100%-splitDisc)*(100%-[0]!vokrugDisc)*(100%-agencyDisc)*(100%-[0]!discReach),[0]!maxVokrug)</definedName>
    <definedName name="volume">#REF!</definedName>
    <definedName name="Volumen">#REF!</definedName>
    <definedName name="Vorspalte_1">#REF!</definedName>
    <definedName name="Vorspalte_3">#REF!</definedName>
    <definedName name="VP" hidden="1">{"'siets LAT'!$J$95","'siets LAT'!$J$95"}</definedName>
    <definedName name="VW_SKODA">#REF!</definedName>
    <definedName name="vzglyadDisc" hidden="1">[6]VZGLYAD.RU!$E$51</definedName>
    <definedName name="vzglyadDiscTotal" hidden="1">MAX((100%-splitDisc)*(100%-[0]!vzglyadDisc)*(100%-agencyDisc)*(100%-[0]!discReach),[0]!maxVzglyad)</definedName>
    <definedName name="w" hidden="1">{"'siets LAT'!$J$95","'siets LAT'!$J$95"}</definedName>
    <definedName name="wege">#REF!</definedName>
    <definedName name="weger">#REF!</definedName>
    <definedName name="wger">#REF!</definedName>
    <definedName name="wgw">#REF!</definedName>
    <definedName name="wree2" hidden="1">4</definedName>
    <definedName name="wrn.astek.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Kostenplan._.national." hidden="1">{#N/A,#N/A,FALSE,"Kostenplan"}</definedName>
    <definedName name="wrn.test." hidden="1">{"Valuation_Common",#N/A,FALSE,"Valuation"}</definedName>
    <definedName name="wxcv">#REF!</definedName>
    <definedName name="x">#REF!</definedName>
    <definedName name="XLR_ERRNAMESTR" hidden="1">[10]XLR_NoRangeSheet!$B$5</definedName>
    <definedName name="XLR_VERSION" hidden="1">[10]XLR_NoRangeSheet!$A$5</definedName>
    <definedName name="XX">#REF!</definedName>
    <definedName name="XXX">'[25]MP 2008'!#REF!</definedName>
    <definedName name="y" hidden="1">{#N/A,#N/A,TRUE,"Пресса";#N/A,#N/A,TRUE,"Метро";#N/A,#N/A,TRUE,"Щиты";#N/A,#N/A,TRUE,"График";#N/A,#N/A,TRUE,"График"}</definedName>
    <definedName name="yaDisc" hidden="1">[6]YANDEX.RU!$E$58</definedName>
    <definedName name="yaDiscTotal" hidden="1">MAX((100%-splitDisc)*(100%-[0]!yaDisc)*(100%-agencyDisc)*(100%-[0]!discReach),[0]!maxYa)</definedName>
    <definedName name="Z_6C8421F6_CFBF_4FDF_B4DC_68139B9CA901_.wvu.Cols" hidden="1">#REF!,#REF!</definedName>
    <definedName name="Z_EE74EB5D_6A9A_434D_951C_A4EF7F3B129B_.wvu.FilterData" hidden="1">#REF!</definedName>
    <definedName name="zd" hidden="1">#N/A</definedName>
    <definedName name="Zielgruppe">'[2]Data CpGRP'!$B$10</definedName>
    <definedName name="ZZ">#REF!</definedName>
    <definedName name="АААФ">#REF!</definedName>
    <definedName name="арапр" localSheetId="0" hidden="1">OFFSET(Anch,MATCH("Amedia.ru",resList,0),3,COUNTIF(resList,"Amedia.ru")-1,1)</definedName>
    <definedName name="арапр" hidden="1">OFFSET(Anch,MATCH("Amedia.ru",resList,0),3,COUNTIF(resList,"Amedia.ru")-1,1)</definedName>
    <definedName name="б" hidden="1">{#N/A,#N/A,TRUE,"Пресса";#N/A,#N/A,TRUE,"Метро";#N/A,#N/A,TRUE,"Щиты";#N/A,#N/A,TRUE,"График";#N/A,#N/A,TRUE,"График"}</definedName>
    <definedName name="_xlnm.Database">#REF!</definedName>
    <definedName name="ввв" hidden="1">{#N/A,#N/A,TRUE,"Пресса";#N/A,#N/A,TRUE,"Метро";#N/A,#N/A,TRUE,"Щиты";#N/A,#N/A,TRUE,"График";#N/A,#N/A,TRUE,"График"}</definedName>
    <definedName name="днп" hidden="1">#REF!</definedName>
    <definedName name="_xlnm.Print_Titles">#REF!</definedName>
    <definedName name="зщд" hidden="1">4</definedName>
    <definedName name="_xlnm.Extract">#REF!</definedName>
    <definedName name="йф" hidden="1">#REF!</definedName>
    <definedName name="йцйцыычмии">#REF!</definedName>
    <definedName name="йцццй" hidden="1">{#N/A,#N/A,TRUE,"Пресса";#N/A,#N/A,TRUE,"Метро";#N/A,#N/A,TRUE,"Щиты";#N/A,#N/A,TRUE,"График";#N/A,#N/A,TRUE,"График"}</definedName>
    <definedName name="комб">#REF!</definedName>
    <definedName name="_xlnm.Criteria">[26]Kostenplan!#REF!</definedName>
    <definedName name="куукку" localSheetId="0" hidden="1">OFFSET(Anch,MATCH("Expert.ru",resList,0),3,COUNTIF(resList,"Expert.ru")-1,1)</definedName>
    <definedName name="куукку" hidden="1">OFFSET(Anch,MATCH("Expert.ru",resList,0),3,COUNTIF(resList,"Expert.ru")-1,1)</definedName>
    <definedName name="Кууку" localSheetId="0" hidden="1">OFFSET(Anch,MATCH("Expert.ru",resList,0),3,COUNTIF(resList,"Expert.ru")-1,1)</definedName>
    <definedName name="Кууку" hidden="1">OFFSET(Anch,MATCH("Expert.ru",resList,0),3,COUNTIF(resList,"Expert.ru")-1,1)</definedName>
    <definedName name="л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лж" localSheetId="0" hidden="1">OFFSET(Anch,MATCH("Echo.Msk.ru",resList,0),3,COUNTIF(resList,"Echo.Msk.ru")-1,1)</definedName>
    <definedName name="лж" hidden="1">OFFSET(Anch,MATCH("Echo.Msk.ru",resList,0),3,COUNTIF(resList,"Echo.Msk.ru")-1,1)</definedName>
    <definedName name="о" hidden="1">[10]XLR_NoRangeSheet!$A$5</definedName>
    <definedName name="олд" hidden="1">27</definedName>
    <definedName name="ор" hidden="1">[10]XLR_NoRangeSheet!$A$5</definedName>
    <definedName name="пифдлу" hidden="1">#REF!</definedName>
    <definedName name="погода" localSheetId="0" hidden="1">OFFSET(Anch,MATCH("Auto.ru",resList,0),3,COUNTIF(resList,"Auto.ru")-1,1)</definedName>
    <definedName name="погода" hidden="1">OFFSET(Anch,MATCH("Auto.ru",resList,0),3,COUNTIF(resList,"Auto.ru")-1,1)</definedName>
    <definedName name="про" hidden="1">4</definedName>
    <definedName name="прп" hidden="1">{"'siets LAT'!$J$95","'siets LAT'!$J$95"}</definedName>
    <definedName name="_xlnm.Recorder">#REF!</definedName>
    <definedName name="свааао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ук" localSheetId="0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0" hidden="1">OFFSET(Anch,MATCH("Amedia.ru",resList,0),3,COUNTIF(resList,"Amedia.ru")-1,1)</definedName>
    <definedName name="укаука" hidden="1">OFFSET(Anch,MATCH("Amedia.ru",resList,0),3,COUNTIF(resList,"Amedia.ru")-1,1)</definedName>
    <definedName name="Фары">#REF!</definedName>
    <definedName name="фвфыв" hidden="1">MAX((100%-[0]!splitDisc)*(100%-[0]!avtoDisc)*(100%-sasa)*(100%-[0]!discReach),[0]!maxAvto)</definedName>
    <definedName name="ФлоучартСтарый" hidden="1">{#N/A,#N/A,TRUE,"Пресса";#N/A,#N/A,TRUE,"Метро";#N/A,#N/A,TRUE,"Щиты";#N/A,#N/A,TRUE,"График";#N/A,#N/A,TRUE,"График"}</definedName>
    <definedName name="ффффййц">#REF!</definedName>
    <definedName name="фыфцйцу">#REF!</definedName>
    <definedName name="цыв" hidden="1">#N/A</definedName>
    <definedName name="щкуж" localSheetId="0" hidden="1">OFFSET(Anch,MATCH("Expert.ru",resList,0),3,COUNTIF(resList,"Expert.ru")-1,1)</definedName>
    <definedName name="щкуж" hidden="1">OFFSET(Anch,MATCH("Expert.ru",resList,0),3,COUNTIF(resList,"Expert.ru")-1,1)</definedName>
    <definedName name="ываыв" hidden="1">MAX((100%-splitDisc)*(100%-[0]!avtoDisc)*(100%-agencyDisc)*(100%-[0]!discReach),[0]!maxAvto)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0" l="1"/>
  <c r="Q10" i="10"/>
  <c r="Q12" i="10"/>
  <c r="R37" i="10" l="1"/>
  <c r="Q37" i="10"/>
  <c r="S37" i="10" s="1"/>
  <c r="Q36" i="10"/>
  <c r="R36" i="10" l="1"/>
  <c r="S36" i="10" s="1"/>
  <c r="Q62" i="10"/>
  <c r="R63" i="10"/>
  <c r="Q54" i="10"/>
  <c r="R55" i="10"/>
  <c r="Q46" i="10"/>
  <c r="R47" i="10"/>
  <c r="R53" i="10"/>
  <c r="Q63" i="10" l="1"/>
  <c r="S63" i="10" s="1"/>
  <c r="R62" i="10"/>
  <c r="S62" i="10" s="1"/>
  <c r="R54" i="10"/>
  <c r="S54" i="10" s="1"/>
  <c r="Q47" i="10"/>
  <c r="S47" i="10" s="1"/>
  <c r="Q55" i="10"/>
  <c r="S55" i="10" s="1"/>
  <c r="R46" i="10"/>
  <c r="S46" i="10" s="1"/>
  <c r="Q53" i="10"/>
  <c r="S53" i="10" s="1"/>
  <c r="R26" i="10"/>
  <c r="R35" i="10"/>
  <c r="Q34" i="10"/>
  <c r="Q33" i="10"/>
  <c r="Q32" i="10"/>
  <c r="R31" i="10"/>
  <c r="O64" i="10"/>
  <c r="R13" i="10"/>
  <c r="Q14" i="10"/>
  <c r="Q15" i="10"/>
  <c r="R16" i="10"/>
  <c r="Q17" i="10"/>
  <c r="Q18" i="10"/>
  <c r="Q19" i="10"/>
  <c r="Q20" i="10"/>
  <c r="R21" i="10"/>
  <c r="Q22" i="10"/>
  <c r="Q23" i="10"/>
  <c r="Q25" i="10"/>
  <c r="Q27" i="10"/>
  <c r="Q28" i="10"/>
  <c r="Q29" i="10"/>
  <c r="Q30" i="10"/>
  <c r="Q39" i="10"/>
  <c r="Q40" i="10"/>
  <c r="Q41" i="10"/>
  <c r="Q42" i="10"/>
  <c r="Q43" i="10"/>
  <c r="R44" i="10"/>
  <c r="Q45" i="10"/>
  <c r="Q48" i="10"/>
  <c r="Q49" i="10"/>
  <c r="Q50" i="10"/>
  <c r="R51" i="10"/>
  <c r="Q52" i="10"/>
  <c r="Q56" i="10"/>
  <c r="Q57" i="10"/>
  <c r="Q58" i="10"/>
  <c r="Q59" i="10"/>
  <c r="Q60" i="10"/>
  <c r="R61" i="10"/>
  <c r="R10" i="10"/>
  <c r="Q38" i="10" l="1"/>
  <c r="P64" i="10"/>
  <c r="Q26" i="10"/>
  <c r="S26" i="10" s="1"/>
  <c r="R18" i="10"/>
  <c r="S18" i="10" s="1"/>
  <c r="Q61" i="10"/>
  <c r="S61" i="10" s="1"/>
  <c r="R60" i="10"/>
  <c r="S60" i="10" s="1"/>
  <c r="Q35" i="10"/>
  <c r="S35" i="10" s="1"/>
  <c r="R48" i="10"/>
  <c r="S48" i="10" s="1"/>
  <c r="R29" i="10"/>
  <c r="S29" i="10" s="1"/>
  <c r="R58" i="10"/>
  <c r="S58" i="10" s="1"/>
  <c r="R38" i="10"/>
  <c r="Q51" i="10"/>
  <c r="S51" i="10" s="1"/>
  <c r="Q21" i="10"/>
  <c r="S21" i="10" s="1"/>
  <c r="R50" i="10"/>
  <c r="S50" i="10" s="1"/>
  <c r="R20" i="10"/>
  <c r="S20" i="10" s="1"/>
  <c r="R42" i="10"/>
  <c r="S42" i="10" s="1"/>
  <c r="R28" i="10"/>
  <c r="S28" i="10" s="1"/>
  <c r="R14" i="10"/>
  <c r="S14" i="10" s="1"/>
  <c r="R22" i="10"/>
  <c r="S22" i="10" s="1"/>
  <c r="R52" i="10"/>
  <c r="S52" i="10" s="1"/>
  <c r="R41" i="10"/>
  <c r="S41" i="10" s="1"/>
  <c r="Q13" i="10"/>
  <c r="S13" i="10" s="1"/>
  <c r="R12" i="10"/>
  <c r="S12" i="10" s="1"/>
  <c r="R40" i="10"/>
  <c r="S40" i="10" s="1"/>
  <c r="R25" i="10"/>
  <c r="S25" i="10" s="1"/>
  <c r="R17" i="10"/>
  <c r="S17" i="10" s="1"/>
  <c r="R57" i="10"/>
  <c r="S57" i="10" s="1"/>
  <c r="R45" i="10"/>
  <c r="S45" i="10" s="1"/>
  <c r="R24" i="10"/>
  <c r="S24" i="10" s="1"/>
  <c r="R56" i="10"/>
  <c r="S56" i="10" s="1"/>
  <c r="R34" i="10"/>
  <c r="S34" i="10" s="1"/>
  <c r="Q16" i="10"/>
  <c r="S16" i="10" s="1"/>
  <c r="Q44" i="10"/>
  <c r="S44" i="10" s="1"/>
  <c r="R30" i="10"/>
  <c r="S30" i="10" s="1"/>
  <c r="R27" i="10"/>
  <c r="S27" i="10" s="1"/>
  <c r="R23" i="10"/>
  <c r="S23" i="10" s="1"/>
  <c r="R19" i="10"/>
  <c r="S19" i="10" s="1"/>
  <c r="R15" i="10"/>
  <c r="S15" i="10" s="1"/>
  <c r="R11" i="10"/>
  <c r="S11" i="10" s="1"/>
  <c r="R59" i="10"/>
  <c r="S59" i="10" s="1"/>
  <c r="R49" i="10"/>
  <c r="S49" i="10" s="1"/>
  <c r="R43" i="10"/>
  <c r="S43" i="10" s="1"/>
  <c r="R39" i="10"/>
  <c r="S39" i="10" s="1"/>
  <c r="R33" i="10"/>
  <c r="S33" i="10" s="1"/>
  <c r="R32" i="10"/>
  <c r="S32" i="10" s="1"/>
  <c r="Q31" i="10"/>
  <c r="S31" i="10" s="1"/>
  <c r="Q64" i="10" l="1"/>
  <c r="S38" i="10"/>
  <c r="R64" i="10"/>
  <c r="S10" i="10"/>
  <c r="S64" i="10" l="1"/>
  <c r="R67" i="10" s="1"/>
  <c r="S67" i="10" l="1"/>
  <c r="R68" i="10"/>
  <c r="S68" i="10" s="1"/>
  <c r="R69" i="10" l="1"/>
  <c r="S69" i="10" l="1"/>
</calcChain>
</file>

<file path=xl/sharedStrings.xml><?xml version="1.0" encoding="utf-8"?>
<sst xmlns="http://schemas.openxmlformats.org/spreadsheetml/2006/main" count="1001" uniqueCount="303">
  <si>
    <t>Город присутствия Ленты</t>
  </si>
  <si>
    <t>ГМ</t>
  </si>
  <si>
    <t>СМ</t>
  </si>
  <si>
    <t>статика</t>
  </si>
  <si>
    <t>динамика</t>
  </si>
  <si>
    <t>да</t>
  </si>
  <si>
    <t>нет</t>
  </si>
  <si>
    <t>тендер</t>
  </si>
  <si>
    <t>добор</t>
  </si>
  <si>
    <t>Волга</t>
  </si>
  <si>
    <t>Самара</t>
  </si>
  <si>
    <t>ГМ/СМ</t>
  </si>
  <si>
    <t>Дивизион</t>
  </si>
  <si>
    <t>Тольятти</t>
  </si>
  <si>
    <t>Димитровград</t>
  </si>
  <si>
    <t>Ульяновск</t>
  </si>
  <si>
    <t>Нижний Новгород</t>
  </si>
  <si>
    <t>Саранск</t>
  </si>
  <si>
    <t>Чебоксары</t>
  </si>
  <si>
    <t>Йошкар-Ола</t>
  </si>
  <si>
    <t>Казань</t>
  </si>
  <si>
    <t>Альметьевск</t>
  </si>
  <si>
    <t>Набережные Челны</t>
  </si>
  <si>
    <t>Нижнекамск</t>
  </si>
  <si>
    <t>Оренбург</t>
  </si>
  <si>
    <t>Орск</t>
  </si>
  <si>
    <t>Саратов</t>
  </si>
  <si>
    <t>Энгельс</t>
  </si>
  <si>
    <t>Пенза</t>
  </si>
  <si>
    <t>Балаково</t>
  </si>
  <si>
    <t>Уфа</t>
  </si>
  <si>
    <t>Стерлитамак</t>
  </si>
  <si>
    <t>Ижевск</t>
  </si>
  <si>
    <t>Юг</t>
  </si>
  <si>
    <t>Ростов-на-Дону</t>
  </si>
  <si>
    <t>Таганрог</t>
  </si>
  <si>
    <t>Новочеркасск</t>
  </si>
  <si>
    <t>Новошахтинск</t>
  </si>
  <si>
    <t>Шахты</t>
  </si>
  <si>
    <t>Краснодар</t>
  </si>
  <si>
    <t>Новороссийск</t>
  </si>
  <si>
    <t>Майкоп</t>
  </si>
  <si>
    <t>Грозный</t>
  </si>
  <si>
    <t>Волгоград</t>
  </si>
  <si>
    <t>Волжский</t>
  </si>
  <si>
    <t>Астрахань</t>
  </si>
  <si>
    <t>Старополь</t>
  </si>
  <si>
    <t>Железноволдск</t>
  </si>
  <si>
    <t>Армавир</t>
  </si>
  <si>
    <t>Черкесск</t>
  </si>
  <si>
    <t>Воронеж</t>
  </si>
  <si>
    <t>Белгород</t>
  </si>
  <si>
    <t>Липецк</t>
  </si>
  <si>
    <t>Орел</t>
  </si>
  <si>
    <t>Курск</t>
  </si>
  <si>
    <t>Москва</t>
  </si>
  <si>
    <t>Реутов</t>
  </si>
  <si>
    <t>Елино</t>
  </si>
  <si>
    <t>Балашиха</t>
  </si>
  <si>
    <t>Серигиев-Посад</t>
  </si>
  <si>
    <t>Троицк</t>
  </si>
  <si>
    <t>Тарасовка</t>
  </si>
  <si>
    <t>Истра</t>
  </si>
  <si>
    <t>Серпухов</t>
  </si>
  <si>
    <t>Домодедово</t>
  </si>
  <si>
    <t>Видное</t>
  </si>
  <si>
    <t>Наро-Фоминск</t>
  </si>
  <si>
    <t>Луховицы</t>
  </si>
  <si>
    <t>Коломна</t>
  </si>
  <si>
    <t>Череповец</t>
  </si>
  <si>
    <t>Вологда</t>
  </si>
  <si>
    <t>Рязань</t>
  </si>
  <si>
    <t>Иваново</t>
  </si>
  <si>
    <t>Тверь</t>
  </si>
  <si>
    <t>Брянск</t>
  </si>
  <si>
    <t>Ярославль</t>
  </si>
  <si>
    <t>Смоленск</t>
  </si>
  <si>
    <t>Владимир</t>
  </si>
  <si>
    <t>Тула</t>
  </si>
  <si>
    <t>Калуга</t>
  </si>
  <si>
    <t>Обнинск</t>
  </si>
  <si>
    <t>Кострома</t>
  </si>
  <si>
    <t>Сибирь</t>
  </si>
  <si>
    <t>Братск</t>
  </si>
  <si>
    <t>Новосибирск</t>
  </si>
  <si>
    <t>Красноярск</t>
  </si>
  <si>
    <t>Иркутск</t>
  </si>
  <si>
    <t>Ачинск</t>
  </si>
  <si>
    <t>Кемерово</t>
  </si>
  <si>
    <t>Прокопьевск</t>
  </si>
  <si>
    <t>Томск</t>
  </si>
  <si>
    <t>Юрга</t>
  </si>
  <si>
    <t>Омск</t>
  </si>
  <si>
    <t>Барнаул</t>
  </si>
  <si>
    <t>Северо-Запад</t>
  </si>
  <si>
    <t>Санкт-Петербург</t>
  </si>
  <si>
    <t>Волхов</t>
  </si>
  <si>
    <t>Сыктывкар</t>
  </si>
  <si>
    <t>Великий Новгород</t>
  </si>
  <si>
    <t>Петергоф</t>
  </si>
  <si>
    <t>Красное Село</t>
  </si>
  <si>
    <t>Псков</t>
  </si>
  <si>
    <t>Кингисепп</t>
  </si>
  <si>
    <t>Сосновый Бор</t>
  </si>
  <si>
    <t>Петрозаводск</t>
  </si>
  <si>
    <t>Всеволожск</t>
  </si>
  <si>
    <t>Колпино</t>
  </si>
  <si>
    <t>Архангельск</t>
  </si>
  <si>
    <t>Выборг</t>
  </si>
  <si>
    <t>Мурманск</t>
  </si>
  <si>
    <t>Урал</t>
  </si>
  <si>
    <t>Екатеринбург</t>
  </si>
  <si>
    <t>Нижний Тагил</t>
  </si>
  <si>
    <t>Каменск-Уральский</t>
  </si>
  <si>
    <t>Челябинск</t>
  </si>
  <si>
    <t>Магнитогорск</t>
  </si>
  <si>
    <t>Тюмень</t>
  </si>
  <si>
    <t>Тобольск</t>
  </si>
  <si>
    <t>Курган</t>
  </si>
  <si>
    <t>Пермь</t>
  </si>
  <si>
    <t>Сургут</t>
  </si>
  <si>
    <t>Ноябрьск</t>
  </si>
  <si>
    <t>Ханты-Манскийск</t>
  </si>
  <si>
    <t>Апрелевка</t>
  </si>
  <si>
    <t xml:space="preserve">Балашиха </t>
  </si>
  <si>
    <t>Долгопрудный</t>
  </si>
  <si>
    <t>Егорьевск</t>
  </si>
  <si>
    <t>Зеленоград</t>
  </si>
  <si>
    <t>Королев</t>
  </si>
  <si>
    <t>Красногорск</t>
  </si>
  <si>
    <t>Люберцы</t>
  </si>
  <si>
    <t>Малоярославец</t>
  </si>
  <si>
    <t>Мытищи</t>
  </si>
  <si>
    <t>Ногинск</t>
  </si>
  <si>
    <t>Одинцово</t>
  </si>
  <si>
    <t>Орехово-Зуево</t>
  </si>
  <si>
    <t>Селятино</t>
  </si>
  <si>
    <t>Тучково</t>
  </si>
  <si>
    <t>Фрязино</t>
  </si>
  <si>
    <t>Химки (Сходня)</t>
  </si>
  <si>
    <t>Кириши</t>
  </si>
  <si>
    <t>Ломоносов</t>
  </si>
  <si>
    <t>Луга</t>
  </si>
  <si>
    <t>Шлиссельбург</t>
  </si>
  <si>
    <t>Шушары</t>
  </si>
  <si>
    <t>Бердск</t>
  </si>
  <si>
    <t>Искитим</t>
  </si>
  <si>
    <t>Новокузнецк</t>
  </si>
  <si>
    <t>Первоуральск</t>
  </si>
  <si>
    <t>Парголово</t>
  </si>
  <si>
    <t>Кудрово</t>
  </si>
  <si>
    <t>Бугры</t>
  </si>
  <si>
    <t>indoor</t>
  </si>
  <si>
    <t>Центр</t>
  </si>
  <si>
    <t>Центр_ДМФ</t>
  </si>
  <si>
    <t>Мини</t>
  </si>
  <si>
    <t>охват</t>
  </si>
  <si>
    <t>навигация</t>
  </si>
  <si>
    <t>транспорт</t>
  </si>
  <si>
    <t>навигационные знаки</t>
  </si>
  <si>
    <t>Total без  АК и НДС</t>
  </si>
  <si>
    <t xml:space="preserve">Итоговая сумма </t>
  </si>
  <si>
    <t>07.00-23.00</t>
  </si>
  <si>
    <t>250-300</t>
  </si>
  <si>
    <t>Фото</t>
  </si>
  <si>
    <t>8х4</t>
  </si>
  <si>
    <t>6х3</t>
  </si>
  <si>
    <t>960х480</t>
  </si>
  <si>
    <t>пр. А. Тимура, рядом с офисом Ucell и MobiUz</t>
  </si>
  <si>
    <t>ул. Шахрисабз, ор. Автодорожный университет</t>
  </si>
  <si>
    <t>ул. Айбека и Шахрисабз, на стороне Angels food</t>
  </si>
  <si>
    <t>1920х1080</t>
  </si>
  <si>
    <t>ул. Нукусская и Авлиё Ота (Госпитальный рынок)</t>
  </si>
  <si>
    <t>(Метро Чиланзар) МКАД</t>
  </si>
  <si>
    <t>720х360</t>
  </si>
  <si>
    <t>ул. Паркентская и ул. Олтин тепа, возле новостройки</t>
  </si>
  <si>
    <t>Ул. Янги Сергели и ул.Мехригие</t>
  </si>
  <si>
    <t>7х3</t>
  </si>
  <si>
    <t>1920x1080</t>
  </si>
  <si>
    <t>ул. Шахризабз и ул. Мирабад, ор. Mirabad Plaza</t>
  </si>
  <si>
    <t>21x8</t>
  </si>
  <si>
    <t>2520х960</t>
  </si>
  <si>
    <t>ул. Абу Райхон Беруний Ориентир Старый Билайн</t>
  </si>
  <si>
    <t>ул. Туркестанская Ориентир Эркин Базар</t>
  </si>
  <si>
    <t>Проспект Навои и ул. Пиридастгир Ориентир МЕГА МАРКЕТ</t>
  </si>
  <si>
    <t>7х4</t>
  </si>
  <si>
    <t>ул. Намозгох Ориентир Областная Больница</t>
  </si>
  <si>
    <t>ул. Сайлох и Аль Фергани Ориентир Mobiuz</t>
  </si>
  <si>
    <t>ул. Ватан Равнаки и У.Юсупова Ориентир Центральный Рынок</t>
  </si>
  <si>
    <t>ул. А. Навои и Юксалиш Ориентир Асака Банк</t>
  </si>
  <si>
    <t>Лакокраска (Кази Махалла) ул. Малая Кольцевая и Аккурганская</t>
  </si>
  <si>
    <t>пересечение улий Юсуфа Хос Ходжиба и Бобура (пед.институт )</t>
  </si>
  <si>
    <t>ул. Фурката, площадь Бешагач, Magic City</t>
  </si>
  <si>
    <t>16х6</t>
  </si>
  <si>
    <t>1920х720</t>
  </si>
  <si>
    <t>Type of Outdoor Advertising</t>
  </si>
  <si>
    <t>Photo</t>
  </si>
  <si>
    <t>City</t>
  </si>
  <si>
    <t>Address / Location</t>
  </si>
  <si>
    <t>Size</t>
  </si>
  <si>
    <t>Resolution</t>
  </si>
  <si>
    <t>Chrono</t>
  </si>
  <si>
    <t>Work hours</t>
  </si>
  <si>
    <t>Number of Spots per Block</t>
  </si>
  <si>
    <t>Number of Spots per Day</t>
  </si>
  <si>
    <t>LED Screen</t>
  </si>
  <si>
    <t>Tashkent</t>
  </si>
  <si>
    <t>Samarkand</t>
  </si>
  <si>
    <t>Bukhara</t>
  </si>
  <si>
    <t>Fergana</t>
  </si>
  <si>
    <t>Outdoor advertising placement in Uzbekistan</t>
  </si>
  <si>
    <t>Client</t>
  </si>
  <si>
    <t>Project</t>
  </si>
  <si>
    <t>Date</t>
  </si>
  <si>
    <t>Map</t>
  </si>
  <si>
    <t>АК 3%</t>
  </si>
  <si>
    <t>Total Amount (with inflation excluding Agency Commission and VAT)</t>
  </si>
  <si>
    <t>Cost per Unit
(excluding VAT)</t>
  </si>
  <si>
    <t>Period
(March - April)</t>
  </si>
  <si>
    <t>ул. А. Джами Ориентир Молодежный центр</t>
  </si>
  <si>
    <t>4х3</t>
  </si>
  <si>
    <t>ул. М. Кошгарий Ориентир Инфин Банк</t>
  </si>
  <si>
    <t>ул. Дагбитская и Ибн Сино Ориентир Быв Завод ГЕЛИОН</t>
  </si>
  <si>
    <t>ул.Навои Шох и ул.Гагарина, ориентир: Festival Mall</t>
  </si>
  <si>
    <t>Ул.Гагарина, на пересечении с ул.Фархада Ориентир 7 школа, напротив МЧС</t>
  </si>
  <si>
    <t xml:space="preserve">Самарканд Ул.Буюк Ипак Йули, на пересечении с ул.Нарпай Ориентир: Центральная поликлиника
</t>
  </si>
  <si>
    <t>Бухара</t>
  </si>
  <si>
    <t xml:space="preserve"> ул.Сулеймана Мурадова, ориентир: кафе Borжуй</t>
  </si>
  <si>
    <t>ул Ибн Сино, ориентир: парк СИТОРА</t>
  </si>
  <si>
    <t xml:space="preserve"> ул.Ислама Каримова, ориентир: Юридический техникум</t>
  </si>
  <si>
    <t>ул.Академика Ибрагима Муминова, ориентир: Elite Посуда</t>
  </si>
  <si>
    <t>Фергана</t>
  </si>
  <si>
    <t>ул. Ахмада Яссавий и Узбекистон овози Ориентир Давр Банк</t>
  </si>
  <si>
    <t>Малая кольцева дорога Ориентир Полвон шашлык</t>
  </si>
  <si>
    <t xml:space="preserve">Ташкент </t>
  </si>
  <si>
    <t>ул. Хуршида, перекресток Ц5, рядом с Gentlemen pub</t>
  </si>
  <si>
    <t>М.Улугбека" и "Паркентский" Шастри 2</t>
  </si>
  <si>
    <t>Ул. Беруни и ул. Лайлитугон, Чорсу</t>
  </si>
  <si>
    <t>ул. С. Азимова, рядом 145 школа, Efendi ресторан</t>
  </si>
  <si>
    <t>ул. Мирзо Улугбека, Ашхабад</t>
  </si>
  <si>
    <t>9х4</t>
  </si>
  <si>
    <t>Ул. Караташ и Бунёдкор (Дружба Народов)</t>
  </si>
  <si>
    <t>Ташкент</t>
  </si>
  <si>
    <t>(Кардиология) улица Осие</t>
  </si>
  <si>
    <t xml:space="preserve">Ул. А. Темур и Осие, Orient House </t>
  </si>
  <si>
    <t>6x3</t>
  </si>
  <si>
    <t>ул.Навои и ул.Абай Ор-р Станция метро «А.Навои</t>
  </si>
  <si>
    <t>(РЕСТОРАН PAUL) Юнусабадский район проспект Амира Темура</t>
  </si>
  <si>
    <t>ул. А. Даниш и Юнусабад , Петушок</t>
  </si>
  <si>
    <t>Хумо Арена</t>
  </si>
  <si>
    <t>Самарканд Дарвоза</t>
  </si>
  <si>
    <t>6х4</t>
  </si>
  <si>
    <t>1800х700</t>
  </si>
  <si>
    <t>ул. А. Дониша, фасад ТРЦ Mega Planet</t>
  </si>
  <si>
    <t>43х12</t>
  </si>
  <si>
    <t>2064х768</t>
  </si>
  <si>
    <t>(САГБОН) пересечение улиц Малая колцевая и Сагбон</t>
  </si>
  <si>
    <t>ots</t>
  </si>
  <si>
    <t>rating</t>
  </si>
  <si>
    <t>universe</t>
  </si>
  <si>
    <t>city</t>
  </si>
  <si>
    <t>Общий</t>
  </si>
  <si>
    <t>Общий Регионы</t>
  </si>
  <si>
    <t>Самарканд</t>
  </si>
  <si>
    <t>Охват 01+</t>
  </si>
  <si>
    <t>Охват 02+</t>
  </si>
  <si>
    <t>Охват 03+</t>
  </si>
  <si>
    <t>Охват 04+</t>
  </si>
  <si>
    <t>Охват 05+</t>
  </si>
  <si>
    <t>Охват 08+</t>
  </si>
  <si>
    <t>Охват 10+</t>
  </si>
  <si>
    <t>Охват 12+</t>
  </si>
  <si>
    <t>Охват 14+</t>
  </si>
  <si>
    <t>Охват 15+</t>
  </si>
  <si>
    <t>Охват 16+</t>
  </si>
  <si>
    <t>Охват 18+</t>
  </si>
  <si>
    <t>Охват 20+</t>
  </si>
  <si>
    <t>Охват 25+</t>
  </si>
  <si>
    <t>Охват 30+</t>
  </si>
  <si>
    <t>Охват 40+</t>
  </si>
  <si>
    <t>Охват 50+</t>
  </si>
  <si>
    <t>Охват 60+</t>
  </si>
  <si>
    <t>охват в чел</t>
  </si>
  <si>
    <t>ул. Туркестанская Ориентир Колледж Туризма</t>
  </si>
  <si>
    <t xml:space="preserve">ул.Шохрух Мирзо, ориентир- парк Рудаки  </t>
  </si>
  <si>
    <t xml:space="preserve">пересечение ул.Ислама Каримова и ул.И.Муминова, ориентир- Авиа касса  </t>
  </si>
  <si>
    <t>ул. Зулфия и ул. Академика И.Муминова Ориентир Ресторант Фатхобод</t>
  </si>
  <si>
    <t>ул. Мураббийлар и Ватан Равнаки Ориентир рынок Алишерка</t>
  </si>
  <si>
    <t>ул. А. Навои и Сохибкирон Тимура Ориентир Кинотеатр Нурхан</t>
  </si>
  <si>
    <t>ЦА 25-55 all</t>
  </si>
  <si>
    <t>Охватные данные - 2 флайт</t>
  </si>
  <si>
    <t>Охватные данные - 1 флайт</t>
  </si>
  <si>
    <t xml:space="preserve">Geely </t>
  </si>
  <si>
    <t>Бюджет 1 флайт</t>
  </si>
  <si>
    <t>ул. Шахрисабз, напротив  гостиници ТАТА</t>
  </si>
  <si>
    <t>1920х1081</t>
  </si>
  <si>
    <t>2064х769</t>
  </si>
  <si>
    <t>250-301</t>
  </si>
  <si>
    <t>Ул.Махтумкули, Макро</t>
  </si>
  <si>
    <t>Heat Map</t>
  </si>
  <si>
    <t>Фергана, ул. Сайлох Ориентир Ресторан Трактир (Taj Mahal)</t>
  </si>
  <si>
    <t>March (01.03-31.03)</t>
  </si>
  <si>
    <t>April  (01.04-30.04)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</si>
</sst>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* #,##0\ [$UZS]_-;\-* #,##0\ [$UZS]_-;_-* &quot;-&quot;??\ [$UZS]_-;_-@_-"/>
    <numFmt numFmtId="165" formatCode="#,##0\ [$UZS]"/>
    <numFmt numFmtId="166" formatCode="_-* #,##0\ _U_Z_S_-;\-* #,##0\ _U_Z_S_-;_-* &quot;-&quot;\ _U_Z_S_-;_-@_-"/>
    <numFmt numFmtId="167" formatCode="#,##0\ &quot;UZS&quot;"/>
    <numFmt numFmtId="168" formatCode="_-* #,##0.00\ [$USD]_-;\-* #,##0.00\ [$USD]_-;_-* &quot;-&quot;??\ [$USD]_-;_-@_-"/>
    <numFmt numFmtId="169" formatCode="_-* #,##0\ [$USD]_-;\-* #,##0\ [$USD]_-;_-* &quot;-&quot;??\ [$USD]_-;_-@_-"/>
  </numFmts>
  <fonts count="28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0"/>
      <color indexed="12"/>
      <name val="Arial Cyr"/>
      <charset val="204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  <font>
      <u/>
      <sz val="11"/>
      <color theme="8" tint="-0.249977111117893"/>
      <name val="Calibri"/>
      <family val="2"/>
      <charset val="204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8"/>
      <name val="Calibri"/>
      <family val="2"/>
    </font>
    <font>
      <b/>
      <sz val="11"/>
      <color theme="4" tint="-0.499984740745262"/>
      <name val="Calibri"/>
      <family val="2"/>
    </font>
    <font>
      <b/>
      <sz val="14"/>
      <color theme="1"/>
      <name val="Calibri"/>
      <family val="2"/>
      <charset val="204"/>
      <scheme val="minor"/>
    </font>
    <font>
      <u/>
      <sz val="11"/>
      <color rgb="FF2F5496"/>
      <name val="Calibri"/>
      <family val="2"/>
      <charset val="204"/>
    </font>
    <font>
      <b/>
      <u/>
      <sz val="11"/>
      <color theme="1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AD5AB"/>
        <bgColor rgb="FF9AD5AB"/>
      </patternFill>
    </fill>
    <fill>
      <patternFill patternType="solid">
        <fgColor rgb="FF9CD5AC"/>
        <bgColor rgb="FF9CD5AC"/>
      </patternFill>
    </fill>
    <fill>
      <patternFill patternType="solid">
        <fgColor rgb="FF9DD6AD"/>
        <bgColor rgb="FF9DD6AD"/>
      </patternFill>
    </fill>
    <fill>
      <patternFill patternType="solid">
        <fgColor rgb="FF9FD6AE"/>
        <bgColor rgb="FF9FD6AE"/>
      </patternFill>
    </fill>
    <fill>
      <patternFill patternType="solid">
        <fgColor rgb="FFA0D7B0"/>
        <bgColor rgb="FFA0D7B0"/>
      </patternFill>
    </fill>
    <fill>
      <patternFill patternType="solid">
        <fgColor rgb="FFA5D9B4"/>
        <bgColor rgb="FFA5D9B4"/>
      </patternFill>
    </fill>
    <fill>
      <patternFill patternType="solid">
        <fgColor rgb="FFA9DBB8"/>
        <bgColor rgb="FFA9DBB8"/>
      </patternFill>
    </fill>
    <fill>
      <patternFill patternType="solid">
        <fgColor rgb="FFAEDDBC"/>
        <bgColor rgb="FFAEDDBC"/>
      </patternFill>
    </fill>
    <fill>
      <patternFill patternType="solid">
        <fgColor rgb="FFB3DFC0"/>
        <bgColor rgb="FFB3DFC0"/>
      </patternFill>
    </fill>
    <fill>
      <patternFill patternType="solid">
        <fgColor rgb="FFB6E0C2"/>
        <bgColor rgb="FFB6E0C2"/>
      </patternFill>
    </fill>
    <fill>
      <patternFill patternType="solid">
        <fgColor rgb="FFB8E1C5"/>
        <bgColor rgb="FFB8E1C5"/>
      </patternFill>
    </fill>
    <fill>
      <patternFill patternType="solid">
        <fgColor rgb="FFBDE3C9"/>
        <bgColor rgb="FFBDE3C9"/>
      </patternFill>
    </fill>
    <fill>
      <patternFill patternType="solid">
        <fgColor rgb="FFC2E5CD"/>
        <bgColor rgb="FFC2E5CD"/>
      </patternFill>
    </fill>
    <fill>
      <patternFill patternType="solid">
        <fgColor rgb="FFCEE9D7"/>
        <bgColor rgb="FFCEE9D7"/>
      </patternFill>
    </fill>
    <fill>
      <patternFill patternType="solid">
        <fgColor rgb="FFD8EEE0"/>
        <bgColor rgb="FFD8EEE0"/>
      </patternFill>
    </fill>
    <fill>
      <patternFill patternType="solid">
        <fgColor rgb="FFE7F4ED"/>
        <bgColor rgb="FFE7F4ED"/>
      </patternFill>
    </fill>
    <fill>
      <patternFill patternType="solid">
        <fgColor rgb="FFF0F8F5"/>
        <bgColor rgb="FFF0F8F5"/>
      </patternFill>
    </fill>
    <fill>
      <patternFill patternType="solid">
        <fgColor rgb="FFF6FAFA"/>
        <bgColor rgb="FFF6FAFA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41" fontId="8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128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10" fillId="5" borderId="0" xfId="0" applyFont="1" applyFill="1"/>
    <xf numFmtId="0" fontId="1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3" fontId="2" fillId="5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5" fillId="5" borderId="2" xfId="5" applyFont="1" applyFill="1" applyBorder="1" applyAlignment="1">
      <alignment horizontal="left" vertical="center" wrapText="1"/>
    </xf>
    <xf numFmtId="14" fontId="15" fillId="5" borderId="2" xfId="6" applyNumberFormat="1" applyFont="1" applyFill="1" applyBorder="1" applyAlignment="1">
      <alignment horizontal="left" vertical="center"/>
    </xf>
    <xf numFmtId="14" fontId="15" fillId="5" borderId="0" xfId="6" applyNumberFormat="1" applyFont="1" applyFill="1" applyAlignment="1">
      <alignment vertical="center"/>
    </xf>
    <xf numFmtId="0" fontId="10" fillId="5" borderId="0" xfId="0" applyFont="1" applyFill="1" applyAlignment="1">
      <alignment horizontal="left" vertical="center"/>
    </xf>
    <xf numFmtId="0" fontId="18" fillId="8" borderId="2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20" fillId="9" borderId="2" xfId="0" applyFont="1" applyFill="1" applyBorder="1" applyAlignment="1">
      <alignment horizontal="left" vertical="center"/>
    </xf>
    <xf numFmtId="0" fontId="21" fillId="4" borderId="2" xfId="1" applyFont="1" applyFill="1" applyBorder="1" applyAlignment="1" applyProtection="1">
      <alignment horizontal="center" vertical="center" wrapText="1"/>
      <protection locked="0"/>
    </xf>
    <xf numFmtId="0" fontId="21" fillId="4" borderId="4" xfId="1" applyFont="1" applyFill="1" applyBorder="1" applyAlignment="1" applyProtection="1">
      <alignment horizontal="center" vertical="center" wrapText="1"/>
      <protection locked="0"/>
    </xf>
    <xf numFmtId="0" fontId="22" fillId="5" borderId="2" xfId="0" applyFont="1" applyFill="1" applyBorder="1" applyAlignment="1" applyProtection="1">
      <alignment horizontal="left" vertical="center"/>
      <protection locked="0"/>
    </xf>
    <xf numFmtId="0" fontId="18" fillId="5" borderId="2" xfId="0" applyFont="1" applyFill="1" applyBorder="1" applyAlignment="1">
      <alignment horizontal="left" vertical="center"/>
    </xf>
    <xf numFmtId="0" fontId="22" fillId="5" borderId="4" xfId="0" applyFont="1" applyFill="1" applyBorder="1" applyAlignment="1" applyProtection="1">
      <alignment horizontal="left" vertical="center"/>
      <protection locked="0"/>
    </xf>
    <xf numFmtId="0" fontId="18" fillId="8" borderId="2" xfId="0" applyFont="1" applyFill="1" applyBorder="1" applyAlignment="1">
      <alignment horizontal="left"/>
    </xf>
    <xf numFmtId="0" fontId="18" fillId="5" borderId="2" xfId="0" applyFont="1" applyFill="1" applyBorder="1" applyAlignment="1">
      <alignment horizontal="left"/>
    </xf>
    <xf numFmtId="164" fontId="23" fillId="4" borderId="2" xfId="1" applyNumberFormat="1" applyFont="1" applyFill="1" applyBorder="1" applyAlignment="1" applyProtection="1">
      <alignment horizontal="center" vertical="center" wrapText="1"/>
      <protection locked="0"/>
    </xf>
    <xf numFmtId="164" fontId="21" fillId="6" borderId="2" xfId="1" applyNumberFormat="1" applyFont="1" applyFill="1" applyBorder="1" applyAlignment="1" applyProtection="1">
      <alignment horizontal="center" vertical="center" wrapText="1"/>
      <protection locked="0"/>
    </xf>
    <xf numFmtId="164" fontId="21" fillId="6" borderId="2" xfId="0" applyNumberFormat="1" applyFont="1" applyFill="1" applyBorder="1"/>
    <xf numFmtId="164" fontId="21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22" fillId="6" borderId="2" xfId="0" applyFont="1" applyFill="1" applyBorder="1" applyAlignment="1" applyProtection="1">
      <alignment horizontal="left" vertical="center"/>
      <protection locked="0"/>
    </xf>
    <xf numFmtId="0" fontId="2" fillId="5" borderId="0" xfId="0" applyFont="1" applyFill="1" applyAlignment="1">
      <alignment horizontal="right" vertical="center"/>
    </xf>
    <xf numFmtId="0" fontId="10" fillId="5" borderId="0" xfId="0" applyFont="1" applyFill="1" applyAlignment="1">
      <alignment horizontal="right"/>
    </xf>
    <xf numFmtId="17" fontId="21" fillId="4" borderId="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" xfId="0" applyFont="1" applyFill="1" applyBorder="1" applyAlignment="1">
      <alignment horizontal="left"/>
    </xf>
    <xf numFmtId="2" fontId="18" fillId="0" borderId="2" xfId="0" applyNumberFormat="1" applyFont="1" applyBorder="1" applyAlignment="1">
      <alignment horizontal="center"/>
    </xf>
    <xf numFmtId="167" fontId="18" fillId="5" borderId="2" xfId="0" applyNumberFormat="1" applyFont="1" applyFill="1" applyBorder="1" applyAlignment="1">
      <alignment horizontal="left" vertical="center"/>
    </xf>
    <xf numFmtId="167" fontId="22" fillId="5" borderId="2" xfId="0" applyNumberFormat="1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8" fillId="9" borderId="2" xfId="0" applyFont="1" applyFill="1" applyBorder="1" applyAlignment="1">
      <alignment horizontal="left" wrapText="1"/>
    </xf>
    <xf numFmtId="0" fontId="18" fillId="9" borderId="2" xfId="0" applyFont="1" applyFill="1" applyBorder="1" applyAlignment="1">
      <alignment wrapText="1"/>
    </xf>
    <xf numFmtId="0" fontId="18" fillId="9" borderId="2" xfId="0" applyFont="1" applyFill="1" applyBorder="1" applyAlignment="1">
      <alignment horizontal="left"/>
    </xf>
    <xf numFmtId="0" fontId="17" fillId="9" borderId="2" xfId="0" applyFont="1" applyFill="1" applyBorder="1" applyAlignment="1">
      <alignment horizontal="left" wrapText="1" readingOrder="1"/>
    </xf>
    <xf numFmtId="164" fontId="24" fillId="4" borderId="2" xfId="1" applyNumberFormat="1" applyFont="1" applyFill="1" applyBorder="1" applyAlignment="1" applyProtection="1">
      <alignment horizontal="center" vertical="center" wrapText="1"/>
      <protection locked="0"/>
    </xf>
    <xf numFmtId="165" fontId="21" fillId="4" borderId="2" xfId="0" applyNumberFormat="1" applyFont="1" applyFill="1" applyBorder="1" applyAlignment="1" applyProtection="1">
      <alignment horizontal="left" vertical="center" wrapText="1"/>
      <protection locked="0"/>
    </xf>
    <xf numFmtId="0" fontId="22" fillId="4" borderId="4" xfId="0" applyFont="1" applyFill="1" applyBorder="1" applyAlignment="1" applyProtection="1">
      <alignment horizontal="center" vertical="center"/>
      <protection locked="0"/>
    </xf>
    <xf numFmtId="17" fontId="21" fillId="4" borderId="5" xfId="0" applyNumberFormat="1" applyFont="1" applyFill="1" applyBorder="1" applyAlignment="1" applyProtection="1">
      <alignment horizontal="center" vertical="center" wrapText="1"/>
      <protection locked="0"/>
    </xf>
    <xf numFmtId="167" fontId="17" fillId="7" borderId="5" xfId="0" applyNumberFormat="1" applyFont="1" applyFill="1" applyBorder="1" applyAlignment="1">
      <alignment horizontal="left" vertical="center"/>
    </xf>
    <xf numFmtId="167" fontId="18" fillId="5" borderId="5" xfId="0" applyNumberFormat="1" applyFont="1" applyFill="1" applyBorder="1" applyAlignment="1">
      <alignment horizontal="left" vertical="center"/>
    </xf>
    <xf numFmtId="165" fontId="21" fillId="4" borderId="5" xfId="0" applyNumberFormat="1" applyFont="1" applyFill="1" applyBorder="1" applyAlignment="1" applyProtection="1">
      <alignment horizontal="left" vertical="center" wrapText="1"/>
      <protection locked="0"/>
    </xf>
    <xf numFmtId="0" fontId="22" fillId="4" borderId="10" xfId="0" applyFont="1" applyFill="1" applyBorder="1" applyAlignment="1" applyProtection="1">
      <alignment horizontal="center" vertical="center"/>
      <protection locked="0"/>
    </xf>
    <xf numFmtId="0" fontId="22" fillId="4" borderId="11" xfId="0" applyFont="1" applyFill="1" applyBorder="1" applyAlignment="1" applyProtection="1">
      <alignment horizontal="center" vertical="center"/>
      <protection locked="0"/>
    </xf>
    <xf numFmtId="0" fontId="22" fillId="4" borderId="12" xfId="0" applyFont="1" applyFill="1" applyBorder="1" applyAlignment="1" applyProtection="1">
      <alignment horizontal="center" vertical="center"/>
      <protection locked="0"/>
    </xf>
    <xf numFmtId="3" fontId="18" fillId="0" borderId="8" xfId="0" applyNumberFormat="1" applyFont="1" applyBorder="1" applyAlignment="1">
      <alignment horizontal="center"/>
    </xf>
    <xf numFmtId="3" fontId="18" fillId="0" borderId="9" xfId="0" applyNumberFormat="1" applyFont="1" applyBorder="1" applyAlignment="1">
      <alignment horizontal="center"/>
    </xf>
    <xf numFmtId="168" fontId="0" fillId="5" borderId="7" xfId="0" applyNumberFormat="1" applyFill="1" applyBorder="1" applyAlignment="1" applyProtection="1">
      <alignment horizontal="right" vertical="center"/>
      <protection locked="0"/>
    </xf>
    <xf numFmtId="168" fontId="0" fillId="5" borderId="9" xfId="0" applyNumberFormat="1" applyFill="1" applyBorder="1" applyAlignment="1" applyProtection="1">
      <alignment horizontal="right" vertical="center"/>
      <protection locked="0"/>
    </xf>
    <xf numFmtId="168" fontId="0" fillId="5" borderId="12" xfId="0" applyNumberFormat="1" applyFill="1" applyBorder="1" applyAlignment="1" applyProtection="1">
      <alignment horizontal="right" vertical="center"/>
      <protection locked="0"/>
    </xf>
    <xf numFmtId="3" fontId="21" fillId="4" borderId="13" xfId="1" applyNumberFormat="1" applyFont="1" applyFill="1" applyBorder="1" applyAlignment="1" applyProtection="1">
      <alignment horizontal="center" vertical="center" wrapText="1"/>
      <protection locked="0"/>
    </xf>
    <xf numFmtId="4" fontId="21" fillId="4" borderId="6" xfId="1" applyNumberFormat="1" applyFont="1" applyFill="1" applyBorder="1" applyAlignment="1" applyProtection="1">
      <alignment horizontal="center" vertical="center" wrapText="1"/>
      <protection locked="0"/>
    </xf>
    <xf numFmtId="3" fontId="21" fillId="4" borderId="14" xfId="1" applyNumberFormat="1" applyFont="1" applyFill="1" applyBorder="1" applyAlignment="1" applyProtection="1">
      <alignment horizontal="center" vertical="center" wrapText="1"/>
      <protection locked="0"/>
    </xf>
    <xf numFmtId="2" fontId="19" fillId="0" borderId="1" xfId="0" applyNumberFormat="1" applyFont="1" applyBorder="1" applyAlignment="1">
      <alignment horizontal="center" vertical="center"/>
    </xf>
    <xf numFmtId="2" fontId="16" fillId="0" borderId="1" xfId="0" applyNumberFormat="1" applyFont="1" applyBorder="1" applyAlignment="1">
      <alignment horizontal="center" vertical="center"/>
    </xf>
    <xf numFmtId="2" fontId="18" fillId="10" borderId="1" xfId="0" applyNumberFormat="1" applyFont="1" applyFill="1" applyBorder="1" applyAlignment="1">
      <alignment horizontal="center" vertical="center"/>
    </xf>
    <xf numFmtId="2" fontId="18" fillId="11" borderId="1" xfId="0" applyNumberFormat="1" applyFont="1" applyFill="1" applyBorder="1" applyAlignment="1">
      <alignment horizontal="center" vertical="center"/>
    </xf>
    <xf numFmtId="2" fontId="18" fillId="12" borderId="1" xfId="0" applyNumberFormat="1" applyFont="1" applyFill="1" applyBorder="1" applyAlignment="1">
      <alignment horizontal="center" vertical="center"/>
    </xf>
    <xf numFmtId="2" fontId="18" fillId="13" borderId="1" xfId="0" applyNumberFormat="1" applyFont="1" applyFill="1" applyBorder="1" applyAlignment="1">
      <alignment horizontal="center" vertical="center"/>
    </xf>
    <xf numFmtId="2" fontId="18" fillId="14" borderId="1" xfId="0" applyNumberFormat="1" applyFont="1" applyFill="1" applyBorder="1" applyAlignment="1">
      <alignment horizontal="center" vertical="center"/>
    </xf>
    <xf numFmtId="2" fontId="18" fillId="15" borderId="1" xfId="0" applyNumberFormat="1" applyFont="1" applyFill="1" applyBorder="1" applyAlignment="1">
      <alignment horizontal="center" vertical="center"/>
    </xf>
    <xf numFmtId="2" fontId="18" fillId="16" borderId="1" xfId="0" applyNumberFormat="1" applyFont="1" applyFill="1" applyBorder="1" applyAlignment="1">
      <alignment horizontal="center" vertical="center"/>
    </xf>
    <xf numFmtId="2" fontId="18" fillId="17" borderId="1" xfId="0" applyNumberFormat="1" applyFont="1" applyFill="1" applyBorder="1" applyAlignment="1">
      <alignment horizontal="center" vertical="center"/>
    </xf>
    <xf numFmtId="2" fontId="18" fillId="18" borderId="1" xfId="0" applyNumberFormat="1" applyFont="1" applyFill="1" applyBorder="1" applyAlignment="1">
      <alignment horizontal="center" vertical="center"/>
    </xf>
    <xf numFmtId="2" fontId="18" fillId="19" borderId="1" xfId="0" applyNumberFormat="1" applyFont="1" applyFill="1" applyBorder="1" applyAlignment="1">
      <alignment horizontal="center" vertical="center"/>
    </xf>
    <xf numFmtId="2" fontId="18" fillId="20" borderId="1" xfId="0" applyNumberFormat="1" applyFont="1" applyFill="1" applyBorder="1" applyAlignment="1">
      <alignment horizontal="center" vertical="center"/>
    </xf>
    <xf numFmtId="2" fontId="18" fillId="21" borderId="1" xfId="0" applyNumberFormat="1" applyFont="1" applyFill="1" applyBorder="1" applyAlignment="1">
      <alignment horizontal="center" vertical="center"/>
    </xf>
    <xf numFmtId="2" fontId="18" fillId="22" borderId="1" xfId="0" applyNumberFormat="1" applyFont="1" applyFill="1" applyBorder="1" applyAlignment="1">
      <alignment horizontal="center" vertical="center"/>
    </xf>
    <xf numFmtId="2" fontId="18" fillId="23" borderId="1" xfId="0" applyNumberFormat="1" applyFont="1" applyFill="1" applyBorder="1" applyAlignment="1">
      <alignment horizontal="center" vertical="center"/>
    </xf>
    <xf numFmtId="2" fontId="18" fillId="24" borderId="1" xfId="0" applyNumberFormat="1" applyFont="1" applyFill="1" applyBorder="1" applyAlignment="1">
      <alignment horizontal="center" vertical="center"/>
    </xf>
    <xf numFmtId="2" fontId="18" fillId="26" borderId="1" xfId="0" applyNumberFormat="1" applyFont="1" applyFill="1" applyBorder="1" applyAlignment="1">
      <alignment horizontal="center" vertical="center"/>
    </xf>
    <xf numFmtId="2" fontId="18" fillId="27" borderId="1" xfId="0" applyNumberFormat="1" applyFont="1" applyFill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2" fontId="7" fillId="13" borderId="1" xfId="0" applyNumberFormat="1" applyFont="1" applyFill="1" applyBorder="1" applyAlignment="1">
      <alignment horizontal="center" vertical="center"/>
    </xf>
    <xf numFmtId="2" fontId="7" fillId="14" borderId="1" xfId="0" applyNumberFormat="1" applyFont="1" applyFill="1" applyBorder="1" applyAlignment="1">
      <alignment horizontal="center" vertical="center"/>
    </xf>
    <xf numFmtId="2" fontId="7" fillId="15" borderId="1" xfId="0" applyNumberFormat="1" applyFont="1" applyFill="1" applyBorder="1" applyAlignment="1">
      <alignment horizontal="center" vertical="center"/>
    </xf>
    <xf numFmtId="2" fontId="7" fillId="16" borderId="1" xfId="0" applyNumberFormat="1" applyFont="1" applyFill="1" applyBorder="1" applyAlignment="1">
      <alignment horizontal="center" vertical="center"/>
    </xf>
    <xf numFmtId="2" fontId="7" fillId="17" borderId="1" xfId="0" applyNumberFormat="1" applyFont="1" applyFill="1" applyBorder="1" applyAlignment="1">
      <alignment horizontal="center" vertical="center"/>
    </xf>
    <xf numFmtId="2" fontId="7" fillId="18" borderId="1" xfId="0" applyNumberFormat="1" applyFont="1" applyFill="1" applyBorder="1" applyAlignment="1">
      <alignment horizontal="center" vertical="center"/>
    </xf>
    <xf numFmtId="2" fontId="7" fillId="19" borderId="1" xfId="0" applyNumberFormat="1" applyFont="1" applyFill="1" applyBorder="1" applyAlignment="1">
      <alignment horizontal="center" vertical="center"/>
    </xf>
    <xf numFmtId="2" fontId="7" fillId="20" borderId="1" xfId="0" applyNumberFormat="1" applyFont="1" applyFill="1" applyBorder="1" applyAlignment="1">
      <alignment horizontal="center" vertical="center"/>
    </xf>
    <xf numFmtId="2" fontId="7" fillId="21" borderId="1" xfId="0" applyNumberFormat="1" applyFont="1" applyFill="1" applyBorder="1" applyAlignment="1">
      <alignment horizontal="center" vertical="center"/>
    </xf>
    <xf numFmtId="2" fontId="7" fillId="22" borderId="1" xfId="0" applyNumberFormat="1" applyFont="1" applyFill="1" applyBorder="1" applyAlignment="1">
      <alignment horizontal="center" vertical="center"/>
    </xf>
    <xf numFmtId="2" fontId="7" fillId="23" borderId="1" xfId="0" applyNumberFormat="1" applyFont="1" applyFill="1" applyBorder="1" applyAlignment="1">
      <alignment horizontal="center" vertical="center"/>
    </xf>
    <xf numFmtId="2" fontId="7" fillId="24" borderId="1" xfId="0" applyNumberFormat="1" applyFont="1" applyFill="1" applyBorder="1" applyAlignment="1">
      <alignment horizontal="center" vertical="center"/>
    </xf>
    <xf numFmtId="2" fontId="7" fillId="25" borderId="1" xfId="0" applyNumberFormat="1" applyFont="1" applyFill="1" applyBorder="1" applyAlignment="1">
      <alignment horizontal="center" vertical="center"/>
    </xf>
    <xf numFmtId="2" fontId="7" fillId="26" borderId="1" xfId="0" applyNumberFormat="1" applyFont="1" applyFill="1" applyBorder="1" applyAlignment="1">
      <alignment horizontal="center" vertical="center"/>
    </xf>
    <xf numFmtId="2" fontId="7" fillId="27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5" fillId="5" borderId="2" xfId="6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left" vertical="center"/>
    </xf>
    <xf numFmtId="0" fontId="20" fillId="0" borderId="2" xfId="0" applyFont="1" applyBorder="1" applyAlignment="1">
      <alignment horizontal="left"/>
    </xf>
    <xf numFmtId="0" fontId="20" fillId="0" borderId="2" xfId="0" applyFont="1" applyBorder="1"/>
    <xf numFmtId="0" fontId="20" fillId="9" borderId="2" xfId="0" applyFont="1" applyFill="1" applyBorder="1" applyAlignment="1">
      <alignment wrapText="1"/>
    </xf>
    <xf numFmtId="0" fontId="20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169" fontId="0" fillId="5" borderId="18" xfId="0" applyNumberFormat="1" applyFill="1" applyBorder="1" applyAlignment="1" applyProtection="1">
      <alignment horizontal="right" vertical="center"/>
      <protection locked="0"/>
    </xf>
    <xf numFmtId="165" fontId="0" fillId="5" borderId="20" xfId="0" applyNumberFormat="1" applyFill="1" applyBorder="1" applyAlignment="1" applyProtection="1">
      <alignment horizontal="right" vertical="center"/>
      <protection locked="0"/>
    </xf>
    <xf numFmtId="165" fontId="0" fillId="5" borderId="5" xfId="4" applyNumberFormat="1" applyFont="1" applyFill="1" applyBorder="1" applyAlignment="1" applyProtection="1">
      <alignment horizontal="right" vertical="center"/>
    </xf>
    <xf numFmtId="165" fontId="0" fillId="5" borderId="21" xfId="0" applyNumberFormat="1" applyFill="1" applyBorder="1" applyAlignment="1">
      <alignment horizontal="right" vertical="center"/>
    </xf>
    <xf numFmtId="165" fontId="0" fillId="5" borderId="22" xfId="4" applyNumberFormat="1" applyFont="1" applyFill="1" applyBorder="1" applyAlignment="1" applyProtection="1">
      <alignment horizontal="right" vertical="center"/>
    </xf>
    <xf numFmtId="0" fontId="13" fillId="4" borderId="23" xfId="0" applyFont="1" applyFill="1" applyBorder="1" applyAlignment="1" applyProtection="1">
      <alignment horizontal="right" vertical="center" wrapText="1"/>
      <protection locked="0"/>
    </xf>
    <xf numFmtId="0" fontId="13" fillId="4" borderId="24" xfId="0" applyFont="1" applyFill="1" applyBorder="1" applyAlignment="1" applyProtection="1">
      <alignment horizontal="right" vertical="center"/>
      <protection locked="0"/>
    </xf>
    <xf numFmtId="0" fontId="13" fillId="4" borderId="25" xfId="0" applyFont="1" applyFill="1" applyBorder="1" applyAlignment="1">
      <alignment horizontal="right" vertical="center" wrapText="1"/>
    </xf>
    <xf numFmtId="0" fontId="13" fillId="4" borderId="19" xfId="0" applyFont="1" applyFill="1" applyBorder="1" applyAlignment="1" applyProtection="1">
      <alignment horizontal="right" vertical="center"/>
      <protection locked="0"/>
    </xf>
    <xf numFmtId="0" fontId="9" fillId="9" borderId="2" xfId="5" applyFill="1" applyBorder="1" applyAlignment="1">
      <alignment horizontal="left" vertical="center"/>
    </xf>
    <xf numFmtId="0" fontId="9" fillId="0" borderId="0" xfId="5"/>
    <xf numFmtId="0" fontId="18" fillId="0" borderId="0" xfId="0" applyFont="1"/>
    <xf numFmtId="0" fontId="13" fillId="4" borderId="2" xfId="6" applyFont="1" applyFill="1" applyBorder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13" fillId="4" borderId="3" xfId="0" applyFont="1" applyFill="1" applyBorder="1" applyAlignment="1">
      <alignment horizontal="left" vertical="center"/>
    </xf>
    <xf numFmtId="0" fontId="27" fillId="0" borderId="3" xfId="5" applyFont="1" applyBorder="1"/>
    <xf numFmtId="0" fontId="27" fillId="0" borderId="3" xfId="5" applyFont="1" applyFill="1" applyBorder="1"/>
    <xf numFmtId="0" fontId="25" fillId="5" borderId="15" xfId="0" applyFont="1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/>
    </xf>
    <xf numFmtId="0" fontId="25" fillId="5" borderId="17" xfId="0" applyFont="1" applyFill="1" applyBorder="1" applyAlignment="1">
      <alignment horizontal="center" vertical="center"/>
    </xf>
    <xf numFmtId="0" fontId="25" fillId="5" borderId="0" xfId="0" applyFont="1" applyFill="1" applyAlignment="1">
      <alignment horizontal="center" vertical="center"/>
    </xf>
  </cellXfs>
  <cellStyles count="14">
    <cellStyle name="Акцент1" xfId="1" builtinId="29"/>
    <cellStyle name="Гиперссылка" xfId="5" builtinId="8"/>
    <cellStyle name="Гиперссылка 3" xfId="2" xr:uid="{00000000-0005-0000-0000-000001000000}"/>
    <cellStyle name="Гиперссылка 4" xfId="3" xr:uid="{00000000-0005-0000-0000-000002000000}"/>
    <cellStyle name="Обычный" xfId="0" builtinId="0"/>
    <cellStyle name="Обычный 2" xfId="10" xr:uid="{FFB6C2D6-278B-4415-896D-1B15C4FC9CD4}"/>
    <cellStyle name="Обычный 2 2 3" xfId="8" xr:uid="{E1DEF377-7315-46CF-8962-24F07ABFDAEC}"/>
    <cellStyle name="Обычный 2 3" xfId="6" xr:uid="{F9C41704-2A24-2043-A3B7-D21FEA01350C}"/>
    <cellStyle name="Обычный 7" xfId="12" xr:uid="{D62B1681-83BB-5D4F-9B2F-112EE3EAC7CF}"/>
    <cellStyle name="Финансовый" xfId="4" builtinId="3"/>
    <cellStyle name="Финансовый [0] 2" xfId="11" xr:uid="{181AE8D7-78A4-4D5D-88BB-8508B07C2D48}"/>
    <cellStyle name="Финансовый [0] 2 2" xfId="7" xr:uid="{04CF16CA-716A-6A4F-BD7B-A94FE61C56CE}"/>
    <cellStyle name="Финансовый [0] 2 2 2" xfId="13" xr:uid="{F73B3748-D542-F341-AC64-8F8B1DD4D14A}"/>
    <cellStyle name="Финансовый [0] 3" xfId="9" xr:uid="{EDED5C3D-95E3-499A-A3E1-3F7CF977E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theme" Target="theme/theme1.xml"/><Relationship Id="rId8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31148</xdr:rowOff>
    </xdr:from>
    <xdr:ext cx="2404894" cy="1322138"/>
    <xdr:pic>
      <xdr:nvPicPr>
        <xdr:cNvPr id="2" name="Рисунок 1">
          <a:extLst>
            <a:ext uri="{FF2B5EF4-FFF2-40B4-BE49-F238E27FC236}">
              <a16:creationId xmlns:a16="http://schemas.microsoft.com/office/drawing/2014/main" id="{105230A9-E7A3-B349-9F90-172CC0A54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148"/>
          <a:ext cx="2404894" cy="132213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FP-Lease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4\PlanGRP\PlanGRP_V1_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GINI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526_Enterprise%203.%20Flight%20Mediakostenplan_Vodafon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090624_Enterprise%203.%20Flight%20Mediakostenplan_Vodafone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0.5/Smb/2020/&#1054;&#1054;&#1053;%20&#1044;&#1051;&#1071;%20&#1059;&#1047;&#1041;&#1045;&#1050;&#1057;&#1050;&#1048;&#1061;%20&#1055;&#1040;&#1056;&#1058;&#1053;&#1025;&#1056;&#1054;&#1042;/file:/C:/Documents%20and%20Settings/Alexis/My%20Documents/Stru.xls" TargetMode="External"/><Relationship Id="rId1" Type="http://schemas.openxmlformats.org/officeDocument/2006/relationships/externalLinkPath" Target="/192.168.0.5/Smb/2020/&#1054;&#1054;&#1053;%20&#1044;&#1051;&#1071;%20&#1059;&#1047;&#1041;&#1045;&#1050;&#1057;&#1050;&#1048;&#1061;%20&#1055;&#1040;&#1056;&#1058;&#1053;&#1025;&#1056;&#1054;&#1042;/file:/C:/Documents%20and%20Settings/Alexis/My%20Documents/Stru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OT97QUA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to%20Economi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TV%2021Gen-3Fe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0;&#1090;&#1077;&#1088;_&#1069;&#1089;&#1087;&#1072;&#1088;2_30-05_07_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S%20Hachett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ano%20excel%20BLU%2022.5%20SP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Inserenten_Plan1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enkelgroup.sharepoint.com/Temp/C.Daten.NotesR5/Reachtables%2004_01_1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TTA%20piano2v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EON_Plan7_ncl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0.5/Smb/2020/&#1054;&#1054;&#1053;%20&#1044;&#1051;&#1071;%20&#1059;&#1047;&#1041;&#1045;&#1050;&#1057;&#1050;&#1048;&#1061;%20&#1055;&#1040;&#1056;&#1058;&#1053;&#1025;&#1056;&#1054;&#1042;/file:/C:/Documents%20and%20Settings/ASadovsky/Local%20Settings/Temporary%20Internet%20Files/OLK92/counter%20(4).xls" TargetMode="External"/><Relationship Id="rId1" Type="http://schemas.openxmlformats.org/officeDocument/2006/relationships/externalLinkPath" Target="/192.168.0.5/Smb/2020/&#1054;&#1054;&#1053;%20&#1044;&#1051;&#1071;%20&#1059;&#1047;&#1041;&#1045;&#1050;&#1057;&#1050;&#1048;&#1061;%20&#1055;&#1040;&#1056;&#1058;&#1053;&#1025;&#1056;&#1054;&#1042;/file:/C:/Documents%20and%20Settings/ASadovsky/Local%20Settings/Temporary%20Internet%20Files/OLK92/counter%20(4)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tanislav/Desktop/&#1052;&#1055;/&#1052;&#1055;%202019/&#1053;&#1072;&#1088;&#1075;&#1080;&#1079;&#1072;%20&#1058;&#1042;%20&#1051;&#1072;&#1081;&#1085;/Clients/2003/Epson/PhotoPrinters/Map_May_94_FSU.xls" TargetMode="External"/><Relationship Id="rId1" Type="http://schemas.openxmlformats.org/officeDocument/2006/relationships/externalLinkPath" Target="/Users/Stanislav/Desktop/&#1052;&#1055;/&#1052;&#1055;%202019/&#1053;&#1072;&#1088;&#1075;&#1080;&#1079;&#1072;%20&#1058;&#1042;%20&#1051;&#1072;&#1081;&#1085;/Clients/2003/Epson/PhotoPrinters/Map_May_94_FSU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7_NEON_Plan1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UBL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192.168.0.98/Artur/Disk%20D/&#1057;&#1095;&#1080;&#1090;&#1072;&#1083;&#1082;&#1080;/2019/&#1064;&#1072;&#1073;&#1083;&#1086;&#1085;&#1099;%20&#1057;&#1090;&#1072;&#1089;&#1072;/&#1044;&#1077;&#1090;&#1072;&#1083;&#1080;&#1079;&#1072;&#1094;&#1080;&#1103;%20&#1070;&#1083;&#1072;&#1081;&#1079;&#1077;&#1088;.xlsx" TargetMode="External"/><Relationship Id="rId1" Type="http://schemas.openxmlformats.org/officeDocument/2006/relationships/externalLinkPath" Target="/192.168.0.98/Artur/Disk%20D/&#1057;&#1095;&#1080;&#1090;&#1072;&#1083;&#1082;&#1080;/2019/&#1064;&#1072;&#1073;&#1083;&#1086;&#1085;&#1099;%20&#1057;&#1090;&#1072;&#1089;&#1072;/&#1044;&#1077;&#1090;&#1072;&#1083;&#1080;&#1079;&#1072;&#1094;&#1080;&#1103;%20&#1070;&#1083;&#1072;&#1081;&#1079;&#1077;&#1088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S%20Radio%20Planungsprogram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4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P08_NBRZ_Plan3_060208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Kostenplan%20Funk_0702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Instructions"/>
      <sheetName val="Main"/>
      <sheetName val="Vehicles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Print-forms"/>
      <sheetName val="Outdoor St-Peter June"/>
      <sheetName val="TVP 2009"/>
      <sheetName val="TV spot_supplier"/>
      <sheetName val="XLRpt_TempSheet"/>
      <sheetName val="Estimate"/>
      <sheetName val="Outdoor_St-Peter_June"/>
      <sheetName val="TV_spot_supplier"/>
      <sheetName val="TVP_2009"/>
      <sheetName val="MP"/>
      <sheetName val="ORT"/>
      <sheetName val="XLR_NoRangeSheet"/>
      <sheetName val="외주현황.wq1"/>
      <sheetName val="2.대외공문"/>
      <sheetName val="show of spot"/>
      <sheetName val="FX Rates"/>
      <sheetName val="CAMPAIGN AVERAGE F"/>
      <sheetName val="Расчет"/>
      <sheetName val="Spend by Market"/>
      <sheetName val="isla97"/>
      <sheetName val="ISLA98"/>
      <sheetName val="poralcon97"/>
      <sheetName val="PORT98HALC"/>
      <sheetName val="port97 p.atra"/>
      <sheetName val="PORT98ATRA"/>
      <sheetName val="Sheet2"/>
      <sheetName val="DATA"/>
      <sheetName val="Outdoor_St-Peter_June1"/>
      <sheetName val="Non Analysed Definitions"/>
      <sheetName val="Overview 2013"/>
      <sheetName val="Look up info"/>
      <sheetName val="TV_spot_supplier1"/>
      <sheetName val="외주현황_wq1"/>
      <sheetName val="2_대외공문"/>
      <sheetName val="TVP_20091"/>
      <sheetName val="show_of_spot"/>
      <sheetName val="FX_Rates"/>
      <sheetName val="port97_p_atra"/>
      <sheetName val="생산"/>
      <sheetName val="FX-Rate"/>
      <sheetName val="OWNPROD EST"/>
      <sheetName val="OWNPROD LIT"/>
      <sheetName val="CAMPAIGN_AVERAGE_F"/>
      <sheetName val="Spend_by_Market"/>
      <sheetName val="Carat - Retourpercentages"/>
      <sheetName val="EXPRES BUSINESS"/>
      <sheetName val="Base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Commitments"/>
      <sheetName val="Indices"/>
      <sheetName val="Market Data"/>
      <sheetName val="Team Structure"/>
      <sheetName val="Budget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Brazil"/>
      <sheetName val="definitions"/>
      <sheetName val="Adserving Definitions"/>
      <sheetName val="Category List"/>
      <sheetName val="July Master Pivot Data"/>
      <sheetName val="List"/>
      <sheetName val="Basis_Master"/>
      <sheetName val="Dictionnary"/>
      <sheetName val="TechSpecs"/>
      <sheetName val="Data Validation"/>
      <sheetName val="Lists"/>
      <sheetName val="segédtábla"/>
      <sheetName val="Списки"/>
      <sheetName val="Tables"/>
      <sheetName val="Drop down calculation"/>
      <sheetName val="Altro"/>
      <sheetName val="Aging Analysis"/>
      <sheetName val="Desplegables"/>
      <sheetName val="Print list"/>
      <sheetName val="OOH list"/>
      <sheetName val="Digital list"/>
      <sheetName val="BACK"/>
      <sheetName val="Back Print"/>
      <sheetName val="Digital Site Categories"/>
      <sheetName val="port97_p_atra1"/>
      <sheetName val="Look_up_info"/>
      <sheetName val="Carat_-_Retourpercentages"/>
      <sheetName val="EXPRES_BUSINESS"/>
      <sheetName val="Market_Data"/>
      <sheetName val="Team_Structure"/>
      <sheetName val="TV_spot_supplier3"/>
      <sheetName val="외주현황_wq12"/>
      <sheetName val="2_대외공문2"/>
      <sheetName val="Outdoor_St-Peter_June3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Buying Model "/>
      <sheetName val="Media Job Descriptions"/>
      <sheetName val="Лист1"/>
      <sheetName val="Tabelle2"/>
      <sheetName val="x"/>
      <sheetName val="Reference Picklist"/>
      <sheetName val="1d - US Hourly staff benchmark"/>
      <sheetName val="PlatformLists"/>
      <sheetName val="audiencias"/>
      <sheetName val="Channel List"/>
      <sheetName val="port97_p_atra2"/>
      <sheetName val="Outdoor_St-Peter_June4"/>
      <sheetName val="Drop Downs"/>
      <sheetName val="Team Cost"/>
      <sheetName val="Dictionary"/>
      <sheetName val="Tendine"/>
      <sheetName val="Print list "/>
      <sheetName val="RFP-Leaseplan"/>
      <sheetName val="JOHN "/>
      <sheetName val="Key Figures YTD"/>
      <sheetName val="Vallas."/>
      <sheetName val="Auxiliar"/>
      <sheetName val="alapok"/>
      <sheetName val="FINAL"/>
      <sheetName val="Лист4"/>
      <sheetName val="TV_spot_supplier5"/>
      <sheetName val="Outdoor_St-Peter_June5"/>
      <sheetName val="TVP_20095"/>
      <sheetName val="외주현황_wq14"/>
      <sheetName val="show_of_spot4"/>
      <sheetName val="FX_Rates4"/>
      <sheetName val="Spend_by_Market4"/>
      <sheetName val="2_대외공문4"/>
      <sheetName val="CAMPAIGN_AVERAGE_F4"/>
      <sheetName val="port97_p_atra3"/>
      <sheetName val="Non_Analysed_Definitions3"/>
      <sheetName val="Overview_20133"/>
      <sheetName val="Look_up_info2"/>
      <sheetName val="OWNPROD_EST3"/>
      <sheetName val="OWNPROD_LIT3"/>
      <sheetName val="Carat_-_Retourpercentages2"/>
      <sheetName val="EXPRES_BUSINESS2"/>
      <sheetName val="Market_Data2"/>
      <sheetName val="Team_Structure2"/>
      <sheetName val="Adserving_Definitions2"/>
      <sheetName val="Category_List2"/>
      <sheetName val="July_Master_Pivot_Data2"/>
      <sheetName val="Data_Validation2"/>
      <sheetName val="Drop_down_calculation2"/>
      <sheetName val="Print_list2"/>
      <sheetName val="OOH_list2"/>
      <sheetName val="Digital_list2"/>
      <sheetName val="Back_Print2"/>
      <sheetName val="Digital_Site_Categories2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Market_Data1"/>
      <sheetName val="Team_Structure1"/>
      <sheetName val="Adserving_Definitions1"/>
      <sheetName val="Category_List1"/>
      <sheetName val="July_Master_Pivot_Data1"/>
      <sheetName val="Data_Validation1"/>
      <sheetName val="Drop_down_calculation1"/>
      <sheetName val="Print_list1"/>
      <sheetName val="OOH_list1"/>
      <sheetName val="Digital_list1"/>
      <sheetName val="Back_Print1"/>
      <sheetName val="Digital_Site_Categories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Aging_Analysis"/>
      <sheetName val="Reference_Picklist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ging_Analysis1"/>
      <sheetName val="Channel_List1"/>
      <sheetName val="Arkusz1"/>
      <sheetName val="DIGITAL"/>
      <sheetName val="Dropdowns"/>
      <sheetName val="география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Brief"/>
      <sheetName val="Outdoor_St-Peter_June6"/>
      <sheetName val="port97_p_atra4"/>
      <sheetName val="Reference_Picklist1"/>
      <sheetName val="1d_-_US_Hourly_staff_benchmark1"/>
      <sheetName val="Media_Job_Descriptions1"/>
      <sheetName val="Drop_Downs1"/>
      <sheetName val="Buying_Model_1"/>
      <sheetName val="Team_Cost1"/>
      <sheetName val="Print_list_1"/>
      <sheetName val="JOHN_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DropDownList"/>
      <sheetName val="AGENCY DECLARATIONS"/>
      <sheetName val="Drop Down List"/>
      <sheetName val="odaplan_report"/>
      <sheetName val="SCO3"/>
      <sheetName val="비용정리"/>
      <sheetName val="TV 30&quot; BP"/>
      <sheetName val="17.7mln вар 1"/>
      <sheetName val="INTERNET TEASER"/>
      <sheetName val="Dane"/>
      <sheetName val="weight and spots 3 opt"/>
      <sheetName val="B"/>
      <sheetName val="2"/>
      <sheetName val="SATZENBRAU"/>
      <sheetName val="GUINNESS PM"/>
      <sheetName val="GUINNESS GM"/>
      <sheetName val="MALTA"/>
      <sheetName val="larcal"/>
      <sheetName val="SetGraficos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onthYear Lookup"/>
      <sheetName val="Calendar"/>
      <sheetName val="Country"/>
      <sheetName val="Creative"/>
      <sheetName val="Product"/>
      <sheetName val="Media"/>
      <sheetName val="Mediaplan"/>
      <sheetName val="##"/>
      <sheetName val="dati"/>
      <sheetName val="Discipline - do not edit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Market information"/>
      <sheetName val="Digital Dropdowns"/>
      <sheetName val="tv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TV_30&quot;_BP"/>
      <sheetName val="Drop_Down_List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INTERNET_TEASER"/>
      <sheetName val="17_7mln_вар_1"/>
      <sheetName val="GUINNESS_PM"/>
      <sheetName val="GUINNESS_GM"/>
      <sheetName val="к-нт_кон_x0000__x0000_Ԁ_x0000_瀀摎"/>
      <sheetName val="basis"/>
      <sheetName val="к-нт_кон_x0000__x0000_Ԁ_x0000_Ꮏ"/>
      <sheetName val="55% and 70%"/>
      <sheetName val="Control"/>
      <sheetName val="vendors_data"/>
      <sheetName val="vendor_calculator"/>
      <sheetName val="PQ data"/>
      <sheetName val="Data_Source"/>
      <sheetName val="weight_and_spots_3_opt"/>
      <sheetName val="Market_information"/>
      <sheetName val="all brands (all media)"/>
      <sheetName val="Жилищные (рубли, сумма)"/>
      <sheetName val="R CURVES"/>
      <sheetName val="DAILY  ACCUMULATED R AND F"/>
      <sheetName val="Input_weekly"/>
      <sheetName val="sanofi grp_2"/>
      <sheetName val="Тех_доп"/>
      <sheetName val="Assumptions"/>
      <sheetName val="к-нт_кон"/>
      <sheetName val="dimension data"/>
      <sheetName val="Расчет по Регионам"/>
      <sheetName val="Discipline_-_do_not_edit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Справочник"/>
      <sheetName val="input"/>
      <sheetName val="Summrize Detail"/>
      <sheetName val="чел европа+ от сми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bac4"/>
      <sheetName val="данные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details"/>
      <sheetName val="papers"/>
      <sheetName val="Value - Audio"/>
    </sheetNames>
    <sheetDataSet>
      <sheetData sheetId="0">
        <row r="34">
          <cell r="B34" t="str">
            <v>Berlingo</v>
          </cell>
        </row>
      </sheetData>
      <sheetData sheetId="1" refreshError="1"/>
      <sheetData sheetId="2">
        <row r="34">
          <cell r="B34" t="str">
            <v>Berlingo</v>
          </cell>
        </row>
      </sheetData>
      <sheetData sheetId="3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Data Sender-ZS"/>
      <sheetName val="Data CpGRP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ata_Sender-ZS"/>
      <sheetName val="Data_CpGRP"/>
      <sheetName val="Planung_lt__S+P_(keine_Eingabe)"/>
      <sheetName val="Planung_Brutto_bez__"/>
      <sheetName val="MP_NEON_2007"/>
      <sheetName val="Dropdowns"/>
      <sheetName val="Data_Sender-ZS1"/>
      <sheetName val="Tabelle2"/>
      <sheetName val="MP NEON 2008"/>
      <sheetName val="Lists"/>
      <sheetName val="apendix"/>
      <sheetName val="Services"/>
      <sheetName val="Drop Down"/>
      <sheetName val="Dropdown menu"/>
      <sheetName val="MP 2007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A-BL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"/>
      <sheetName val="MP_NEON_20081"/>
      <sheetName val="Kostenplan"/>
      <sheetName val="PIANO GENERALE"/>
      <sheetName val="Drop_Down"/>
      <sheetName val="Dropdown_menu"/>
      <sheetName val="MP_2007"/>
      <sheetName val="Team"/>
      <sheetName val="paramètre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ownprod est"/>
      <sheetName val="FX-Rate"/>
      <sheetName val="ownprod lit"/>
      <sheetName val="Nastavení (Setting)"/>
      <sheetName val="Forecast Drivers"/>
      <sheetName val="Listes déroulantes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Growth"/>
      <sheetName val="3.2 - Digital Fixed 2014 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SW-TEO"/>
      <sheetName val="媒体"/>
      <sheetName val="TEMP"/>
      <sheetName val="PlanGRP_V1_2004"/>
      <sheetName val="Ярославль СТС прайс"/>
      <sheetName val="MP_NEON_20084"/>
      <sheetName val="Dropdown_menu3"/>
      <sheetName val="Drop_Down3"/>
      <sheetName val="MP_20073"/>
      <sheetName val="PIANO_GENERALE2"/>
      <sheetName val="MP_NEON_20085"/>
      <sheetName val="Dropdown_menu4"/>
      <sheetName val="Drop_Down4"/>
      <sheetName val="MP_20074"/>
      <sheetName val="PIANO_GENERALE3"/>
      <sheetName val="вводные_20_012"/>
      <sheetName val="Бюджет_100%_ТВ2"/>
      <sheetName val="Барни_Fem25-542"/>
      <sheetName val="Oreo_THin_18-392"/>
      <sheetName val="расчет_весов_2020_mdlz2"/>
      <sheetName val="for_flow_20202"/>
      <sheetName val="к-нт_конверсии2"/>
      <sheetName val="TUC_25-44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Data_Sender-ZS8"/>
      <sheetName val="Data_CpGRP7"/>
      <sheetName val="Planung_lt__S+P_(keine_Eingabe7"/>
      <sheetName val="Planung_Brutto_bez__7"/>
      <sheetName val="MP_NEON_20077"/>
      <sheetName val="DropDown_Listen6"/>
      <sheetName val="MP_NEON_20086"/>
      <sheetName val="Dropdown_menu5"/>
      <sheetName val="Drop_Down5"/>
      <sheetName val="MP_20075"/>
      <sheetName val="PIANO_GENERALE4"/>
      <sheetName val="вводные_20_013"/>
      <sheetName val="Бюджет_100%_ТВ3"/>
      <sheetName val="Барни_Fem25-543"/>
      <sheetName val="Oreo_THin_18-393"/>
      <sheetName val="расчет_весов_2020_mdlz3"/>
      <sheetName val="for_flow_20203"/>
      <sheetName val="к-нт_конверсии3"/>
      <sheetName val="TUC_25-443"/>
      <sheetName val="сравнение_2020vs_20193"/>
      <sheetName val="варианты_сплита3"/>
      <sheetName val="GRP_расчёт_USD_2019_20203"/>
      <sheetName val="ПРОВЕРКА_июнь_3"/>
      <sheetName val="Oreo_18-243"/>
      <sheetName val="for_flowchart3"/>
      <sheetName val="outdoor st-peter june"/>
      <sheetName val="campaign average f"/>
    </sheetNames>
    <sheetDataSet>
      <sheetData sheetId="0">
        <row r="2">
          <cell r="B2" t="str">
            <v>fehlt !</v>
          </cell>
        </row>
      </sheetData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B2" t="str">
            <v>fehlt !</v>
          </cell>
        </row>
      </sheetData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2">
          <cell r="B2" t="str">
            <v>fehlt !</v>
          </cell>
        </row>
      </sheetData>
      <sheetData sheetId="2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>
        <row r="2">
          <cell r="B2" t="str">
            <v>fehlt !</v>
          </cell>
        </row>
      </sheetData>
      <sheetData sheetId="33">
        <row r="2">
          <cell r="B2" t="str">
            <v>fehlt !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2">
          <cell r="B2" t="str">
            <v>fehlt !</v>
          </cell>
        </row>
      </sheetData>
      <sheetData sheetId="40">
        <row r="2">
          <cell r="B2" t="str">
            <v>fehlt !</v>
          </cell>
        </row>
      </sheetData>
      <sheetData sheetId="4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2"/>
      <sheetData sheetId="4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4">
        <row r="2">
          <cell r="B2" t="str">
            <v>fehlt !</v>
          </cell>
        </row>
      </sheetData>
      <sheetData sheetId="45">
        <row r="2">
          <cell r="B2" t="str">
            <v>fehlt !</v>
          </cell>
        </row>
      </sheetData>
      <sheetData sheetId="46">
        <row r="2">
          <cell r="B2" t="str">
            <v>fehlt !</v>
          </cell>
        </row>
      </sheetData>
      <sheetData sheetId="4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/>
      <sheetData sheetId="53" refreshError="1"/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2">
          <cell r="B2" t="str">
            <v>fehlt !</v>
          </cell>
        </row>
      </sheetData>
      <sheetData sheetId="64">
        <row r="2">
          <cell r="B2" t="str">
            <v>fehlt !</v>
          </cell>
        </row>
      </sheetData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 refreshError="1"/>
      <sheetData sheetId="69" refreshError="1"/>
      <sheetData sheetId="7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1"/>
      <sheetData sheetId="7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3" refreshError="1"/>
      <sheetData sheetId="74" refreshError="1"/>
      <sheetData sheetId="75">
        <row r="15">
          <cell r="C15">
            <v>0</v>
          </cell>
        </row>
      </sheetData>
      <sheetData sheetId="76">
        <row r="2">
          <cell r="B2" t="str">
            <v>fehlt !</v>
          </cell>
        </row>
      </sheetData>
      <sheetData sheetId="77"/>
      <sheetData sheetId="78"/>
      <sheetData sheetId="79"/>
      <sheetData sheetId="80"/>
      <sheetData sheetId="81">
        <row r="2">
          <cell r="B2" t="str">
            <v>fehlt !</v>
          </cell>
        </row>
      </sheetData>
      <sheetData sheetId="82">
        <row r="2">
          <cell r="B2" t="str">
            <v>fehlt !</v>
          </cell>
        </row>
      </sheetData>
      <sheetData sheetId="83"/>
      <sheetData sheetId="84"/>
      <sheetData sheetId="85"/>
      <sheetData sheetId="86"/>
      <sheetData sheetId="87">
        <row r="2">
          <cell r="B2" t="str">
            <v>fehlt !</v>
          </cell>
        </row>
      </sheetData>
      <sheetData sheetId="88">
        <row r="2">
          <cell r="B2" t="str">
            <v>fehlt !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c 22-9 - 26-10"/>
      <sheetName val="GRP"/>
      <sheetName val="RA 31.3-4.5 CIC"/>
      <sheetName val="RA 31.3-4.5 ORO"/>
      <sheetName val="RA 31.3-4.5 TOP"/>
      <sheetName val="RA 31.3-4.5 FOCUS"/>
      <sheetName val="MEDRA3APR"/>
      <sheetName val="RA3-30.3FOC"/>
      <sheetName val="RA5.5-8.6ORO"/>
      <sheetName val="RA5.5-8.6CIC"/>
      <sheetName val="ratop5.5-8.6"/>
      <sheetName val="RA5.5-8.6FOCUS"/>
      <sheetName val="MED3.30-MARORO"/>
      <sheetName val="MED3.30MARTOP"/>
      <sheetName val="MED3-30MARCIC"/>
      <sheetName val="MED3-30MARFOC"/>
      <sheetName val="MEDRA1APR"/>
      <sheetName val="MEDRAI2APR"/>
      <sheetName val="MEDRARAPR"/>
      <sheetName val="MED31.3-4.5 ORO"/>
      <sheetName val="MED31.3-4.5TOP"/>
      <sheetName val="MED31.3-4.5CIC"/>
      <sheetName val="MED31.3-4.5FOC"/>
      <sheetName val="MEDMAGRA1"/>
      <sheetName val="MEDMAGRA2"/>
      <sheetName val="MEDMAGRA3"/>
      <sheetName val="MEDMAGRAR"/>
      <sheetName val="MEDMAGORO"/>
      <sheetName val="MEDMAGTOP"/>
      <sheetName val="MEDMAGCIC"/>
      <sheetName val="MEDMAGFOC"/>
      <sheetName val="TOPGIU"/>
      <sheetName val="MODPTGIU"/>
      <sheetName val="MODDTGIU"/>
      <sheetName val="MODEURGIU"/>
      <sheetName val="spec9-29giu"/>
      <sheetName val="oro 22-9 - 26-10"/>
      <sheetName val="top 22-9 - 26-10"/>
      <sheetName val="spec 22-9 26-10"/>
      <sheetName val="cic 22_9 _ 26_10"/>
      <sheetName val="Programlar"/>
      <sheetName val="Kategoriler"/>
      <sheetName val="1"/>
      <sheetName val="PIANO GENERALE"/>
      <sheetName val="BJ"/>
      <sheetName val="cic_22-9_-_26-10"/>
      <sheetName val="RA_31_3-4_5_CIC"/>
      <sheetName val="RA_31_3-4_5_ORO"/>
      <sheetName val="RA_31_3-4_5_TOP"/>
      <sheetName val="RA_31_3-4_5_FOCUS"/>
      <sheetName val="RA3-30_3FOC"/>
      <sheetName val="RA5_5-8_6ORO"/>
      <sheetName val="RA5_5-8_6CIC"/>
      <sheetName val="ratop5_5-8_6"/>
      <sheetName val="RA5_5-8_6FOCUS"/>
      <sheetName val="MED3_30-MARORO"/>
      <sheetName val="MED3_30MARTOP"/>
      <sheetName val="MED31_3-4_5_ORO"/>
      <sheetName val="MED31_3-4_5TOP"/>
      <sheetName val="MED31_3-4_5CIC"/>
      <sheetName val="MED31_3-4_5FOC"/>
      <sheetName val="oro_22-9_-_26-10"/>
      <sheetName val="top_22-9_-_26-10"/>
      <sheetName val="spec_22-9_26-10"/>
      <sheetName val="cic_22_9___26_10"/>
      <sheetName val="BIGINI96"/>
      <sheetName val="DATI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PIANO_GENERALE"/>
      <sheetName val="nj-Mixed"/>
      <sheetName val="Fujian Mixed"/>
      <sheetName val="Tabelas"/>
      <sheetName val="媒体"/>
      <sheetName val="自动报价"/>
      <sheetName val="Constants"/>
      <sheetName val="Offerta Tv in Italia"/>
      <sheetName val="PRC-TV (0)"/>
      <sheetName val="OP2"/>
      <sheetName val="Data-OMI Col1 - NA"/>
      <sheetName val="Data-Reforecast 2nd Col"/>
      <sheetName val="Sheet1"/>
      <sheetName val="DMA list"/>
      <sheetName val="2012 Categories and 2011"/>
      <sheetName val="Model"/>
      <sheetName val="Make"/>
    </sheetNames>
    <sheetDataSet>
      <sheetData sheetId="0" refreshError="1">
        <row r="11">
          <cell r="D11">
            <v>486.48</v>
          </cell>
        </row>
      </sheetData>
      <sheetData sheetId="1" refreshError="1"/>
      <sheetData sheetId="2">
        <row r="11">
          <cell r="D11">
            <v>486.48</v>
          </cell>
        </row>
      </sheetData>
      <sheetData sheetId="3">
        <row r="11">
          <cell r="D11">
            <v>486.48</v>
          </cell>
        </row>
      </sheetData>
      <sheetData sheetId="4">
        <row r="11">
          <cell r="D11">
            <v>486.48</v>
          </cell>
        </row>
      </sheetData>
      <sheetData sheetId="5">
        <row r="11">
          <cell r="D11">
            <v>486.48</v>
          </cell>
        </row>
      </sheetData>
      <sheetData sheetId="6">
        <row r="11">
          <cell r="D11">
            <v>486.48</v>
          </cell>
        </row>
      </sheetData>
      <sheetData sheetId="7">
        <row r="11">
          <cell r="D11">
            <v>486.48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1">
          <cell r="D11">
            <v>486.48</v>
          </cell>
        </row>
      </sheetData>
      <sheetData sheetId="31">
        <row r="11">
          <cell r="D11">
            <v>486.48</v>
          </cell>
        </row>
      </sheetData>
      <sheetData sheetId="32">
        <row r="11">
          <cell r="D11">
            <v>486.48</v>
          </cell>
        </row>
      </sheetData>
      <sheetData sheetId="33">
        <row r="11">
          <cell r="D11">
            <v>486.48</v>
          </cell>
        </row>
      </sheetData>
      <sheetData sheetId="34">
        <row r="11">
          <cell r="D11">
            <v>486.48</v>
          </cell>
        </row>
      </sheetData>
      <sheetData sheetId="35">
        <row r="11">
          <cell r="D11">
            <v>486.48</v>
          </cell>
        </row>
      </sheetData>
      <sheetData sheetId="36">
        <row r="11">
          <cell r="D11">
            <v>486.48</v>
          </cell>
        </row>
      </sheetData>
      <sheetData sheetId="37">
        <row r="11">
          <cell r="D11">
            <v>486.48</v>
          </cell>
        </row>
      </sheetData>
      <sheetData sheetId="38">
        <row r="11">
          <cell r="D11">
            <v>486.48</v>
          </cell>
        </row>
      </sheetData>
      <sheetData sheetId="39">
        <row r="11">
          <cell r="D11">
            <v>486.48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>
        <row r="11">
          <cell r="D11">
            <v>486.48</v>
          </cell>
        </row>
      </sheetData>
      <sheetData sheetId="46"/>
      <sheetData sheetId="47">
        <row r="11">
          <cell r="D11">
            <v>486.48</v>
          </cell>
        </row>
      </sheetData>
      <sheetData sheetId="48"/>
      <sheetData sheetId="49">
        <row r="11">
          <cell r="D11">
            <v>486.48</v>
          </cell>
        </row>
      </sheetData>
      <sheetData sheetId="50"/>
      <sheetData sheetId="51">
        <row r="11">
          <cell r="D11">
            <v>486.48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Specs"/>
      <sheetName val="Basisdaten"/>
      <sheetName val="SitesVermarkter"/>
      <sheetName val="Mediakostenplan"/>
      <sheetName val="Mediastreuplan"/>
      <sheetName val="ProducerPivot"/>
      <sheetName val="BudgetPivot"/>
      <sheetName val="ReportPivot"/>
      <sheetName val="OnlineURLs"/>
      <sheetName val="OnlineContacts"/>
      <sheetName val="LOGOS"/>
      <sheetName val="cic 22-9 - 26-10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esVermarkter"/>
      <sheetName val="Basisdaten"/>
      <sheetName val="Mediakostenplan"/>
      <sheetName val="Mediastreuplan"/>
      <sheetName val="1P-Report"/>
      <sheetName val="ProducerPivot"/>
      <sheetName val="BudgetPivot"/>
      <sheetName val="ReportPivot"/>
      <sheetName val="FormatSpecs"/>
      <sheetName val="OnlineURLs"/>
      <sheetName val="OnlineContacts"/>
      <sheetName val="LOGOS"/>
      <sheetName val="SUMMARY_Brazil w Hub"/>
      <sheetName val="SUMMARY_Brazil NO Hub"/>
      <sheetName val="Current Agency Total FTEs"/>
      <sheetName val="Our Proposal Total FTEs"/>
      <sheetName val="Brazil_No Digital Activiation"/>
      <sheetName val="Colombia_Full Service"/>
      <sheetName val="Mexico_Hybrid In House"/>
      <sheetName val="LATAM_HUB_All Markets"/>
      <sheetName val="Brazil Summary vs Current"/>
      <sheetName val="Brazil_All Media_Hybrid"/>
      <sheetName val="Brazil_All Media_In Agency"/>
      <sheetName val="Mexico_All in Agency"/>
      <sheetName val="LATAM_HUB_No Braz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E2 Brands"/>
      <sheetName val="Главный"/>
      <sheetName val="WEIGHT AND SPOTS 3 OPT"/>
      <sheetName val="all brands (all media)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Владивосток_ОРТ_(наш)"/>
      <sheetName val="E2_Brands"/>
      <sheetName val="WEIGHT_AND_SPOTS_3_OPT"/>
      <sheetName val="all_brands_(all_media)"/>
      <sheetName val="__"/>
      <sheetName val="Basis"/>
      <sheetName val="Zadání (Brief)"/>
      <sheetName val="Nastavení (Setting)"/>
      <sheetName val="Vehicles"/>
      <sheetName val="ВИ"/>
      <sheetName val="ВГТРК"/>
      <sheetName val="СТС"/>
      <sheetName val="ГМ"/>
      <sheetName val="Inflation"/>
      <sheetName val="Affinity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Evaluation2"/>
      <sheetName val="Stru.xls"/>
      <sheetName val="Бренд(M)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Zadání_(Brief)"/>
      <sheetName val="Nastavení_(Setting)"/>
      <sheetName val="WEIGHT_AND_SPOTS_3_OPT1"/>
      <sheetName val="all_brands_(all_media)1"/>
      <sheetName val="Stru_xls"/>
      <sheetName val="Net_CPP"/>
      <sheetName val="Channel_Selection"/>
      <sheetName val="MAP cf"/>
      <sheetName val="Evaluation"/>
      <sheetName val="17.7mln вар 1"/>
      <sheetName val="Flowchart_Nat"/>
      <sheetName val="Brief"/>
      <sheetName val="Deal 2017"/>
      <sheetName val="CPP base"/>
      <sheetName val="Quality"/>
      <sheetName val="НРА бюджет"/>
      <sheetName val="НРА цена"/>
      <sheetName val="Setup"/>
      <sheetName val="Template"/>
      <sheetName val="Status"/>
      <sheetName val="Интернет"/>
      <sheetName val="TV spot_supplier"/>
      <sheetName val="Channel mix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campaign average f"/>
      <sheetName val="LIST"/>
      <sheetName val="Constants"/>
      <sheetName val="NIUs"/>
      <sheetName val="ОРТ"/>
      <sheetName val="РТР"/>
      <sheetName val="МП MI"/>
      <sheetName val="Digital_table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2021"/>
      <sheetName val="Креон"/>
      <sheetName val="Дюфалак"/>
      <sheetName val="Дюспаталин"/>
      <sheetName val="ОРВИ Актив"/>
      <sheetName val="MAIL_RU3"/>
      <sheetName val="YANDEX_RU3"/>
      <sheetName val="VZGLYAD_RU3"/>
      <sheetName val="GAZETA_RU3"/>
      <sheetName val="KOMMERSANT_RU3"/>
      <sheetName val="NEWSRU_COM3"/>
      <sheetName val="AFISHA_RU3"/>
      <sheetName val="SUBSCRIBE_RU3"/>
      <sheetName val="EXPERT_RU3"/>
      <sheetName val="AVTO_RU3"/>
      <sheetName val="AUTO_RU3"/>
      <sheetName val="RIAN_RU3"/>
      <sheetName val="AMEDIA_RU3"/>
      <sheetName val="VOKRUGSVETA_RU3"/>
      <sheetName val="MTV_RU3"/>
      <sheetName val="LIVEINTERNET_RU3"/>
      <sheetName val="FASHIONTIME_RU3"/>
      <sheetName val="ECHO_MSK_RU3"/>
      <sheetName val="SUPERSTYLE_RU3"/>
      <sheetName val="INOPRESSA_RU3"/>
      <sheetName val="3DNEWS_RU3"/>
      <sheetName val="SPORTS_RU3"/>
      <sheetName val="24OPEN_RU3"/>
      <sheetName val="Владивосток_ОРТ_(наш)3"/>
      <sheetName val="E2_Brands3"/>
      <sheetName val="WEIGHT_AND_SPOTS_3_OPT3"/>
      <sheetName val="all_brands_(all_media)3"/>
      <sheetName val="Stru_xls2"/>
      <sheetName val="Zadání_(Brief)2"/>
      <sheetName val="Nastavení_(Setting)2"/>
      <sheetName val="Net_CPP2"/>
      <sheetName val="Channel_Selection2"/>
      <sheetName val="MAP_cf1"/>
      <sheetName val="TV_spot_supplier1"/>
      <sheetName val="17_7mln_вар_11"/>
      <sheetName val="Deal_20171"/>
      <sheetName val="CPP_base1"/>
      <sheetName val="НРА_бюджет1"/>
      <sheetName val="НРА_цена1"/>
      <sheetName val="Channel_mix1"/>
      <sheetName val="Intro_-_market_data1"/>
      <sheetName val="Digital_data_sheet"/>
      <sheetName val="ОРВИ_Актив"/>
      <sheetName val="Сводный_файл"/>
      <sheetName val="How_to"/>
      <sheetName val="Deal_2019"/>
      <sheetName val="Deal_2020"/>
      <sheetName val="investments_in_TV_deal_2020"/>
      <sheetName val="Фед__ТВ_стар_(2)"/>
      <sheetName val="Media Plan"/>
      <sheetName val="Digital"/>
      <sheetName val="Bloggers"/>
      <sheetName val="ООН"/>
      <sheetName val="Radio "/>
      <sheetName val="Алматы"/>
      <sheetName val="Нур-Султан"/>
      <sheetName val="Актобе"/>
      <sheetName val="Шымкент"/>
      <sheetName val="Караганда"/>
      <sheetName val="Актау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Control"/>
      <sheetName val="HBU_Modern"/>
      <sheetName val="HBU_Trad"/>
      <sheetName val="ConstantsANDSettings"/>
      <sheetName val="Codes"/>
      <sheetName val="kz budget lc"/>
      <sheetName val="PL_Vlad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3">
          <cell r="B3">
            <v>79042863.029660702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>
        <row r="3">
          <cell r="B3" t="str">
            <v>Product #2</v>
          </cell>
        </row>
      </sheetData>
      <sheetData sheetId="90" refreshError="1"/>
      <sheetData sheetId="91">
        <row r="3">
          <cell r="B3" t="str">
            <v>Product #2</v>
          </cell>
        </row>
      </sheetData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>
        <row r="3">
          <cell r="B3" t="str">
            <v>Product #2</v>
          </cell>
        </row>
      </sheetData>
      <sheetData sheetId="134" refreshError="1"/>
      <sheetData sheetId="135" refreshError="1"/>
      <sheetData sheetId="136" refreshError="1"/>
      <sheetData sheetId="137">
        <row r="3">
          <cell r="B3" t="str">
            <v>Product #2</v>
          </cell>
        </row>
      </sheetData>
      <sheetData sheetId="138" refreshError="1"/>
      <sheetData sheetId="139" refreshError="1"/>
      <sheetData sheetId="140"/>
      <sheetData sheetId="141">
        <row r="3">
          <cell r="B3">
            <v>0</v>
          </cell>
        </row>
      </sheetData>
      <sheetData sheetId="142" refreshError="1"/>
      <sheetData sheetId="143">
        <row r="3">
          <cell r="B3">
            <v>0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/>
      <sheetData sheetId="149">
        <row r="3">
          <cell r="B3">
            <v>0</v>
          </cell>
        </row>
      </sheetData>
      <sheetData sheetId="150">
        <row r="3">
          <cell r="B3" t="str">
            <v>Product #2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>
            <v>0</v>
          </cell>
        </row>
      </sheetData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/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 t="str">
            <v>Бренд: Premier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 t="str">
            <v>Бренд: Premier</v>
          </cell>
        </row>
      </sheetData>
      <sheetData sheetId="164"/>
      <sheetData sheetId="165">
        <row r="3">
          <cell r="B3" t="str">
            <v>Бренд: Premier</v>
          </cell>
        </row>
      </sheetData>
      <sheetData sheetId="166" refreshError="1"/>
      <sheetData sheetId="167" refreshError="1"/>
      <sheetData sheetId="168"/>
      <sheetData sheetId="169">
        <row r="3">
          <cell r="B3">
            <v>0</v>
          </cell>
        </row>
      </sheetData>
      <sheetData sheetId="170">
        <row r="3">
          <cell r="B3" t="str">
            <v>NRA form</v>
          </cell>
        </row>
      </sheetData>
      <sheetData sheetId="171">
        <row r="3">
          <cell r="B3">
            <v>0</v>
          </cell>
        </row>
      </sheetData>
      <sheetData sheetId="172">
        <row r="3">
          <cell r="B3" t="str">
            <v>NRA form</v>
          </cell>
        </row>
      </sheetData>
      <sheetData sheetId="173">
        <row r="4">
          <cell r="B4" t="str">
            <v>January</v>
          </cell>
        </row>
      </sheetData>
      <sheetData sheetId="174"/>
      <sheetData sheetId="175">
        <row r="3">
          <cell r="B3">
            <v>0</v>
          </cell>
        </row>
      </sheetData>
      <sheetData sheetId="176"/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Product #2</v>
          </cell>
        </row>
      </sheetData>
      <sheetData sheetId="181">
        <row r="3">
          <cell r="B3" t="str">
            <v>Бренд: Premier</v>
          </cell>
        </row>
      </sheetData>
      <sheetData sheetId="182"/>
      <sheetData sheetId="183">
        <row r="3">
          <cell r="B3" t="str">
            <v>Product #2</v>
          </cell>
        </row>
      </sheetData>
      <sheetData sheetId="184">
        <row r="3">
          <cell r="B3" t="str">
            <v>Product #2</v>
          </cell>
        </row>
      </sheetData>
      <sheetData sheetId="185">
        <row r="3">
          <cell r="B3">
            <v>0</v>
          </cell>
        </row>
      </sheetData>
      <sheetData sheetId="186">
        <row r="3">
          <cell r="B3" t="str">
            <v>Product #2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/>
      <sheetData sheetId="193">
        <row r="3">
          <cell r="B3">
            <v>0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>
            <v>0</v>
          </cell>
        </row>
      </sheetData>
      <sheetData sheetId="196">
        <row r="3">
          <cell r="B3">
            <v>0</v>
          </cell>
        </row>
      </sheetData>
      <sheetData sheetId="197">
        <row r="3">
          <cell r="B3">
            <v>0</v>
          </cell>
        </row>
      </sheetData>
      <sheetData sheetId="198"/>
      <sheetData sheetId="199">
        <row r="3">
          <cell r="B3">
            <v>0</v>
          </cell>
        </row>
      </sheetData>
      <sheetData sheetId="200"/>
      <sheetData sheetId="201">
        <row r="3">
          <cell r="B3">
            <v>0</v>
          </cell>
        </row>
      </sheetData>
      <sheetData sheetId="202"/>
      <sheetData sheetId="203">
        <row r="3">
          <cell r="B3" t="str">
            <v>Product #2</v>
          </cell>
        </row>
      </sheetData>
      <sheetData sheetId="204">
        <row r="3">
          <cell r="B3" t="str">
            <v>Product #2</v>
          </cell>
        </row>
      </sheetData>
      <sheetData sheetId="205">
        <row r="3">
          <cell r="B3" t="str">
            <v>Product #2</v>
          </cell>
        </row>
      </sheetData>
      <sheetData sheetId="206">
        <row r="3">
          <cell r="B3" t="str">
            <v>Product #2</v>
          </cell>
        </row>
      </sheetData>
      <sheetData sheetId="207">
        <row r="3">
          <cell r="B3" t="str">
            <v>Бренд: Premier</v>
          </cell>
        </row>
      </sheetData>
      <sheetData sheetId="208"/>
      <sheetData sheetId="209" refreshError="1"/>
      <sheetData sheetId="210">
        <row r="3">
          <cell r="B3" t="str">
            <v>Product #2</v>
          </cell>
        </row>
      </sheetData>
      <sheetData sheetId="211">
        <row r="3">
          <cell r="B3" t="str">
            <v>Product #2</v>
          </cell>
        </row>
      </sheetData>
      <sheetData sheetId="212">
        <row r="3">
          <cell r="B3" t="str">
            <v>Product #2</v>
          </cell>
        </row>
      </sheetData>
      <sheetData sheetId="213">
        <row r="3">
          <cell r="B3" t="str">
            <v>NRA form</v>
          </cell>
        </row>
      </sheetData>
      <sheetData sheetId="214">
        <row r="3">
          <cell r="B3" t="str">
            <v>NRA form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>
        <row r="3">
          <cell r="B3" t="str">
            <v>Бренд: Premier</v>
          </cell>
        </row>
      </sheetData>
      <sheetData sheetId="231" refreshError="1"/>
      <sheetData sheetId="232">
        <row r="3">
          <cell r="B3">
            <v>0</v>
          </cell>
        </row>
      </sheetData>
      <sheetData sheetId="233">
        <row r="1">
          <cell r="BO1">
            <v>0</v>
          </cell>
        </row>
      </sheetData>
      <sheetData sheetId="234">
        <row r="1">
          <cell r="BO1">
            <v>0</v>
          </cell>
        </row>
      </sheetData>
      <sheetData sheetId="235">
        <row r="1">
          <cell r="BO1">
            <v>0</v>
          </cell>
        </row>
      </sheetData>
      <sheetData sheetId="236">
        <row r="1">
          <cell r="BO1">
            <v>0</v>
          </cell>
        </row>
      </sheetData>
      <sheetData sheetId="237" refreshError="1"/>
      <sheetData sheetId="238">
        <row r="1">
          <cell r="BO1">
            <v>0</v>
          </cell>
        </row>
      </sheetData>
      <sheetData sheetId="239">
        <row r="1">
          <cell r="BO1">
            <v>0</v>
          </cell>
        </row>
      </sheetData>
      <sheetData sheetId="240">
        <row r="3">
          <cell r="B3">
            <v>0</v>
          </cell>
        </row>
      </sheetData>
      <sheetData sheetId="241">
        <row r="3">
          <cell r="B3" t="str">
            <v>ЗАПОЛНИТЬ</v>
          </cell>
        </row>
      </sheetData>
      <sheetData sheetId="242"/>
      <sheetData sheetId="243">
        <row r="1">
          <cell r="BO1">
            <v>0</v>
          </cell>
        </row>
      </sheetData>
      <sheetData sheetId="244">
        <row r="1">
          <cell r="BO1">
            <v>0</v>
          </cell>
        </row>
      </sheetData>
      <sheetData sheetId="245">
        <row r="3">
          <cell r="B3">
            <v>0</v>
          </cell>
        </row>
      </sheetData>
      <sheetData sheetId="246">
        <row r="3">
          <cell r="B3" t="str">
            <v>ЗАПОЛНИТЬ</v>
          </cell>
        </row>
      </sheetData>
      <sheetData sheetId="247"/>
      <sheetData sheetId="248">
        <row r="1">
          <cell r="BO1">
            <v>0</v>
          </cell>
        </row>
      </sheetData>
      <sheetData sheetId="249">
        <row r="1">
          <cell r="BO1">
            <v>0</v>
          </cell>
        </row>
      </sheetData>
      <sheetData sheetId="250">
        <row r="3">
          <cell r="B3">
            <v>0</v>
          </cell>
        </row>
      </sheetData>
      <sheetData sheetId="251"/>
      <sheetData sheetId="252"/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1">
          <cell r="C21">
            <v>0</v>
          </cell>
        </row>
      </sheetData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>
        <row r="1">
          <cell r="BO1">
            <v>0</v>
          </cell>
        </row>
      </sheetData>
      <sheetData sheetId="316">
        <row r="1">
          <cell r="BO1">
            <v>0</v>
          </cell>
        </row>
      </sheetData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97QUAR"/>
      <sheetName val="DATI"/>
      <sheetName val="OT97QUAR.XLS"/>
      <sheetName val="Grafici Prodotto"/>
      <sheetName val="Grafici Prodotto GRP Alti"/>
      <sheetName val="Modulo1"/>
      <sheetName val="TITOLO"/>
      <sheetName val="TARGET  "/>
      <sheetName val="planning"/>
      <sheetName val="radio comm.li"/>
      <sheetName val="Report Resume"/>
      <sheetName val="Planning Mobile cpm"/>
      <sheetName val="Planning Display cpc"/>
      <sheetName val="Planning SEM"/>
      <sheetName val="Planning Display cpv"/>
      <sheetName val="Planning Videoseeding"/>
      <sheetName val="Planning DEM cpl"/>
      <sheetName val="Foglio1"/>
      <sheetName val="Foglio2"/>
      <sheetName val="Foglio3"/>
      <sheetName val="Foglio4"/>
      <sheetName val="Foglio5"/>
      <sheetName val="radioa rai"/>
      <sheetName val="Form per RDA"/>
      <sheetName val="\@\CIA_ROME_NT_1\DATA\BLU_RM\A-"/>
      <sheetName val="\C\@\CIA_ROME_NT_1\DATA\BLU_RM\"/>
      <sheetName val="Grafici_Prodotto"/>
      <sheetName val="Grafici_Prodotto_GRP_Alti"/>
      <sheetName val="\\CIA_ROME_NT_1\DATA\BLU_RM\A-B"/>
      <sheetName val="\Users\ccojoc01\AppData\Local\M"/>
      <sheetName val="InputSheet"/>
      <sheetName val="\\server.umg\Users\Emes\Downloa"/>
      <sheetName val="madre"/>
      <sheetName val="Società"/>
      <sheetName val="Peer"/>
      <sheetName val="28.9"/>
      <sheetName val="Grafici_Prodotto1"/>
      <sheetName val="Grafici_Prodotto_GRP_Alti1"/>
      <sheetName val="OT97QUAR_XLS"/>
      <sheetName val="TARGET__"/>
      <sheetName val="radio_comm_li"/>
      <sheetName val="Report_Resume"/>
      <sheetName val="Planning_Mobile_cpm"/>
      <sheetName val="Planning_Display_cpc"/>
      <sheetName val="Planning_SEM"/>
      <sheetName val="Planning_Display_cpv"/>
      <sheetName val="Planning_Videoseeding"/>
      <sheetName val="Planning_DEM_cpl"/>
      <sheetName val="radioa_rai"/>
      <sheetName val="Form_per_RDA"/>
      <sheetName val="Grafici_Prodotto2"/>
      <sheetName val="Grafici_Prodotto_GRP_Alti2"/>
      <sheetName val="OT97QUAR_XLS1"/>
      <sheetName val="TARGET__1"/>
      <sheetName val="radio_comm_li1"/>
      <sheetName val="Report_Resume1"/>
      <sheetName val="Planning_Mobile_cpm1"/>
      <sheetName val="Planning_Display_cpc1"/>
      <sheetName val="Planning_SEM1"/>
      <sheetName val="Planning_Display_cpv1"/>
      <sheetName val="Planning_Videoseeding1"/>
      <sheetName val="Planning_DEM_cpl1"/>
      <sheetName val="radioa_rai1"/>
      <sheetName val="Form_per_RDA1"/>
      <sheetName val="Grafici_Prodotto3"/>
      <sheetName val="Grafici_Prodotto_GRP_Alti3"/>
      <sheetName val="OT97QUAR_XLS2"/>
      <sheetName val="TARGET__2"/>
      <sheetName val="radio_comm_li2"/>
      <sheetName val="Report_Resume2"/>
      <sheetName val="Planning_Mobile_cpm2"/>
      <sheetName val="Planning_Display_cpc2"/>
      <sheetName val="Planning_SEM2"/>
      <sheetName val="Planning_Display_cpv2"/>
      <sheetName val="Planning_Videoseeding2"/>
      <sheetName val="Planning_DEM_cpl2"/>
      <sheetName val="radioa_rai2"/>
      <sheetName val="Form_per_RDA2"/>
      <sheetName val="Grafici_Prodotto5"/>
      <sheetName val="Grafici_Prodotto_GRP_Alti5"/>
      <sheetName val="OT97QUAR_XLS4"/>
      <sheetName val="TARGET__4"/>
      <sheetName val="radio_comm_li4"/>
      <sheetName val="Report_Resume4"/>
      <sheetName val="Planning_Mobile_cpm4"/>
      <sheetName val="Planning_Display_cpc4"/>
      <sheetName val="Planning_SEM4"/>
      <sheetName val="Planning_Display_cpv4"/>
      <sheetName val="Planning_Videoseeding4"/>
      <sheetName val="Planning_DEM_cpl4"/>
      <sheetName val="radioa_rai4"/>
      <sheetName val="Form_per_RDA4"/>
      <sheetName val="Grafici_Prodotto4"/>
      <sheetName val="Grafici_Prodotto_GRP_Alti4"/>
      <sheetName val="OT97QUAR_XLS3"/>
      <sheetName val="TARGET__3"/>
      <sheetName val="radio_comm_li3"/>
      <sheetName val="Report_Resume3"/>
      <sheetName val="Planning_Mobile_cpm3"/>
      <sheetName val="Planning_Display_cpc3"/>
      <sheetName val="Planning_SEM3"/>
      <sheetName val="Planning_Display_cpv3"/>
      <sheetName val="Planning_Videoseeding3"/>
      <sheetName val="Planning_DEM_cpl3"/>
      <sheetName val="radioa_rai3"/>
      <sheetName val="Form_per_RDA3"/>
      <sheetName val="Grafici_Prodotto6"/>
      <sheetName val="Grafici_Prodotto_GRP_Alti6"/>
      <sheetName val="OT97QUAR_XLS5"/>
      <sheetName val="TARGET__5"/>
      <sheetName val="radio_comm_li5"/>
      <sheetName val="Report_Resume5"/>
      <sheetName val="Planning_Mobile_cpm5"/>
      <sheetName val="Planning_Display_cpc5"/>
      <sheetName val="Planning_SEM5"/>
      <sheetName val="Planning_Display_cpv5"/>
      <sheetName val="Planning_Videoseeding5"/>
      <sheetName val="Planning_DEM_cpl5"/>
      <sheetName val="radioa_rai5"/>
      <sheetName val="Form_per_RDA5"/>
      <sheetName val="Grafici_Prodotto7"/>
      <sheetName val="Grafici_Prodotto_GRP_Alti7"/>
      <sheetName val="OT97QUAR_XLS6"/>
      <sheetName val="TARGET__6"/>
      <sheetName val="radio_comm_li6"/>
      <sheetName val="Report_Resume6"/>
      <sheetName val="Planning_Mobile_cpm6"/>
      <sheetName val="Planning_Display_cpc6"/>
      <sheetName val="Planning_SEM6"/>
      <sheetName val="Planning_Display_cpv6"/>
      <sheetName val="Planning_Videoseeding6"/>
      <sheetName val="Planning_DEM_cpl6"/>
      <sheetName val="radioa_rai6"/>
      <sheetName val="Form_per_RDA6"/>
      <sheetName val="Grafici_Prodotto8"/>
      <sheetName val="Grafici_Prodotto_GRP_Alti8"/>
      <sheetName val="OT97QUAR_XLS7"/>
      <sheetName val="TARGET__7"/>
      <sheetName val="radio_comm_li7"/>
      <sheetName val="Report_Resume7"/>
      <sheetName val="Planning_Mobile_cpm7"/>
      <sheetName val="Planning_Display_cpc7"/>
      <sheetName val="Planning_SEM7"/>
      <sheetName val="Planning_Display_cpv7"/>
      <sheetName val="Planning_Videoseeding7"/>
      <sheetName val="Planning_DEM_cpl7"/>
      <sheetName val="radioa_rai7"/>
      <sheetName val="Form_per_RDA7"/>
      <sheetName val="Grafici_Prodotto9"/>
      <sheetName val="Grafici_Prodotto_GRP_Alti9"/>
      <sheetName val="OT97QUAR_XLS8"/>
      <sheetName val="TARGET__8"/>
      <sheetName val="radio_comm_li8"/>
      <sheetName val="Report_Resume8"/>
      <sheetName val="Planning_Mobile_cpm8"/>
      <sheetName val="Planning_Display_cpc8"/>
      <sheetName val="Planning_SEM8"/>
      <sheetName val="Planning_Display_cpv8"/>
      <sheetName val="Planning_Videoseeding8"/>
      <sheetName val="Planning_DEM_cpl8"/>
      <sheetName val="radioa_rai8"/>
      <sheetName val="Form_per_RDA8"/>
      <sheetName val="\\APSGAPFS02\Public$\Users\ccoj"/>
      <sheetName val="Grafici_Prodotto10"/>
      <sheetName val="Grafici_Prodotto_GRP_Alti10"/>
      <sheetName val="OT97QUAR_XLS9"/>
      <sheetName val="TARGET__9"/>
      <sheetName val="radio_comm_li9"/>
      <sheetName val="Report_Resume9"/>
      <sheetName val="Planning_Mobile_cpm9"/>
      <sheetName val="Planning_Display_cpc9"/>
      <sheetName val="Planning_SEM9"/>
      <sheetName val="Planning_Display_cpv9"/>
      <sheetName val="Planning_Videoseeding9"/>
      <sheetName val="Planning_DEM_cpl9"/>
      <sheetName val="radioa_rai9"/>
      <sheetName val="Form_per_RDA9"/>
      <sheetName val="Grafici_Prodotto11"/>
      <sheetName val="Grafici_Prodotto_GRP_Alti11"/>
      <sheetName val="OT97QUAR_XLS10"/>
      <sheetName val="TARGET__10"/>
      <sheetName val="radio_comm_li10"/>
      <sheetName val="Report_Resume10"/>
      <sheetName val="Planning_Mobile_cpm10"/>
      <sheetName val="Planning_Display_cpc10"/>
      <sheetName val="Planning_SEM10"/>
      <sheetName val="Planning_Display_cpv10"/>
      <sheetName val="Planning_Videoseeding10"/>
      <sheetName val="Planning_DEM_cpl10"/>
      <sheetName val="radioa_rai10"/>
      <sheetName val="Form_per_RDA10"/>
      <sheetName val="\\etno03\condivisa vittoria\BLU"/>
      <sheetName val="Grafici_Prodotto12"/>
      <sheetName val="Grafici_Prodotto_GRP_Alti12"/>
      <sheetName val="OT97QUAR_XLS11"/>
      <sheetName val="TARGET__11"/>
      <sheetName val="radio_comm_li11"/>
      <sheetName val="Report_Resume11"/>
      <sheetName val="Planning_Mobile_cpm11"/>
      <sheetName val="Planning_Display_cpc11"/>
      <sheetName val="Planning_SEM11"/>
      <sheetName val="Planning_Display_cpv11"/>
      <sheetName val="Planning_Videoseeding11"/>
      <sheetName val="Planning_DEM_cpl11"/>
      <sheetName val="radioa_rai11"/>
      <sheetName val="Form_per_RDA11"/>
      <sheetName val="Grafici_Prodotto13"/>
      <sheetName val="Grafici_Prodotto_GRP_Alti13"/>
      <sheetName val="OT97QUAR_XLS12"/>
      <sheetName val="TARGET__12"/>
      <sheetName val="radio_comm_li12"/>
      <sheetName val="Report_Resume12"/>
      <sheetName val="Planning_Mobile_cpm12"/>
      <sheetName val="Planning_Display_cpc12"/>
      <sheetName val="Planning_SEM12"/>
      <sheetName val="Planning_Display_cpv12"/>
      <sheetName val="Planning_Videoseeding12"/>
      <sheetName val="Planning_DEM_cpl12"/>
      <sheetName val="radioa_rai12"/>
      <sheetName val="Form_per_RDA12"/>
      <sheetName val="Grafici_Prodotto14"/>
      <sheetName val="Grafici_Prodotto_GRP_Alti14"/>
      <sheetName val="OT97QUAR_XLS13"/>
      <sheetName val="TARGET__13"/>
      <sheetName val="radio_comm_li13"/>
      <sheetName val="Report_Resume13"/>
      <sheetName val="Planning_Mobile_cpm13"/>
      <sheetName val="Planning_Display_cpc13"/>
      <sheetName val="Planning_SEM13"/>
      <sheetName val="Planning_Display_cpv13"/>
      <sheetName val="Planning_Videoseeding13"/>
      <sheetName val="Planning_DEM_cpl13"/>
      <sheetName val="radioa_rai13"/>
      <sheetName val="Form_per_RDA13"/>
      <sheetName val="Grafici_Prodotto15"/>
      <sheetName val="Grafici_Prodotto_GRP_Alti15"/>
      <sheetName val="OT97QUAR_XLS14"/>
      <sheetName val="TARGET__14"/>
      <sheetName val="radio_comm_li14"/>
      <sheetName val="Report_Resume14"/>
      <sheetName val="Planning_Mobile_cpm14"/>
      <sheetName val="Planning_Display_cpc14"/>
      <sheetName val="Planning_SEM14"/>
      <sheetName val="Planning_Display_cpv14"/>
      <sheetName val="Planning_Videoseeding14"/>
      <sheetName val="Planning_DEM_cpl14"/>
      <sheetName val="radioa_rai14"/>
      <sheetName val="Form_per_RDA14"/>
      <sheetName val="\\etno03\condivisa_vittoria\BLU"/>
      <sheetName val="Grafici_Prodotto16"/>
      <sheetName val="Grafici_Prodotto_GRP_Alti16"/>
      <sheetName val="OT97QUAR_XLS15"/>
      <sheetName val="TARGET__15"/>
      <sheetName val="radio_comm_li15"/>
      <sheetName val="Report_Resume15"/>
      <sheetName val="Planning_Mobile_cpm15"/>
      <sheetName val="Planning_Display_cpc15"/>
      <sheetName val="Planning_SEM15"/>
      <sheetName val="Planning_Display_cpv15"/>
      <sheetName val="Planning_Videoseeding15"/>
      <sheetName val="Planning_DEM_cpl15"/>
      <sheetName val="radioa_rai15"/>
      <sheetName val="Form_per_RDA15"/>
      <sheetName val="\\etno03\condivisa_vittoria\BL1"/>
      <sheetName val="\\MIL-FPS39\clientimec$\Users\s"/>
      <sheetName val="\Users\bruno.baty\AppData\Local"/>
      <sheetName val="[OT97QUAR.XLS][OT97QUAR.XLS]\@\"/>
      <sheetName val="[OT97QUAR.XLS][OT97QUAR.XLS]\C\"/>
      <sheetName val="[OT97QUAR.XLS][OT97QUAR.XLS]\\C"/>
      <sheetName val="[OT97QUAR.XLS][OT97QUAR.XLS]\Us"/>
      <sheetName val="[OT97QUAR.XLS][OT97QUAR.XLS]\\A"/>
      <sheetName val="[OT97QUAR.XLS][OT97QUAR.XLS]\\s"/>
      <sheetName val="[OT97QUAR.XLS][OT97QUAR.XLS]\\e"/>
      <sheetName val="[OT97QUAR.XLS][OT97QUAR.XLS]\\M"/>
      <sheetName val="[OT97QUAR.XLS][OT97QUAR.XLS][OT"/>
      <sheetName val="\Users\kunleAdebayo\Downloads\C"/>
      <sheetName val="Grafici_Prodotto17"/>
      <sheetName val="Grafici_Prodotto_GRP_Alti17"/>
      <sheetName val="OT97QUAR_XLS16"/>
      <sheetName val="TARGET__16"/>
      <sheetName val="radio_comm_li16"/>
      <sheetName val="Report_Resume16"/>
      <sheetName val="Planning_Mobile_cpm16"/>
      <sheetName val="Planning_Display_cpc16"/>
      <sheetName val="Planning_SEM16"/>
      <sheetName val="Planning_Display_cpv16"/>
      <sheetName val="Planning_Videoseeding16"/>
      <sheetName val="Planning_DEM_cpl16"/>
      <sheetName val="radioa_rai16"/>
      <sheetName val="Form_per_RDA16"/>
      <sheetName val="28_9"/>
      <sheetName val="\\etno03\condivisa_vittoria\BL2"/>
      <sheetName val="[OT97QUAR.XLS]__myoffice_acce_2"/>
      <sheetName val="SitesVermarkter"/>
      <sheetName val="\BLU_RM\A-BLU_RM\SAGIT\QFF\QFF_"/>
      <sheetName val="[OT97QUAR.XLS]\@\CIA_ROME_NT_1\"/>
      <sheetName val="[OT97QUAR.XLS]\C\@\CIA_ROME_NT_"/>
      <sheetName val="[OT97QUAR.XLS]\\CIA_ROME_NT_1\D"/>
      <sheetName val="[OT97QUAR.XLS]\Users\ccojoc01\A"/>
      <sheetName val="[OT97QUAR.XLS]\\APSGAPFS02\Publ"/>
      <sheetName val="[OT97QUAR.XLS]\\server.umg\User"/>
      <sheetName val="[OT97QUAR.XLS]\\etno03\condivis"/>
      <sheetName val="[OT97QUAR.XLS]\\MIL-FPS39\clien"/>
      <sheetName val="[OT97QUAR.XLS]\Users\bruno.baty"/>
      <sheetName val="[OT97QUAR.XLS]\Users\kunleAdeba"/>
      <sheetName val="[OT97QUAR.XLS]//myoffice.accent"/>
      <sheetName val="[OT97QUAR.XLS]\BLU_RM\A-BLU_RM\"/>
      <sheetName val="[OT97QUAR.XLS]__myoffice_acce_3"/>
      <sheetName val="[OT97QUAR.XLS]__myoffice_acce_4"/>
      <sheetName val="[OT97QUAR.XLS]__myoffice_acce_5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[OT97QUAR.XLS]__myoffice_acce_6"/>
      <sheetName val="[OT97QUAR.XLS]__myoffice_acce_7"/>
      <sheetName val="[OT97QUAR.XLS]__myoffice_acc_21"/>
      <sheetName val="[OT97QUAR.XLS]__myoffice_acce_8"/>
      <sheetName val="[OT97QUAR.XLS]__myoffice_acc_13"/>
      <sheetName val="[OT97QUAR.XLS]__myoffice_acc_11"/>
      <sheetName val="[OT97QUAR.XLS]__myoffice_acce_9"/>
      <sheetName val="[OT97QUAR.XLS]__myoffice_acc_10"/>
      <sheetName val="[OT97QUAR.XLS]__myoffice_acc_12"/>
      <sheetName val="[OT97QUAR.XLS]__myoffice_acc_14"/>
      <sheetName val="[OT97QUAR.XLS]__myoffice_acc_17"/>
      <sheetName val="[OT97QUAR.XLS]__myoffice_acc_15"/>
      <sheetName val="[OT97QUAR.XLS]__myoffice_acc_16"/>
      <sheetName val="[OT97QUAR.XLS]__myoffice_acc_18"/>
      <sheetName val="[OT97QUAR.XLS]__myoffice_acc_19"/>
      <sheetName val="[OT97QUAR.XLS]__myoffice_acc_20"/>
      <sheetName val="[OT97QUAR.XLS]__myoffice_acc_23"/>
      <sheetName val="[OT97QUAR.XLS]__myoffice_acc_22"/>
      <sheetName val="[OT97QUAR.XLS]__myoffice_acc_25"/>
      <sheetName val="[OT97QUAR.XLS]__myoffice_acc_24"/>
      <sheetName val="[OT97QUAR.XLS]__myoffice_acc_28"/>
      <sheetName val="[OT97QUAR.XLS]__myoffice_acc_26"/>
      <sheetName val="[OT97QUAR.XLS]__myoffice_acc_27"/>
      <sheetName val="[OT97QUAR.XLS]__myoffice_acc_29"/>
      <sheetName val="[OT97QUAR.XLS]__myoffice_acc_31"/>
      <sheetName val="[OT97QUAR.XLS]__myoffice_acc_30"/>
      <sheetName val="[OT97QUAR.XLS]__myoffice_acc_32"/>
      <sheetName val="[OT97QUAR.XLS]__myoffice_acc_33"/>
      <sheetName val="[OT97QUAR.XLS]__myoffice_acc_34"/>
      <sheetName val="[OT97QUAR.XLS]__myoffice_acc_35"/>
      <sheetName val="[OT97QUAR.XLS]__myoffice_acc_36"/>
      <sheetName val="[OT97QUAR.XLS]__myoffice_acc_37"/>
      <sheetName val="[OT97QUAR.XLS]__myoffice_acc_39"/>
      <sheetName val="[OT97QUAR.XLS]__myoffice_acc_38"/>
      <sheetName val="[OT97QUAR.XLS]__myoffice_acc_40"/>
      <sheetName val="[OT97QUAR.XLS]__myoffice_acc_41"/>
      <sheetName val="[OT97QUAR.XLS]__myoffice_acc_42"/>
      <sheetName val="[OT97QUAR.XLS]__myoffice_acc_43"/>
      <sheetName val="[OT97QUAR.XLS]__myoffice_acc_44"/>
      <sheetName val="[OT97QUAR.XLS]__myoffice_acc_45"/>
      <sheetName val="[OT97QUAR.XLS]__myoffice_acc_46"/>
      <sheetName val="[OT97QUAR.XLS]__myoffice_acc_47"/>
      <sheetName val="[OT97QUAR.XLS]__myoffice_acc_48"/>
      <sheetName val="Grafici_Prodotto18"/>
      <sheetName val="Grafici_Prodotto_GRP_Alti18"/>
      <sheetName val="OT97QUAR_XLS17"/>
      <sheetName val="TARGET__17"/>
      <sheetName val="radio_comm_li17"/>
      <sheetName val="Report_Resume17"/>
      <sheetName val="Planning_Mobile_cpm17"/>
      <sheetName val="Planning_Display_cpc17"/>
      <sheetName val="Planning_SEM17"/>
      <sheetName val="Planning_Display_cpv17"/>
      <sheetName val="Planning_Videoseeding17"/>
      <sheetName val="Planning_DEM_cpl17"/>
      <sheetName val="radioa_rai17"/>
      <sheetName val="Form_per_RDA17"/>
      <sheetName val="\\etno03\condivisa_vittoria\BL3"/>
      <sheetName val="28_91"/>
      <sheetName val="\\server_umg\Users\Emes\Downloa"/>
      <sheetName val="\Users\bruno_baty\AppData\Local"/>
      <sheetName val="[OT97QUAR_XLS][OT97QUAR_XLS]\@\"/>
      <sheetName val="[OT97QUAR_XLS][OT97QUAR_XLS]\C\"/>
      <sheetName val="[OT97QUAR_XLS][OT97QUAR_XLS]\\C"/>
      <sheetName val="[OT97QUAR_XLS][OT97QUAR_XLS]\Us"/>
      <sheetName val="[OT97QUAR_XLS][OT97QUAR_XLS]\\A"/>
      <sheetName val="[OT97QUAR_XLS][OT97QUAR_XLS]\\s"/>
      <sheetName val="[OT97QUAR_XLS][OT97QUAR_XLS]\\e"/>
      <sheetName val="[OT97QUAR_XLS][OT97QUAR_XLS]\\M"/>
      <sheetName val="[OT97QUAR_XLS][OT97QUAR_XLS][OT"/>
      <sheetName val="//myoffice_accenture_com/Users/"/>
      <sheetName val="Grafici_Prodotto19"/>
      <sheetName val="Grafici_Prodotto_GRP_Alti19"/>
      <sheetName val="OT97QUAR_XLS18"/>
      <sheetName val="TARGET__18"/>
      <sheetName val="radio_comm_li18"/>
      <sheetName val="Report_Resume18"/>
      <sheetName val="Planning_Mobile_cpm18"/>
      <sheetName val="Planning_Display_cpc18"/>
      <sheetName val="Planning_SEM18"/>
      <sheetName val="Planning_Display_cpv18"/>
      <sheetName val="Planning_Videoseeding18"/>
      <sheetName val="Planning_DEM_cpl18"/>
      <sheetName val="radioa_rai18"/>
      <sheetName val="Form_per_RDA18"/>
      <sheetName val="\\etno03\condivisa_vittoria\BL4"/>
      <sheetName val="28_92"/>
      <sheetName val="\\server_umg\Users\Emes\Downlo1"/>
      <sheetName val="\Users\bruno_baty\AppData\Loca1"/>
      <sheetName val="[OT97QUAR_XLS][OT97QUAR_XLS]\@1"/>
      <sheetName val="[OT97QUAR_XLS][OT97QUAR_XLS]\C1"/>
      <sheetName val="[OT97QUAR_XLS][OT97QUAR_XLS]\\1"/>
      <sheetName val="[OT97QUAR_XLS][OT97QUAR_XLS]\U1"/>
      <sheetName val="[OT97QUAR_XLS][OT97QUAR_XLS]\\2"/>
      <sheetName val="[OT97QUAR_XLS][OT97QUAR_XLS]\\3"/>
      <sheetName val="[OT97QUAR_XLS][OT97QUAR_XLS]\\4"/>
      <sheetName val="[OT97QUAR_XLS][OT97QUAR_XLS]\\5"/>
      <sheetName val="[OT97QUAR_XLS][OT97QUAR_XLS][O1"/>
      <sheetName val="//myoffice_accenture_com/Users1"/>
      <sheetName val="COPERTINA"/>
      <sheetName val="[OT97QUAR.XLS]__myoffice_acc_49"/>
      <sheetName val="[OT97QUAR.XLS]__myoffice_acc_73"/>
      <sheetName val="MediaPlan Naming Convention"/>
      <sheetName val="MEDIAMOB WHISTELIST"/>
      <sheetName val="PBU WHITELIST VOL"/>
      <sheetName val="PBU WITHELIST DISPLAY"/>
      <sheetName val="PBU VOL"/>
      <sheetName val="TDominio"/>
      <sheetName val="[OT97QUAR.XLS]__unilever_my__31"/>
      <sheetName val="[OT97QUAR.XLS][OT97QUAR.XLS]\BL"/>
      <sheetName val=" FOCUS"/>
      <sheetName val="DONNE"/>
      <sheetName val="PUB"/>
      <sheetName val="RAI"/>
      <sheetName val="[OT97QUAR.XLS]__unilever_my_s_2"/>
      <sheetName val="[OT97QUAR.XLS]__unilever_my_s_3"/>
      <sheetName val="[OT97QUAR.XLS]__unilever_my_s_4"/>
      <sheetName val="[OT97QUAR.XLS]__myoffice_acc_59"/>
      <sheetName val="[OT97QUAR.XLS]__unilever_my__22"/>
      <sheetName val="[OT97QUAR.XLS]__unilever_my_s_5"/>
      <sheetName val="[OT97QUAR.XLS]__unilever_my_s_6"/>
      <sheetName val="[OT97QUAR.XLS]__unilever_my__10"/>
      <sheetName val="[OT97QUAR.XLS]__unilever_my_s_7"/>
      <sheetName val="[OT97QUAR.XLS]__unilever_my_s_8"/>
      <sheetName val="[OT97QUAR.XLS]__unilever_my_s_9"/>
      <sheetName val="[OT97QUAR.XLS]__unilever_my__16"/>
      <sheetName val="[OT97QUAR.XLS]__unilever_my__15"/>
      <sheetName val="[OT97QUAR.XLS]__unilever_my__14"/>
      <sheetName val="[OT97QUAR.XLS]__unilever_my__13"/>
      <sheetName val="[OT97QUAR.XLS]__unilever_my__11"/>
      <sheetName val="[OT97QUAR.XLS]__unilever_my__12"/>
      <sheetName val="[OT97QUAR.XLS]__unilever_my__17"/>
      <sheetName val="[OT97QUAR.XLS]__myoffice_acc_50"/>
      <sheetName val="[OT97QUAR.XLS]__myoffice_acc_53"/>
      <sheetName val="[OT97QUAR.XLS]__myoffice_acc_51"/>
      <sheetName val="[OT97QUAR.XLS]__myoffice_acc_52"/>
      <sheetName val="[OT97QUAR.XLS]__myoffice_acc_54"/>
      <sheetName val="[OT97QUAR.XLS]__myoffice_acc_57"/>
      <sheetName val="[OT97QUAR.XLS]__unilever_my__20"/>
      <sheetName val="[OT97QUAR.XLS]__myoffice_acc_55"/>
      <sheetName val="[OT97QUAR.XLS]__unilever_my__18"/>
      <sheetName val="[OT97QUAR.XLS]__myoffice_acc_56"/>
      <sheetName val="[OT97QUAR.XLS]__unilever_my__19"/>
      <sheetName val="[OT97QUAR.XLS]__myoffice_acc_58"/>
      <sheetName val="[OT97QUAR.XLS]__unilever_my__21"/>
      <sheetName val="[OT97QUAR.XLS]__myoffice_acc_60"/>
      <sheetName val="[OT97QUAR.XLS]__unilever_my__23"/>
      <sheetName val="[OT97QUAR.XLS]__myoffice_acc_61"/>
      <sheetName val="[OT97QUAR.XLS]__myoffice_acc_62"/>
      <sheetName val="[OT97QUAR.XLS]__unilever_my__25"/>
      <sheetName val="[OT97QUAR.XLS]__unilever_my__24"/>
      <sheetName val="[OT97QUAR.XLS]__myoffice_acc_63"/>
      <sheetName val="[OT97QUAR.XLS]__unilever_my__26"/>
      <sheetName val="[OT97QUAR.XLS]__myoffice_acc_64"/>
      <sheetName val="[OT97QUAR.XLS]__unilever_my__27"/>
      <sheetName val="[OT97QUAR.XLS]__myoffice_acc_66"/>
      <sheetName val="[OT97QUAR.XLS]__myoffice_acc_65"/>
      <sheetName val="[OT97QUAR.XLS]__myoffice_acc_67"/>
      <sheetName val="[OT97QUAR.XLS]__myoffice_acc_68"/>
      <sheetName val="[OT97QUAR.XLS]__myoffice_acc_69"/>
      <sheetName val="[OT97QUAR.XLS]__myoffice_acc_71"/>
      <sheetName val="[OT97QUAR.XLS]__unilever_my__29"/>
      <sheetName val="[OT97QUAR.XLS]__myoffice_acc_70"/>
      <sheetName val="[OT97QUAR.XLS]__unilever_my__28"/>
      <sheetName val="[OT97QUAR.XLS]__myoffice_acc_72"/>
      <sheetName val="[OT97QUAR.XLS]__unilever_my__30"/>
      <sheetName val="[OT97QUAR.XLS]__myoffice_acc_74"/>
      <sheetName val="[OT97QUAR.XLS]__unilever_my__32"/>
      <sheetName val="[OT97QUAR.XLS]__myoffice_acc_78"/>
      <sheetName val="[OT97QUAR.XLS]__myoffice_acc_75"/>
      <sheetName val="[OT97QUAR.XLS]__unilever_my__33"/>
      <sheetName val="[OT97QUAR.XLS]__myoffice_acc_76"/>
      <sheetName val="[OT97QUAR.XLS]__myoffice_acc_77"/>
      <sheetName val="[OT97QUAR.XLS]__unilever_my__34"/>
      <sheetName val="[OT97QUAR.XLS]__myoffice_acc_80"/>
      <sheetName val="[OT97QUAR.XLS]__myoffice_acc_79"/>
      <sheetName val="[OT97QUAR.XLS]__myoffice_acc_81"/>
      <sheetName val="[OT97QUAR.XLS]__unilever_my__36"/>
      <sheetName val="[OT97QUAR.XLS]__unilever_my__35"/>
      <sheetName val="[OT97QUAR.XLS]__myoffice_acc_82"/>
      <sheetName val="[OT97QUAR.XLS]__unilever_my__38"/>
      <sheetName val="[OT97QUAR.XLS]__unilever_my__37"/>
      <sheetName val="[OT97QUAR.XLS]__myoffice_acc_83"/>
      <sheetName val="[OT97QUAR.XLS]__unilever_my__39"/>
      <sheetName val="[OT97QUAR.XLS]__myoffice_acc_86"/>
      <sheetName val="[OT97QUAR.XLS]__myoffice_acc_84"/>
      <sheetName val="[OT97QUAR.XLS]__myoffice_acc_85"/>
      <sheetName val="[OT97QUAR.XLS]__myoffice_acc_87"/>
      <sheetName val="[OT97QUAR.XLS]__unilever_my__40"/>
      <sheetName val="[OT97QUAR.XLS]__myoffice_acc_92"/>
      <sheetName val="[OT97QUAR.XLS]__unilever_my__48"/>
      <sheetName val="[OT97QUAR.XLS]__unilever_my__41"/>
      <sheetName val="[OT97QUAR.XLS]__myoffice_acc_88"/>
      <sheetName val="[OT97QUAR.XLS]__unilever_my__44"/>
      <sheetName val="[OT97QUAR.XLS]__unilever_my__42"/>
      <sheetName val="[OT97QUAR.XLS]__unilever_my__43"/>
      <sheetName val="[OT97QUAR.XLS]__myoffice_acc_89"/>
      <sheetName val="[OT97QUAR.XLS]__unilever_my__45"/>
      <sheetName val="[OT97QUAR.XLS]__myoffice_acc_90"/>
      <sheetName val="[OT97QUAR.XLS]__unilever_my__46"/>
      <sheetName val="[OT97QUAR.XLS]__myoffice_acc_91"/>
      <sheetName val="[OT97QUAR.XLS]__unilever_my__47"/>
      <sheetName val="[OT97QUAR.XLS]__myoffice_acc_93"/>
      <sheetName val="[OT97QUAR.XLS]__myoffice_acc_94"/>
      <sheetName val="[OT97QUAR.XLS]__myoffice_acc_96"/>
      <sheetName val="[OT97QUAR.XLS]__myoffice_acc_95"/>
      <sheetName val="[OT97QUAR.XLS]__myoffice_acc_97"/>
      <sheetName val="[OT97QUAR.XLS]__myoffice_acc_99"/>
      <sheetName val="[OT97QUAR.XLS]__myoffice_acc_98"/>
      <sheetName val="[OT97QUAR.XLS]__myoffice_ac_100"/>
      <sheetName val="[OT97QUAR.XLS]__myoffice_ac_101"/>
      <sheetName val="[OT97QUAR.XLS]__myoffice_ac_102"/>
      <sheetName val="[OT97QUAR.XLS]__myoffice_ac_103"/>
      <sheetName val="[OT97QUAR.XLS]__myoffice_ac_131"/>
      <sheetName val="[OT97QUAR.XLS]__unilever_my__85"/>
      <sheetName val="[OT97QUAR.XLS]__unilever_my__49"/>
      <sheetName val="[OT97QUAR.XLS]__unilever_my__51"/>
      <sheetName val="[OT97QUAR.XLS]__unilever_my__50"/>
      <sheetName val="[OT97QUAR.XLS]__unilever_my__53"/>
      <sheetName val="[OT97QUAR.XLS]__unilever_my__52"/>
      <sheetName val="[OT97QUAR.XLS]__unilever_my__54"/>
      <sheetName val="[OT97QUAR.XLS]__unilever_my__57"/>
      <sheetName val="[OT97QUAR.XLS]__unilever_my__56"/>
      <sheetName val="[OT97QUAR.XLS]__unilever_my__55"/>
      <sheetName val="[OT97QUAR.XLS]__myoffice_ac_104"/>
      <sheetName val="[OT97QUAR.XLS]__unilever_my__59"/>
      <sheetName val="[OT97QUAR.XLS]__unilever_my__58"/>
      <sheetName val="[OT97QUAR.XLS]__myoffice_ac_105"/>
      <sheetName val="[OT97QUAR.XLS]__unilever_my__60"/>
      <sheetName val="[OT97QUAR.XLS]__myoffice_ac_107"/>
      <sheetName val="[OT97QUAR.XLS]__unilever_my__62"/>
      <sheetName val="[OT97QUAR.XLS]__myoffice_ac_106"/>
      <sheetName val="[OT97QUAR.XLS]__unilever_my__61"/>
      <sheetName val="[OT97QUAR.XLS]__myoffice_ac_110"/>
      <sheetName val="[OT97QUAR.XLS]__unilever_my__64"/>
      <sheetName val="[OT97QUAR.XLS]__myoffice_ac_108"/>
      <sheetName val="[OT97QUAR.XLS]__unilever_my__63"/>
      <sheetName val="[OT97QUAR.XLS]__myoffice_ac_109"/>
      <sheetName val="[OT97QUAR.XLS]__myoffice_ac_111"/>
      <sheetName val="[OT97QUAR.XLS]__myoffice_ac_118"/>
      <sheetName val="[OT97QUAR.XLS]__unilever_my__65"/>
      <sheetName val="[OT97QUAR.XLS]__myoffice_ac_113"/>
      <sheetName val="[OT97QUAR.XLS]__unilever_my__67"/>
      <sheetName val="[OT97QUAR.XLS]__myoffice_ac_112"/>
      <sheetName val="[OT97QUAR.XLS]__unilever_my__66"/>
      <sheetName val="[OT97QUAR.XLS]__myoffice_ac_114"/>
      <sheetName val="[OT97QUAR.XLS]__unilever_my__68"/>
      <sheetName val="[OT97QUAR.XLS]__myoffice_ac_115"/>
      <sheetName val="[OT97QUAR.XLS]__unilever_my__69"/>
      <sheetName val="[OT97QUAR.XLS]__myoffice_ac_116"/>
      <sheetName val="[OT97QUAR.XLS]__myoffice_ac_117"/>
      <sheetName val="[OT97QUAR.XLS]__myoffice_ac_119"/>
      <sheetName val="[OT97QUAR.XLS]__unilever_my__70"/>
      <sheetName val="[OT97QUAR.XLS]__myoffice_ac_121"/>
      <sheetName val="[OT97QUAR.XLS]__unilever_my__72"/>
      <sheetName val="[OT97QUAR.XLS]__myoffice_ac_120"/>
      <sheetName val="[OT97QUAR.XLS]__unilever_my__71"/>
      <sheetName val="[OT97QUAR.XLS]__unilever_my__73"/>
      <sheetName val="[OT97QUAR.XLS]__unilever_my__74"/>
      <sheetName val="[OT97QUAR.XLS]__unilever_my__75"/>
      <sheetName val="[OT97QUAR.XLS]__myoffice_ac_124"/>
      <sheetName val="[OT97QUAR.XLS]__unilever_my__78"/>
      <sheetName val="[OT97QUAR.XLS]__myoffice_ac_122"/>
      <sheetName val="[OT97QUAR.XLS]__unilever_my__76"/>
      <sheetName val="[OT97QUAR.XLS]__myoffice_ac_123"/>
      <sheetName val="[OT97QUAR.XLS]__unilever_my__77"/>
      <sheetName val="[OT97QUAR.XLS]__myoffice_ac_125"/>
      <sheetName val="[OT97QUAR.XLS]__unilever_my__79"/>
      <sheetName val="[OT97QUAR.XLS]__myoffice_ac_126"/>
      <sheetName val="[OT97QUAR.XLS]__unilever_my__80"/>
      <sheetName val="[OT97QUAR.XLS]__myoffice_ac_127"/>
      <sheetName val="[OT97QUAR.XLS]__unilever_my__81"/>
      <sheetName val="[OT97QUAR.XLS]__myoffice_ac_130"/>
      <sheetName val="[OT97QUAR.XLS]__unilever_my__84"/>
      <sheetName val="[OT97QUAR.XLS]__myoffice_ac_129"/>
      <sheetName val="[OT97QUAR.XLS]__unilever_my__83"/>
      <sheetName val="[OT97QUAR.XLS]__myoffice_ac_128"/>
      <sheetName val="[OT97QUAR.XLS]__unilever_my__82"/>
      <sheetName val="[OT97QUAR.XLS]__myoffice_ac_132"/>
      <sheetName val="[OT97QUAR.XLS]__unilever_my__86"/>
      <sheetName val="[OT97QUAR.XLS]__myoffice_ac_133"/>
      <sheetName val="[OT97QUAR.XLS]__unilever_my__87"/>
      <sheetName val="[OT97QUAR.XLS]__myoffice_ac_134"/>
      <sheetName val="[OT97QUAR.XLS]__unilever_my__88"/>
      <sheetName val="[OT97QUAR.XLS]__myoffice_ac_135"/>
      <sheetName val="[OT97QUAR.XLS]__unilever_my__89"/>
      <sheetName val="[OT97QUAR.XLS]__myoffice_ac_137"/>
      <sheetName val="[OT97QUAR.XLS]__unilever_my__91"/>
      <sheetName val="[OT97QUAR.XLS]__myoffice_ac_136"/>
      <sheetName val="[OT97QUAR.XLS]__unilever_my__90"/>
      <sheetName val="[OT97QUAR.XLS]__myoffice_ac_138"/>
      <sheetName val="[OT97QUAR.XLS]__unilever_my__92"/>
      <sheetName val="[OT97QUAR.XLS]__myoffice_ac_141"/>
      <sheetName val="[OT97QUAR.XLS]__unilever_my__95"/>
      <sheetName val="[OT97QUAR.XLS]__myoffice_ac_140"/>
      <sheetName val="[OT97QUAR.XLS]__unilever_my__94"/>
      <sheetName val="[OT97QUAR.XLS]__myoffice_ac_139"/>
      <sheetName val="[OT97QUAR.XLS]__unilever_my__93"/>
      <sheetName val="[OT97QUAR.XLS]__myoffice_ac_142"/>
      <sheetName val="[OT97QUAR.XLS]__unilever_my__96"/>
      <sheetName val="[OT97QUAR.XLS]__myoffice_ac_147"/>
      <sheetName val="[OT97QUAR.XLS]__unilever_my_101"/>
      <sheetName val="[OT97QUAR.XLS]__myoffice_ac_143"/>
      <sheetName val="[OT97QUAR.XLS]__unilever_my__97"/>
      <sheetName val="[OT97QUAR.XLS]__myoffice_ac_144"/>
      <sheetName val="[OT97QUAR.XLS]__unilever_my__98"/>
      <sheetName val="[OT97QUAR.XLS]__myoffice_ac_145"/>
      <sheetName val="[OT97QUAR.XLS]__unilever_my__99"/>
      <sheetName val="[OT97QUAR.XLS]__myoffice_ac_146"/>
      <sheetName val="[OT97QUAR.XLS]__unilever_my_100"/>
      <sheetName val="[OT97QUAR.XLS]__myoffice_ac_148"/>
      <sheetName val="[OT97QUAR.XLS]__myoffice_ac_149"/>
      <sheetName val="//globalappsportal-my.sharepoin"/>
      <sheetName val="[OT97QUAR.XLS]__myoffice_ac_150"/>
      <sheetName val="[OT97QUAR.XLS]__myoffice_ac_163"/>
      <sheetName val="[OT97QUAR.XLS]__unilever_my_133"/>
      <sheetName val="[OT97QUAR.XLS]__unilever_my_102"/>
      <sheetName val="[OT97QUAR.XLS]__unilever_my_103"/>
      <sheetName val="[OT97QUAR.XLS]__myoffice_ac_151"/>
      <sheetName val="[OT97QUAR.XLS]__unilever_my_105"/>
      <sheetName val="[OT97QUAR.XLS]__unilever_my_104"/>
      <sheetName val="[OT97QUAR.XLS]__myoffice_ac_152"/>
      <sheetName val="[OT97QUAR.XLS]__unilever_my_106"/>
      <sheetName val="[OT97QUAR.XLS]__myoffice_ac_155"/>
      <sheetName val="[OT97QUAR.XLS]__unilever_my_109"/>
      <sheetName val="[OT97QUAR.XLS]__myoffice_ac_154"/>
      <sheetName val="[OT97QUAR.XLS]__unilever_my_108"/>
      <sheetName val="[OT97QUAR.XLS]__myoffice_ac_153"/>
      <sheetName val="[OT97QUAR.XLS]__unilever_my_107"/>
      <sheetName val="[OT97QUAR.XLS]__unilever_my_125"/>
      <sheetName val="/CIA_ROME_NT_1/DATA/BLU_RM/A-BL"/>
      <sheetName val="[OT97QUAR.XLS]__unilever_my_110"/>
      <sheetName val="[OT97QUAR.XLS]__unilever_my_112"/>
      <sheetName val="[OT97QUAR.XLS]__unilever_my_111"/>
      <sheetName val="[OT97QUAR.XLS]__unilever_my_113"/>
      <sheetName val="[OT97QUAR.XLS]__unilever_my_117"/>
      <sheetName val="[OT97QUAR.XLS]__unilever_my_114"/>
      <sheetName val="[OT97QUAR.XLS]__unilever_my_115"/>
      <sheetName val="[OT97QUAR.XLS]__unilever_my_116"/>
      <sheetName val="[OT97QUAR.XLS]__unilever_my_118"/>
      <sheetName val="[OT97QUAR.XLS]__unilever_my_119"/>
      <sheetName val="[OT97QUAR.XLS]__unilever_my_120"/>
      <sheetName val="[OT97QUAR.XLS]__unilever_my_121"/>
      <sheetName val="[OT97QUAR.XLS]__unilever_my_123"/>
      <sheetName val="[OT97QUAR.XLS]__unilever_my_122"/>
      <sheetName val="[OT97QUAR.XLS]__unilever_my_124"/>
      <sheetName val="[OT97QUAR.XLS]__myoffice_ac_156"/>
      <sheetName val="[OT97QUAR.XLS]__unilever_my_126"/>
      <sheetName val="[OT97QUAR.XLS]__myoffice_ac_157"/>
      <sheetName val="[OT97QUAR.XLS]__unilever_my_127"/>
      <sheetName val="[OT97QUAR.XLS]__myoffice_ac_159"/>
      <sheetName val="[OT97QUAR.XLS]__unilever_my_129"/>
      <sheetName val="[OT97QUAR.XLS]__myoffice_ac_158"/>
      <sheetName val="[OT97QUAR.XLS]__unilever_my_128"/>
      <sheetName val="[OT97QUAR.XLS]__myoffice_ac_161"/>
      <sheetName val="[OT97QUAR.XLS]__unilever_my_131"/>
      <sheetName val="[OT97QUAR.XLS]__myoffice_ac_160"/>
      <sheetName val="[OT97QUAR.XLS]__unilever_my_130"/>
      <sheetName val="[OT97QUAR.XLS]__myoffice_ac_162"/>
      <sheetName val="[OT97QUAR.XLS]__unilever_my_132"/>
      <sheetName val="_@_CIA_ROME_NT_1_DATA_BLU_RM_A-"/>
      <sheetName val="_C_@_CIA_ROME_NT_1_DATA_BLU_RM_"/>
      <sheetName val="__CIA_ROME_NT_1_DATA_BLU_RM_A-B"/>
      <sheetName val="_Users_ccojoc01_AppData_Local_M"/>
      <sheetName val="__APSGAPFS02_Public$_Users_ccoj"/>
      <sheetName val="__etno03_condivisa vittoria_BLU"/>
      <sheetName val="[OT97QUAR.XLS]__myoffice_ac_164"/>
      <sheetName val="[OT97QUAR.XLS]__unilever_my_134"/>
      <sheetName val="[OT97QUAR.XLS]__myoffice_ac_173"/>
      <sheetName val="[OT97QUAR.XLS]__unilever_my_143"/>
      <sheetName val="[OT97QUAR.XLS]__myoffice_ac_172"/>
      <sheetName val="[OT97QUAR.XLS]__unilever_my_142"/>
      <sheetName val="[OT97QUAR.XLS]__myoffice_ac_165"/>
      <sheetName val="[OT97QUAR.XLS]__unilever_my_135"/>
      <sheetName val="[OT97QUAR.XLS]__myoffice_ac_166"/>
      <sheetName val="[OT97QUAR.XLS]__unilever_my_136"/>
      <sheetName val="[OT97QUAR.XLS]__myoffice_ac_167"/>
      <sheetName val="[OT97QUAR.XLS]__unilever_my_137"/>
      <sheetName val="[OT97QUAR.XLS]__myoffice_ac_168"/>
      <sheetName val="[OT97QUAR.XLS]__unilever_my_138"/>
      <sheetName val="[OT97QUAR.XLS]__myoffice_ac_169"/>
      <sheetName val="[OT97QUAR.XLS]__unilever_my_139"/>
      <sheetName val="[OT97QUAR.XLS]__myoffice_ac_170"/>
      <sheetName val="[OT97QUAR.XLS]__unilever_my_140"/>
      <sheetName val="[OT97QUAR.XLS]__myoffice_ac_171"/>
      <sheetName val="[OT97QUAR.XLS]__unilever_my_141"/>
      <sheetName val="[OT97QUAR.XLS]__myoffice_ac_174"/>
      <sheetName val="[OT97QUAR.XLS]__unilever_my_144"/>
      <sheetName val="[OT97QUAR.XLS]__myoffice_ac_175"/>
      <sheetName val="[OT97QUAR.XLS]__unilever_my_145"/>
      <sheetName val="[OT97QUAR.XLS]__myoffice_ac_189"/>
      <sheetName val="[OT97QUAR.XLS]__unilever_my_159"/>
      <sheetName val="[OT97QUAR.XLS]__myoffice_ac_176"/>
      <sheetName val="[OT97QUAR.XLS]__unilever_my_146"/>
      <sheetName val="[OT97QUAR.XLS]__myoffice_ac_177"/>
      <sheetName val="[OT97QUAR.XLS]__unilever_my_147"/>
      <sheetName val="[OT97QUAR.XLS]__myoffice_ac_178"/>
      <sheetName val="[OT97QUAR.XLS]__unilever_my_148"/>
      <sheetName val="[OT97QUAR.XLS]__myoffice_ac_179"/>
      <sheetName val="[OT97QUAR.XLS]__unilever_my_149"/>
      <sheetName val="[OT97QUAR.XLS]__myoffice_ac_180"/>
      <sheetName val="[OT97QUAR.XLS]__unilever_my_150"/>
      <sheetName val="[OT97QUAR.XLS]__myoffice_ac_181"/>
      <sheetName val="[OT97QUAR.XLS]__unilever_my_151"/>
      <sheetName val="[OT97QUAR.XLS]__myoffice_ac_182"/>
      <sheetName val="[OT97QUAR.XLS]__unilever_my_152"/>
      <sheetName val="[OT97QUAR.XLS]__myoffice_ac_183"/>
      <sheetName val="[OT97QUAR.XLS]__unilever_my_153"/>
      <sheetName val="[OT97QUAR.XLS]__myoffice_ac_185"/>
      <sheetName val="[OT97QUAR.XLS]__unilever_my_155"/>
      <sheetName val="[OT97QUAR.XLS]__myoffice_ac_184"/>
      <sheetName val="[OT97QUAR.XLS]__unilever_my_154"/>
      <sheetName val="[OT97QUAR.XLS]__myoffice_ac_187"/>
      <sheetName val="[OT97QUAR.XLS]__unilever_my_157"/>
      <sheetName val="[OT97QUAR.XLS]__myoffice_ac_186"/>
      <sheetName val="[OT97QUAR.XLS]__unilever_my_156"/>
      <sheetName val="[OT97QUAR.XLS]__myoffice_ac_188"/>
      <sheetName val="[OT97QUAR.XLS]__unilever_my_158"/>
      <sheetName val="[OT97QUAR.XLS]__myoffice_ac_191"/>
      <sheetName val="[OT97QUAR.XLS]__unilever_my_161"/>
      <sheetName val="[OT97QUAR.XLS]__myoffice_ac_190"/>
      <sheetName val="[OT97QUAR.XLS]__unilever_my_160"/>
      <sheetName val="[OT97QUAR.XLS]__myoffice_ac_192"/>
      <sheetName val="[OT97QUAR.XLS]__unilever_my_162"/>
      <sheetName val="[OT97QUAR.XLS]__myoffice_ac_193"/>
      <sheetName val="[OT97QUAR.XLS]__unilever_my_163"/>
      <sheetName val="[OT97QUAR.XLS]__myoffice_ac_194"/>
      <sheetName val="[OT97QUAR.XLS]__unilever_my_164"/>
      <sheetName val="[OT97QUAR.XLS]__myoffice_ac_195"/>
      <sheetName val="[OT97QUAR.XLS]__unilever_my_165"/>
      <sheetName val="[OT97QUAR.XLS]__myoffice_ac_196"/>
      <sheetName val="[OT97QUAR.XLS]__unilever_my_166"/>
      <sheetName val="[OT97QUAR.XLS]__myoffice_ac_197"/>
      <sheetName val="[OT97QUAR.XLS]__unilever_my_167"/>
      <sheetName val="[OT97QUAR.XLS]__myoffice_ac_198"/>
      <sheetName val="__server.umg_Users_Emes_Downloa"/>
      <sheetName val="[OT97QUAR.XLS]__myoffice_ac_199"/>
      <sheetName val="[OT97QUAR.XLS]__myoffice_ac_200"/>
      <sheetName val="[OT97QUAR.XLS]__myoffice_ac_201"/>
      <sheetName val="[OT97QUAR.XLS]__myoffice_ac_202"/>
      <sheetName val="[OT97QUAR.XLS]__unilever_my_169"/>
      <sheetName val="[OT97QUAR.XLS]__unilever_my_168"/>
      <sheetName val="[OT97QUAR.XLS]__unilever_my_170"/>
      <sheetName val="[OT97QUAR.XLS]__unilever_my_171"/>
      <sheetName val="[OT97QUAR.XLS]__unilever_my_172"/>
      <sheetName val="[OT97QUAR.XLS]__myoffice_ac_203"/>
      <sheetName val="[OT97QUAR.XLS]__unilever_my_173"/>
      <sheetName val="[OT97QUAR.XLS]__myoffice_ac_204"/>
      <sheetName val="[OT97QUAR.XLS]__unilever_my_174"/>
      <sheetName val="[OT97QUAR.XLS]__myoffice_ac_205"/>
      <sheetName val="[OT97QUAR.XLS]__unilever_my_175"/>
      <sheetName val="[OT97QUAR.XLS]__myoffice_ac_210"/>
      <sheetName val="[OT97QUAR.XLS]__unilever_my_180"/>
      <sheetName val="[OT97QUAR.XLS]__myoffice_ac_206"/>
      <sheetName val="[OT97QUAR.XLS]__unilever_my_176"/>
      <sheetName val="[OT97QUAR.XLS]__myoffice_ac_207"/>
      <sheetName val="[OT97QUAR.XLS]__unilever_my_177"/>
      <sheetName val="[OT97QUAR.XLS]__myoffice_ac_208"/>
      <sheetName val="[OT97QUAR.XLS]__unilever_my_178"/>
      <sheetName val="[OT97QUAR.XLS]__myoffice_ac_209"/>
      <sheetName val="[OT97QUAR.XLS]__unilever_my_179"/>
      <sheetName val="[OT97QUAR.XLS]__myoffice_ac_214"/>
      <sheetName val="[OT97QUAR.XLS]__unilever_my_184"/>
      <sheetName val="[OT97QUAR.XLS]__myoffice_ac_211"/>
      <sheetName val="[OT97QUAR.XLS]__unilever_my_181"/>
      <sheetName val="[OT97QUAR.XLS]__myoffice_ac_212"/>
      <sheetName val="[OT97QUAR.XLS]__unilever_my_182"/>
      <sheetName val="[OT97QUAR.XLS]__myoffice_ac_213"/>
      <sheetName val="[OT97QUAR.XLS]__unilever_my_183"/>
      <sheetName val="[OT97QUAR.XLS]__myoffice_ac_215"/>
      <sheetName val="[OT97QUAR.XLS]__unilever_my_185"/>
      <sheetName val="[OT97QUAR.XLS]__myoffice_ac_216"/>
      <sheetName val="[OT97QUAR.XLS]__unilever_my_186"/>
      <sheetName val="[OT97QUAR.XLS]__myoffice_ac_217"/>
      <sheetName val="[OT97QUAR.XLS]__unilever_my_187"/>
      <sheetName val="[OT97QUAR.XLS]__myoffice_ac_218"/>
      <sheetName val="[OT97QUAR.XLS]__unilever_my_188"/>
      <sheetName val="[OT97QUAR.XLS]__myoffice_ac_219"/>
      <sheetName val="[OT97QUAR.XLS]__unilever_my_189"/>
      <sheetName val="[OT97QUAR.XLS]__myoffice_ac_232"/>
      <sheetName val="[OT97QUAR.XLS]__unilever_my_202"/>
      <sheetName val="[OT97QUAR.XLS]__myoffice_ac_220"/>
      <sheetName val="[OT97QUAR.XLS]__unilever_my_190"/>
      <sheetName val="[OT97QUAR.XLS]__myoffice_ac_221"/>
      <sheetName val="[OT97QUAR.XLS]__unilever_my_191"/>
      <sheetName val="[OT97QUAR.XLS]__myoffice_ac_223"/>
      <sheetName val="[OT97QUAR.XLS]__unilever_my_193"/>
      <sheetName val="[OT97QUAR.XLS]__myoffice_ac_222"/>
      <sheetName val="[OT97QUAR.XLS]__unilever_my_192"/>
      <sheetName val="[OT97QUAR.XLS]__myoffice_ac_224"/>
      <sheetName val="[OT97QUAR.XLS]__unilever_my_194"/>
      <sheetName val="[OT97QUAR.XLS]__myoffice_ac_225"/>
      <sheetName val="[OT97QUAR.XLS]__unilever_my_195"/>
      <sheetName val="[OT97QUAR.XLS]__myoffice_ac_226"/>
      <sheetName val="[OT97QUAR.XLS]__unilever_my_196"/>
      <sheetName val="[OT97QUAR.XLS]___CIA_ROME_NT__2"/>
      <sheetName val="[OT97QUAR.XLS]_C___CIA_ROME_N_2"/>
      <sheetName val="[OT97QUAR.XLS]__CIA_ROME_NT_1_2"/>
      <sheetName val="[OT97QUAR.XLS]_Users_ccojoc01_2"/>
      <sheetName val="[OT97QUAR.XLS]__APSGAPFS02_Pu_2"/>
      <sheetName val="[OT97QUAR.XLS]__etno03_condiv_2"/>
      <sheetName val="[OT97QUAR.XLS]__etno03_condiv_3"/>
      <sheetName val="[OT97QUAR.XLS]__etno03_condiv_4"/>
      <sheetName val="[OT97QUAR.XLS]__MIL_FPS39_cli_2"/>
      <sheetName val="[OT97QUAR.XLS]__server_umg_Us_2"/>
      <sheetName val="[OT97QUAR.XLS]_Users_bruno_ba_2"/>
      <sheetName val="[OT97QUAR.XLS][OT97QUAR.XLS]__2"/>
      <sheetName val="[OT97QUAR.XLS][OT97QUAR.XLS]__3"/>
      <sheetName val="[OT97QUAR.XLS][OT97QUAR.XLS]__4"/>
      <sheetName val="[OT97QUAR.XLS][OT97QUAR.XLS]__5"/>
      <sheetName val="[OT97QUAR.XLS][OT97QUAR.XLS]__6"/>
      <sheetName val="[OT97QUAR.XLS][OT97QUAR.XLS]__7"/>
      <sheetName val="[OT97QUAR.XLS][OT97QUAR.XLS]__8"/>
      <sheetName val="[OT97QUAR.XLS][OT97QUAR.XLS]__9"/>
      <sheetName val="[OT97QUAR.XLS]_Users_kunleAde_2"/>
      <sheetName val="[OT97QUAR.XLS]__etno03_condiv_5"/>
      <sheetName val="BASE DATI REPORT_WM"/>
      <sheetName val="matrixvars"/>
      <sheetName val="[OT97QUAR.XLS]__myoffice_ac_227"/>
      <sheetName val="[OT97QUAR.XLS]__unilever_my_197"/>
      <sheetName val="[OT97QUAR.XLS]__myoffice_ac_228"/>
      <sheetName val="[OT97QUAR.XLS]__unilever_my_198"/>
      <sheetName val="[OT97QUAR.XLS]__myoffice_ac_230"/>
      <sheetName val="[OT97QUAR.XLS]__unilever_my_200"/>
      <sheetName val="[OT97QUAR.XLS]__myoffice_ac_229"/>
      <sheetName val="[OT97QUAR.XLS]__unilever_my_199"/>
      <sheetName val="[OT97QUAR.XLS]__myoffice_ac_231"/>
      <sheetName val="[OT97QUAR.XLS]__unilever_my_201"/>
      <sheetName val="[OT97QUAR.XLS]__myoffice_ac_234"/>
      <sheetName val="[OT97QUAR.XLS]__unilever_my_204"/>
      <sheetName val="[OT97QUAR.XLS]__myoffice_ac_233"/>
      <sheetName val="[OT97QUAR.XLS]__unilever_my_203"/>
      <sheetName val="[OT97QUAR.XLS]__myoffice_ac_235"/>
      <sheetName val="[OT97QUAR.XLS]__unilever_my_205"/>
      <sheetName val="[OT97QUAR.XLS]__myoffice_ac_236"/>
      <sheetName val="[OT97QUAR.XLS]__unilever_my_206"/>
      <sheetName val="[OT97QUAR.XLS]__myoffice_ac_237"/>
      <sheetName val="[OT97QUAR.XLS]__unilever_my_207"/>
      <sheetName val="[OT97QUAR.XLS]__myoffice_ac_238"/>
      <sheetName val="[OT97QUAR.XLS]__unilever_my_208"/>
    </sheetNames>
    <definedNames>
      <definedName name="Alti"/>
      <definedName name="normal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 RMB"/>
      <sheetName val="TOTALE CINEMA"/>
      <sheetName val="CINEMA SIPRA"/>
      <sheetName val="CINEMA OPUS"/>
      <sheetName val="lettera superato"/>
      <sheetName val="lettera conferma SIPRA"/>
      <sheetName val="Cinema solo listino"/>
      <sheetName val="Conto Economico.xls"/>
      <sheetName val="OT97QUAR"/>
      <sheetName val="Conto Economico"/>
      <sheetName val="DATI"/>
      <sheetName val="Conto%20Economico.xls"/>
      <sheetName val="CY2017 AOP Rates "/>
      <sheetName val="anarev"/>
      <sheetName val="l_Oreal 2008"/>
      <sheetName val="TOTALE_CINEMA"/>
      <sheetName val="CINEMA_RMB"/>
      <sheetName val="CINEMA_SIPRA"/>
      <sheetName val="CINEMA_OPUS"/>
      <sheetName val="lettera_superato"/>
      <sheetName val="lettera_conferma_SIPRA"/>
      <sheetName val="Cinema_solo_listino"/>
      <sheetName val="SitesVermarkter"/>
      <sheetName val="cic 22-9 - 26-10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%20Economico_xls"/>
      <sheetName val="Conto_Economico"/>
      <sheetName val="l_Oreal_2008"/>
      <sheetName val="TOTALE_CINEMA1"/>
      <sheetName val="CINEMA_RMB1"/>
      <sheetName val="CINEMA_SIPRA1"/>
      <sheetName val="CINEMA_OPUS1"/>
      <sheetName val="lettera_superato1"/>
      <sheetName val="lettera_conferma_SIPRA1"/>
      <sheetName val="Cinema_solo_listino1"/>
      <sheetName val="Conto%20Economico_xls1"/>
      <sheetName val="Conto_Economico1"/>
      <sheetName val="l_Oreal_20081"/>
      <sheetName val="Market information"/>
      <sheetName val="PIANO GENERALE"/>
      <sheetName val="Conto Sipra"/>
      <sheetName val="Print admin"/>
      <sheetName val="R Print10"/>
      <sheetName val="R Print11"/>
      <sheetName val="R OOH10"/>
      <sheetName val="R OOH11"/>
      <sheetName val="R rad10"/>
      <sheetName val="R rad11"/>
      <sheetName val="R TV10"/>
      <sheetName val="R TV11"/>
      <sheetName val="PF RADIO "/>
      <sheetName val="08"/>
      <sheetName val="Last Year"/>
      <sheetName val="BcoDados"/>
      <sheetName val="CashFlow"/>
      <sheetName val="price list"/>
      <sheetName val="Exec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o Sipra"/>
      <sheetName val="riepilogo tv"/>
      <sheetName val="Sipra"/>
      <sheetName val="Publitalia"/>
      <sheetName val="Conto Publitalia"/>
      <sheetName val="Tmc"/>
      <sheetName val="Conto tmc"/>
      <sheetName val="Conto MTV"/>
      <sheetName val="Conto TELE+"/>
      <sheetName val="Conto STREAM"/>
      <sheetName val="Foglio1"/>
      <sheetName val="KUBIK TOTALE"/>
      <sheetName val="Prenot.Publitalia"/>
      <sheetName val="Prenot. MTV"/>
      <sheetName val="CALENDARIO"/>
      <sheetName val="Prenot.stream"/>
      <sheetName val="Prenot.TELE+"/>
      <sheetName val="ADULTI 28 - 3"/>
      <sheetName val="Focus 28 - 3"/>
      <sheetName val="kubik adulti"/>
      <sheetName val="kubik focus"/>
      <sheetName val="CINEMA RMB"/>
      <sheetName val="TV 21Gen-3Feb"/>
      <sheetName val="DATI"/>
      <sheetName val="riepilogo_tv"/>
      <sheetName val="Conto_Sipra"/>
      <sheetName val="Conto_Publitalia"/>
      <sheetName val="Conto_tmc"/>
      <sheetName val="Conto_MTV"/>
      <sheetName val="Conto_TELE+"/>
      <sheetName val="Conto_STREAM"/>
      <sheetName val="KUBIK_TOTALE"/>
      <sheetName val="Prenot_Publitalia"/>
      <sheetName val="Prenot__MTV"/>
      <sheetName val="Prenot_stream"/>
      <sheetName val="Prenot_TELE+"/>
      <sheetName val="ADULTI_28_-_3"/>
      <sheetName val="Focus_28_-_3"/>
      <sheetName val="kubik_adulti"/>
      <sheetName val="kubik_focus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GRP"/>
      <sheetName val="PIANO GENERALE"/>
      <sheetName val="Market information"/>
      <sheetName val="CINEMA_RMB"/>
      <sheetName val="TV_21Gen-3Feb"/>
      <sheetName val="riepilogo_tv1"/>
      <sheetName val="Conto_Sipra1"/>
      <sheetName val="Conto_Publitalia1"/>
      <sheetName val="Conto_tmc1"/>
      <sheetName val="Conto_MTV1"/>
      <sheetName val="Conto_TELE+1"/>
      <sheetName val="Conto_STREAM1"/>
      <sheetName val="KUBIK_TOTALE1"/>
      <sheetName val="Prenot_Publitalia1"/>
      <sheetName val="Prenot__MTV1"/>
      <sheetName val="Prenot_stream1"/>
      <sheetName val="Prenot_TELE+1"/>
      <sheetName val="ADULTI_28_-_31"/>
      <sheetName val="Focus_28_-_31"/>
      <sheetName val="kubik_adulti1"/>
      <sheetName val="kubik_focus1"/>
      <sheetName val="CINEMA_RMB1"/>
      <sheetName val="TV_21Gen-3Feb1"/>
      <sheetName val="Last Year"/>
      <sheetName val="08"/>
      <sheetName val="price list"/>
      <sheetName val="Bos"/>
      <sheetName val="Bul"/>
      <sheetName val="Rom-Ship"/>
      <sheetName val="媒体"/>
      <sheetName val="PF RADIO 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MediaMix"/>
      <sheetName val="Input"/>
      <sheetName val="TV spot_supplier"/>
      <sheetName val="CTC"/>
      <sheetName val="NTV"/>
      <sheetName val="ORT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Evaluation2"/>
      <sheetName val="ODAPLAN_REPORT"/>
      <sheetName val="Питер_Эспар2_30-05_07_04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Laikai rad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TIME_SLOT,PLAN_CHANNEL_TRAIL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Optimization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Считалка"/>
      <sheetName val="условия на Алма ТВ"/>
      <sheetName val="modell"/>
      <sheetName val="2 спец затраты-себестоимость"/>
      <sheetName val="____________2_30_05_07_04_xls_2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tv"/>
      <sheetName val="Лист2"/>
      <sheetName val="CAMPAIGN_RESULTS5"/>
      <sheetName val="R_CURVES5"/>
      <sheetName val="Campaign_Accumulated__R_and_F5"/>
      <sheetName val="CAMPAIGN_AVERAGE_F5"/>
      <sheetName val="Client_CPP1"/>
      <sheetName val="TV_spot_supplier5"/>
      <sheetName val="MAIL_RU1"/>
      <sheetName val="Laikai_rad1"/>
      <sheetName val="OWNPROD_LAT1"/>
      <sheetName val="От_Юли1"/>
      <sheetName val="Прайс_2007_(Тренд)3"/>
      <sheetName val="NIT_GRP_1_93"/>
      <sheetName val="Первый_GRP_1_93"/>
      <sheetName val="СТС_GRP_1_93"/>
      <sheetName val="Hasar_Hattı1"/>
      <sheetName val="Направления_затрат+группа1"/>
      <sheetName val="Итоги_по_каналам2"/>
      <sheetName val="шкала_расчет1"/>
      <sheetName val="Клипы_(2)1"/>
      <sheetName val="Питер_Эспар2_30-05_07_04_xls1"/>
      <sheetName val="все_отчёты_рук__ТМ_в_дирекции1"/>
      <sheetName val="1_flight1"/>
      <sheetName val="Campaign_Budget_Summary1"/>
      <sheetName val="Чел_Европа+_от_сми1"/>
      <sheetName val="Коммерческое_предложение1"/>
      <sheetName val="55%_and_70%4"/>
      <sheetName val="JEUDI_24_DÉCEMBRE_19981"/>
      <sheetName val="tv_spot_list1"/>
      <sheetName val="Расчет_по_Регионам1"/>
      <sheetName val="Прайс_2005"/>
      <sheetName val="USD_Consolidation1"/>
      <sheetName val="E2_Brands"/>
      <sheetName val="100%_ВИ"/>
      <sheetName val="[Питер_Эспар2_30-05_07_04_xls]["/>
      <sheetName val="Aging_Analysis"/>
      <sheetName val="MP_2007"/>
      <sheetName val="kz_budget_lc"/>
      <sheetName val="Master_Data"/>
      <sheetName val="[Питер_Эспар2_30-05_07_04_xls]\"/>
      <sheetName val="outdoor_st-peter_june"/>
      <sheetName val="Сдобри_Новый_год"/>
      <sheetName val="ثرسنل_(2"/>
      <sheetName val="2_спец_затраты-себестоимость"/>
      <sheetName val="расчет_бюджетов"/>
      <sheetName val="ownprod_est"/>
      <sheetName val="ownprod_lit"/>
      <sheetName val="Divestment_Russia"/>
      <sheetName val="условия_на_Алма_ТВ"/>
      <sheetName val="Selection Screen"/>
      <sheetName val="Datos"/>
      <sheetName val="Maestr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">
          <cell r="A5" t="str">
            <v>4.2, Developer  (build 121-D5)</v>
          </cell>
        </row>
      </sheetData>
      <sheetData sheetId="5" refreshError="1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P"/>
      <sheetName val="INIZIO"/>
      <sheetName val="Macro1"/>
      <sheetName val="RIS COM"/>
      <sheetName val="Conto Sipra"/>
      <sheetName val="CINEMA RMB"/>
      <sheetName val="RIS_COM"/>
      <sheetName val="вводные 20.01"/>
      <sheetName val="Бюджет 100% ТВ"/>
      <sheetName val="TOTAL"/>
      <sheetName val="AlpenGold"/>
      <sheetName val="BRANDS"/>
      <sheetName val="Барни Fem25-54"/>
      <sheetName val="Milka"/>
      <sheetName val="Halls"/>
      <sheetName val="Oreo THin 18-39"/>
      <sheetName val="расчет весов 2020_mdlz"/>
      <sheetName val="for flow 2020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Conto_Sipra"/>
      <sheetName val="CINEMA_RMB"/>
      <sheetName val="RIS_COM1"/>
      <sheetName val="Conto_Sipra1"/>
      <sheetName val="CINEMA_RMB1"/>
      <sheetName val="Table"/>
      <sheetName val="PIANO GENERALE"/>
      <sheetName val="Market information"/>
      <sheetName val="N TV09"/>
      <sheetName val="R TV09"/>
      <sheetName val="R TV11"/>
      <sheetName val="I nat+reg10"/>
      <sheetName val="N nat10"/>
      <sheetName val="R nat10"/>
      <sheetName val="TV sum"/>
      <sheetName val="Rus TV MP"/>
      <sheetName val="INF keywords"/>
      <sheetName val="Calcul IC"/>
      <sheetName val="PRS Hachette"/>
      <sheetName val="DATI"/>
      <sheetName val="Labels"/>
      <sheetName val="Creative"/>
      <sheetName val="Sites"/>
      <sheetName val="Bos"/>
      <sheetName val="Bul"/>
      <sheetName val="Rom-Ship"/>
      <sheetName val="媒体"/>
      <sheetName val="MBOX TV Report 11.28 data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ANO GENERALE"/>
      <sheetName val="MENU"/>
      <sheetName val="RIEPILOGO"/>
      <sheetName val="Target Srl"/>
      <sheetName val="Smafer"/>
      <sheetName val="SMA SpA."/>
      <sheetName val="S.C.I."/>
      <sheetName val="Publionda"/>
      <sheetName val="Publiflor"/>
      <sheetName val="PES Pub.Est.Spec"/>
      <sheetName val="O.P.E. Olcese P."/>
      <sheetName val="Jolly Pubblicita"/>
      <sheetName val="Ipas SpA"/>
      <sheetName val="I.M.A. SpA"/>
      <sheetName val="I.L.L.P.A. Srl"/>
      <sheetName val="Giengi Pubblic."/>
      <sheetName val="Ettore Sibilia"/>
      <sheetName val="Esotas"/>
      <sheetName val="Avip Spa"/>
      <sheetName val="Avenir Italia"/>
      <sheetName val="Alma Media It."/>
      <sheetName val="Alessi SpA"/>
      <sheetName val="Affitalia Srl"/>
      <sheetName val="A&amp;P Srl"/>
      <sheetName val="piano excel BLU 22.5 SPA"/>
      <sheetName val="piano excel BLU 22.5 SPA.XLS"/>
      <sheetName val="piano%20excel%20BLU%2022.5%20SP"/>
      <sheetName val="Conto Sipra"/>
      <sheetName val=""/>
      <sheetName val="GRP"/>
      <sheetName val="Radio 30&quot;Q1 (2)"/>
      <sheetName val="Signature"/>
      <sheetName val="Calc"/>
      <sheetName val="M_S"/>
      <sheetName val="Bos"/>
      <sheetName val="Bul"/>
      <sheetName val="Rom-Sh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7"/>
      <sheetName val="KP_Print"/>
      <sheetName val="cost per month"/>
      <sheetName val="Kostenplan"/>
      <sheetName val="Brazil"/>
      <sheetName val="PIANO GENERALE"/>
      <sheetName val="GRP"/>
      <sheetName val="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l Mega"/>
      <sheetName val="Persil Gel"/>
      <sheetName val="Weißer Riese"/>
      <sheetName val="Spee"/>
      <sheetName val="Master Data"/>
      <sheetName val="Database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DI"/>
      <sheetName val="titolo"/>
      <sheetName val="NOTE"/>
      <sheetName val="budget"/>
      <sheetName val="CREMONA"/>
      <sheetName val="CREMA"/>
      <sheetName val="MP 2007"/>
      <sheetName val="Cover Estimator"/>
      <sheetName val="Control"/>
      <sheetName val="Variables"/>
      <sheetName val="P3"/>
      <sheetName val="STATYSTYKI"/>
      <sheetName val="Kostenplan"/>
      <sheetName val="MP 2008"/>
      <sheetName val="Display Format Definitions"/>
      <sheetName val="Instructions"/>
      <sheetName val="EmpInfo"/>
      <sheetName val="MP_2007"/>
      <sheetName val="Cover_Estimator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MP NEON 2008"/>
      <sheetName val="MP NEON 2007"/>
      <sheetName val="Data CpGRP"/>
      <sheetName val="PIANO GENERALE"/>
      <sheetName val="R nat09"/>
      <sheetName val="R nat10"/>
      <sheetName val="R reg09"/>
      <sheetName val="Display_Format_Definitions"/>
      <sheetName val="MP_20071"/>
      <sheetName val="Cover_Estimator1"/>
      <sheetName val="Display_Format_Definitions1"/>
      <sheetName val="GRP"/>
      <sheetName val="R TV11"/>
      <sheetName val="drop downs"/>
      <sheetName val="Strat 1H 2008"/>
      <sheetName val="CEEMEA"/>
      <sheetName val="F&amp;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8"/>
      <sheetName val="KP_Print"/>
      <sheetName val="KP_pro Ausgabe"/>
      <sheetName val="KP_pro Monat"/>
      <sheetName val="Themenübersicht"/>
      <sheetName val="LODI"/>
      <sheetName val="MP 2007"/>
      <sheetName val="SitesVermark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XLR_NoRangeSheet"/>
      <sheetName val="counter (4)"/>
      <sheetName val="E2 Brands"/>
      <sheetName val="Главный"/>
      <sheetName val="Итоги по каналам"/>
      <sheetName val="EMPL_TYPE"/>
      <sheetName val="CTC"/>
      <sheetName val="NTV"/>
      <sheetName val="ORT"/>
      <sheetName val="RenTV"/>
      <sheetName val="RTR"/>
      <sheetName val="TV6"/>
      <sheetName val="DIMANCHE 28 MAI 2000 COND"/>
      <sheetName val="Самара-график"/>
      <sheetName val="Сводная"/>
      <sheetName val="XLRpt_TempSheet"/>
      <sheetName val="Input"/>
      <sheetName val="For ALL brands (Fed TV)"/>
      <sheetName val="For ALL brands (Reg TV)"/>
      <sheetName val="For ALL Beer brands (Tem TV)"/>
      <sheetName val="TV"/>
      <sheetName val="Hidden"/>
      <sheetName val="Sample"/>
      <sheetName val="Свод за 2008г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JEUDI 24 DÉCEMBRE 1998"/>
      <sheetName val="__"/>
      <sheetName val="January"/>
      <sheetName val="2009 сезонки"/>
      <sheetName val="schren"/>
      <sheetName val="schtv6"/>
      <sheetName val="schsts"/>
      <sheetName val="International"/>
      <sheetName val="ODAPLAN_REPORT"/>
      <sheetName val="counter (4).xls"/>
      <sheetName val=" 40000035261  ТРК &quot;Петербург&quot; ("/>
      <sheetName val="Екатеринбург"/>
      <sheetName val=""/>
      <sheetName val="counter%20(4).xls"/>
      <sheetName val="Data Sheet"/>
      <sheetName val="6х3"/>
      <sheetName val="Скидки"/>
      <sheetName val="Направления затрат+группа"/>
      <sheetName val="Фед. ТВ (-)"/>
      <sheetName val="Фед. ТВ (+)"/>
      <sheetName val="MediaMix"/>
      <sheetName val="Strat 1H 2008"/>
      <sheetName val=" Самара Россия"/>
      <sheetName val="Самара СТС"/>
      <sheetName val="FRECEFECBAILEYS"/>
      <sheetName val="Города_каналы"/>
      <sheetName val="5 Канал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Sheet1"/>
      <sheetName val="Shadow"/>
      <sheetName val="Расчёт"/>
      <sheetName val="counter%20(4)"/>
      <sheetName val="Справочник"/>
      <sheetName val="tech2"/>
      <sheetName val="Тематическое ТВ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Flowchart"/>
      <sheetName val="Sum"/>
      <sheetName val="words begun"/>
      <sheetName val="Лист3"/>
      <sheetName val="списки"/>
      <sheetName val="MP NEON 2008"/>
      <sheetName val="Client CPP"/>
      <sheetName val="Splits"/>
      <sheetName val="Affinity"/>
      <sheetName val="link"/>
      <sheetName val="обобщение"/>
      <sheetName val="Master Data"/>
      <sheetName val="Share Price 2002"/>
      <sheetName val="Список"/>
      <sheetName val="const"/>
      <sheetName val="MP_NEON_2008"/>
      <sheetName val="Client_CPP"/>
      <sheetName val="details"/>
      <sheetName val="B"/>
      <sheetName val="ВИМБ"/>
      <sheetName val="piano generale"/>
      <sheetName val="Лист1"/>
      <sheetName val="Лист2"/>
      <sheetName val="kz budget lc"/>
      <sheetName val="Codes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>
        <row r="20">
          <cell r="I20" t="b">
            <v>0</v>
          </cell>
        </row>
        <row r="21">
          <cell r="I21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20">
          <cell r="I20" t="b">
            <v>0</v>
          </cell>
        </row>
      </sheetData>
      <sheetData sheetId="152">
        <row r="20">
          <cell r="I20" t="b">
            <v>0</v>
          </cell>
        </row>
      </sheetData>
      <sheetData sheetId="153">
        <row r="20">
          <cell r="I20" t="b">
            <v>0</v>
          </cell>
        </row>
      </sheetData>
      <sheetData sheetId="154">
        <row r="20">
          <cell r="I20" t="b">
            <v>0</v>
          </cell>
        </row>
      </sheetData>
      <sheetData sheetId="155">
        <row r="20">
          <cell r="I20" t="b">
            <v>0</v>
          </cell>
        </row>
      </sheetData>
      <sheetData sheetId="156"/>
      <sheetData sheetId="157">
        <row r="20">
          <cell r="I20" t="b">
            <v>0</v>
          </cell>
        </row>
      </sheetData>
      <sheetData sheetId="158"/>
      <sheetData sheetId="159">
        <row r="20">
          <cell r="I20" t="b">
            <v>0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XLRpt_TempSheet"/>
      <sheetName val="MAP"/>
      <sheetName val="##"/>
      <sheetName val="XLR_NoRangeSheet"/>
      <sheetName val="Map_May_94_FSU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Скидки"/>
      <sheetName val="B"/>
      <sheetName val="PLANNED"/>
      <sheetName val="Самара-график"/>
      <sheetName val="E2 Brands"/>
      <sheetName val="Timeline (2)"/>
      <sheetName val="5 Канал"/>
      <sheetName val="ODAPLAN_REPORT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schren"/>
      <sheetName val="schtv6"/>
      <sheetName val="schsts"/>
      <sheetName val="\2003\Epson\PhotoPrinters\Map_M"/>
      <sheetName val="Map_May_94_FSU.xls"/>
      <sheetName val="basic_data"/>
      <sheetName val="Macro1"/>
      <sheetName val="справочники"/>
      <sheetName val="Estimate"/>
      <sheetName val="STS"/>
      <sheetName val="hiddenА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TV"/>
      <sheetName val="Главный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Client CPP"/>
      <sheetName val="Splits"/>
      <sheetName val="GRAM расчеты"/>
      <sheetName val="обобщение"/>
      <sheetName val="расчет бюджетов"/>
      <sheetName val="Sayfa2"/>
      <sheetName val="MediaMix"/>
      <sheetName val="TV spot_supplie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Исходные данные по прогнозу"/>
      <sheetName val="FY04 fx"/>
      <sheetName val="Optionen"/>
      <sheetName val="Фед. ТВ (-)"/>
      <sheetName val="International"/>
      <sheetName val="Фед. ТВ (+)"/>
      <sheetName val="Table"/>
      <sheetName val="UKR-1"/>
      <sheetName val="campaign average f"/>
      <sheetName val="Input"/>
      <sheetName val="Прайс"/>
      <sheetName val="[Map_May_94_FSU.xls]\2003\Epson"/>
      <sheetName val="Лист2"/>
      <sheetName val="Выбор функций"/>
      <sheetName val="[Map_May_94_FSU.xls][Map_May_94"/>
      <sheetName val="[Map_May_94_FSU.xls]\\storage\T"/>
      <sheetName val="[Map_May_94_FSU.xls]\F\2003\Eps"/>
      <sheetName val="_2003_Epson_PhotoPrinters_Map_M"/>
      <sheetName val="__storage_TV$_SIvanov_2011_Конд"/>
      <sheetName val="_F_2003_Epson_PhotoPrinters_Map"/>
      <sheetName val="_Map_May_94_FSU.xls__2003_Epson"/>
      <sheetName val="Control"/>
      <sheetName val="Sheet2"/>
      <sheetName val="Tabelle1"/>
      <sheetName val="СПИСОК КАТЕГОРИЙ"/>
      <sheetName val="Sheet1"/>
      <sheetName val="Pivot"/>
      <sheetName val="Фильтр"/>
      <sheetName val="01.2011-12.2019"/>
      <sheetName val="[Map_May_94_FSU.xls]_2003_Eps_2"/>
      <sheetName val="[Map_May_94_FSU.xls]__storage_2"/>
      <sheetName val="[Map_May_94_FSU.xls]_F_2003_E_2"/>
      <sheetName val="5_Канал1"/>
      <sheetName val="DIMANCHE_28_MAI_2000_COND1"/>
      <sheetName val="Расчет_по_Регионам1"/>
      <sheetName val="Итоги_по_каналам1"/>
      <sheetName val="Прайс_2007_(Тренд)1"/>
      <sheetName val="E2_Brands2"/>
      <sheetName val="MAP_cf1"/>
      <sheetName val="Map_May_94_FSU_xls1"/>
      <sheetName val="Исходные_данные_по_прогнозу"/>
      <sheetName val="Data_Sheet1"/>
      <sheetName val="_105445__ТРК_&quot;Петербург&quot;_(03_к1"/>
      <sheetName val="formule_-_table1"/>
      <sheetName val="1_flight1"/>
      <sheetName val="Client_CPP"/>
      <sheetName val="TV_spot_supplier"/>
      <sheetName val="ОСНОВНАЯ_ТАБЛИЦА"/>
      <sheetName val="Направления_затрат+группа"/>
      <sheetName val="Monitor_Q2"/>
      <sheetName val="Timeline_(2)"/>
      <sheetName val="GRAM_расчеты"/>
      <sheetName val="расчет_бюджетов"/>
      <sheetName val="FY04_fx"/>
      <sheetName val="campaign_average_f"/>
      <sheetName val="[Map_May_94_FSU_xls]\2003\Epson"/>
      <sheetName val="Фед__ТВ_(-)"/>
      <sheetName val="Фед__ТВ_(+)"/>
      <sheetName val="Справочник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Список площадок"/>
      <sheetName val="Media plan"/>
      <sheetName val="[Map_May_94_FSU.xls]_Map_May__2"/>
      <sheetName val="[Map_May_94_FSU.xls]_Map_May__3"/>
      <sheetName val="[Map_May_94_FSU.xls]_Map_May__4"/>
      <sheetName val="Base"/>
      <sheetName val="TNS2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plan-gaz1"/>
      <sheetName val="для аудитора"/>
      <sheetName val="_Map_May_94_FSU.xls__Map_May_94"/>
    </sheetNames>
    <sheetDataSet>
      <sheetData sheetId="0" refreshError="1">
        <row r="6">
          <cell r="B6" t="str">
            <v>C:\EAGIS\map.bmp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6">
          <cell r="B6" t="str">
            <v>? РЕКЛАМОДАТЕЛЬ 34-90-09 (ТОМСК); IROBOT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/>
      <sheetData sheetId="115">
        <row r="6">
          <cell r="B6" t="str">
            <v>COMPETITORS BRANDS</v>
          </cell>
        </row>
      </sheetData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6">
          <cell r="B6" t="str">
            <v>COMPETITORS BRANDS</v>
          </cell>
        </row>
      </sheetData>
      <sheetData sheetId="136"/>
      <sheetData sheetId="137"/>
      <sheetData sheetId="138"/>
      <sheetData sheetId="139"/>
      <sheetData sheetId="140" refreshError="1"/>
      <sheetData sheetId="141">
        <row r="6">
          <cell r="B6" t="str">
            <v>COMPETITORS BRANDS</v>
          </cell>
        </row>
      </sheetData>
      <sheetData sheetId="142"/>
      <sheetData sheetId="143" refreshError="1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NEON 2007"/>
      <sheetName val="KP_Print"/>
      <sheetName val="KP_proAusgabe"/>
      <sheetName val="MP NEON 2008"/>
      <sheetName val="MP07_NEON_Plan18"/>
      <sheetName val="MP07_NEON_Plan18.xls"/>
      <sheetName val="Media plan"/>
      <sheetName val="Team"/>
      <sheetName val="Instructions"/>
      <sheetName val="define table"/>
      <sheetName val="Data CpGRP"/>
      <sheetName val="LO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BL"/>
      <sheetName val="E1449"/>
      <sheetName val="Data CpGRP"/>
      <sheetName val="MP NEON 2007"/>
      <sheetName val="MA_BL"/>
      <sheetName val="Team"/>
      <sheetName val="GRP"/>
      <sheetName val="LODI"/>
      <sheetName val="Incentives MBR"/>
      <sheetName val="Makro1"/>
      <sheetName val="#REF"/>
      <sheetName val="Köprü"/>
      <sheetName val="kategoriler"/>
      <sheetName val="tanımlar"/>
      <sheetName val="12"/>
      <sheetName val="Sch#13"/>
      <sheetName val="Source-DO NOT ADJUST"/>
      <sheetName val="Laikai rad"/>
      <sheetName val="FW-Kurse"/>
      <sheetName val="Evaluation2"/>
      <sheetName val="MP NEON 2008"/>
      <sheetName val="Data_CpGRP"/>
      <sheetName val="MP_NEON_2007"/>
      <sheetName val="Laikai_rad"/>
      <sheetName val="Incentives_MBR"/>
      <sheetName val="Kostenplan"/>
      <sheetName val="define table"/>
      <sheetName val="PF RADIO "/>
      <sheetName val="TEMP"/>
      <sheetName val="SM2-MS2 leavers"/>
      <sheetName val="Data Sheet"/>
      <sheetName val="구동"/>
      <sheetName val="Calc"/>
      <sheetName val="M_S"/>
      <sheetName val="Coke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leport FIX"/>
      <sheetName val="Бриф"/>
      <sheetName val="Sevimli"/>
      <sheetName val="ZOR"/>
      <sheetName val="UC_R1"/>
      <sheetName val="Navo"/>
      <sheetName val="PB"/>
      <sheetName val="Прайс-лист"/>
      <sheetName val="Teleport FLOAT"/>
      <sheetName val="TN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Kennziffern"/>
      <sheetName val="13"/>
      <sheetName val="14"/>
      <sheetName val="15"/>
      <sheetName val="16"/>
      <sheetName val="17"/>
      <sheetName val="18"/>
      <sheetName val="19"/>
      <sheetName val="KampagnenRW alt"/>
      <sheetName val="20"/>
      <sheetName val="21"/>
      <sheetName val="22"/>
      <sheetName val="23"/>
      <sheetName val="24"/>
      <sheetName val="25"/>
      <sheetName val="26"/>
      <sheetName val="30"/>
      <sheetName val="31"/>
      <sheetName val="Feiertage"/>
      <sheetName val="LW"/>
      <sheetName val="Tabelle1"/>
      <sheetName val="Kauaffiampel"/>
      <sheetName val="MA-BL"/>
      <sheetName val="CR"/>
      <sheetName val="32"/>
      <sheetName val="33"/>
      <sheetName val="KampagnenRW_alt"/>
      <sheetName val="POS Radio Planungsprogramm"/>
      <sheetName val="DataInfo"/>
      <sheetName val="MP 2008"/>
      <sheetName val="LODI"/>
      <sheetName val="MP NEON 2008"/>
      <sheetName val="QuestionSelectionList"/>
      <sheetName val=""/>
      <sheetName val="KampagnenRW_alt1"/>
      <sheetName val="economico"/>
      <sheetName val="KampagnenRW_alt2"/>
      <sheetName val="POS_Radio_Planungsprogramm"/>
      <sheetName val="KampagnenRW_alt3"/>
      <sheetName val="POS_Radio_Planungsprogramm1"/>
      <sheetName val="KampagnenRW_alt4"/>
      <sheetName val="POS_Radio_Planungsprogramm2"/>
      <sheetName val="All Calcs"/>
      <sheetName val="Kostenplan"/>
      <sheetName val="MP 2007"/>
      <sheetName val="MP NEON 2007"/>
      <sheetName val="OfferCalculations1"/>
      <sheetName val="Variables"/>
      <sheetName val="X"/>
      <sheetName val="Channel Share"/>
      <sheetName val="Data CpGRP"/>
      <sheetName val="TV Pricing"/>
      <sheetName val="KampagnenRW_alt5"/>
      <sheetName val="POS_Radio_Planungsprogramm3"/>
      <sheetName val="MP_NEON_2008"/>
      <sheetName val="All_Calcs"/>
      <sheetName val="MP_NEON_2007"/>
      <sheetName val="KampagnenRW_alt6"/>
      <sheetName val="POS_Radio_Planungsprogramm4"/>
      <sheetName val="MP_NEON_20081"/>
      <sheetName val="All_Calcs1"/>
      <sheetName val="MP_NEON_20071"/>
      <sheetName val="OOH"/>
      <sheetName val="Print"/>
      <sheetName val="KampagnenRW_alt7"/>
      <sheetName val="POS_Radio_Planungsprogramm5"/>
      <sheetName val="MP_NEON_20072"/>
      <sheetName val="MP_NEON_20082"/>
      <sheetName val="All_Calcs2"/>
      <sheetName val="MP_2007"/>
      <sheetName val="Data_CpGRP"/>
      <sheetName val="KampagnenRW_alt8"/>
      <sheetName val="POS_Radio_Planungsprogramm6"/>
      <sheetName val="MP_NEON_20073"/>
      <sheetName val="MP_NEON_20083"/>
      <sheetName val="All_Calcs3"/>
      <sheetName val="MP_20071"/>
      <sheetName val="Data_CpGRP1"/>
      <sheetName val="KampagnenRW_alt9"/>
      <sheetName val="POS_Radio_Planungsprogramm7"/>
      <sheetName val="MP_NEON_20074"/>
      <sheetName val="MP_NEON_20084"/>
      <sheetName val="All_Calcs4"/>
      <sheetName val="MP_20072"/>
      <sheetName val="Data_CpGRP2"/>
      <sheetName val="KampagnenRW_alt10"/>
      <sheetName val="POS_Radio_Planungsprogramm8"/>
      <sheetName val="MP_NEON_20075"/>
      <sheetName val="MP_NEON_20085"/>
      <sheetName val="All_Calcs5"/>
      <sheetName val="MP_20073"/>
      <sheetName val="Data_CpGRP3"/>
      <sheetName val="basic_data"/>
      <sheetName val="Macro1"/>
      <sheetName val="PG"/>
      <sheetName val="SAD"/>
      <sheetName val="CCS"/>
      <sheetName val="Options"/>
      <sheetName val="PF RADIO "/>
      <sheetName val="Pivot"/>
      <sheetName val="2.대외공문"/>
      <sheetName val="Permissable values"/>
      <sheetName val="TELEVISION DETAILS"/>
      <sheetName val="адреска"/>
      <sheetName val="KampagnenRW_alt11"/>
      <sheetName val="POS_Radio_Planungsprogramm9"/>
      <sheetName val="MP_NEON_20076"/>
      <sheetName val="MP_NEON_20086"/>
      <sheetName val="All_Calcs6"/>
      <sheetName val="MP_20074"/>
      <sheetName val="Data_CpGRP4"/>
      <sheetName val="TV_Pricing"/>
      <sheetName val="MP_2008"/>
      <sheetName val="KampagnenRW_alt12"/>
      <sheetName val="POS_Radio_Planungsprogramm10"/>
      <sheetName val="MP_NEON_20077"/>
      <sheetName val="MP_NEON_20087"/>
      <sheetName val="All_Calcs7"/>
      <sheetName val="MP_20075"/>
      <sheetName val="Data_CpGRP5"/>
      <sheetName val="TV_Pricing1"/>
      <sheetName val="MP_20081"/>
      <sheetName val="Channel_Share"/>
    </sheetNames>
    <sheetDataSet>
      <sheetData sheetId="0" refreshError="1">
        <row r="13">
          <cell r="D13">
            <v>2</v>
          </cell>
        </row>
      </sheetData>
      <sheetData sheetId="1">
        <row r="13">
          <cell r="D13">
            <v>2</v>
          </cell>
        </row>
      </sheetData>
      <sheetData sheetId="2">
        <row r="13">
          <cell r="D13">
            <v>2</v>
          </cell>
        </row>
      </sheetData>
      <sheetData sheetId="3">
        <row r="13">
          <cell r="D13">
            <v>2</v>
          </cell>
        </row>
      </sheetData>
      <sheetData sheetId="4">
        <row r="13">
          <cell r="D13">
            <v>2</v>
          </cell>
        </row>
      </sheetData>
      <sheetData sheetId="5">
        <row r="13">
          <cell r="D13">
            <v>2</v>
          </cell>
        </row>
      </sheetData>
      <sheetData sheetId="6">
        <row r="13">
          <cell r="D13">
            <v>2</v>
          </cell>
        </row>
      </sheetData>
      <sheetData sheetId="7">
        <row r="13">
          <cell r="D13">
            <v>2</v>
          </cell>
        </row>
      </sheetData>
      <sheetData sheetId="8">
        <row r="13">
          <cell r="D13">
            <v>2</v>
          </cell>
        </row>
      </sheetData>
      <sheetData sheetId="9">
        <row r="13">
          <cell r="D13">
            <v>2</v>
          </cell>
        </row>
      </sheetData>
      <sheetData sheetId="10">
        <row r="13">
          <cell r="D13">
            <v>2</v>
          </cell>
        </row>
      </sheetData>
      <sheetData sheetId="11">
        <row r="13">
          <cell r="D13">
            <v>2</v>
          </cell>
        </row>
      </sheetData>
      <sheetData sheetId="12">
        <row r="13">
          <cell r="D13">
            <v>2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>
        <row r="13">
          <cell r="D13">
            <v>2</v>
          </cell>
        </row>
      </sheetData>
      <sheetData sheetId="36">
        <row r="13">
          <cell r="D13">
            <v>2</v>
          </cell>
        </row>
      </sheetData>
      <sheetData sheetId="37">
        <row r="13">
          <cell r="D13">
            <v>2</v>
          </cell>
        </row>
      </sheetData>
      <sheetData sheetId="38">
        <row r="13">
          <cell r="D13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ccumulated  R and F"/>
      <sheetName val="XLR_NoRangeSheet"/>
      <sheetName val="XLRpt_TempSheet"/>
      <sheetName val="CAMPAIGN AVERAGE F"/>
      <sheetName val="ORT"/>
      <sheetName val=" Total"/>
      <sheetName val="TV summary by month"/>
      <sheetName val="Прайс"/>
      <sheetName val="PRINT"/>
      <sheetName val="OWNPROD LAT"/>
      <sheetName val="Data USA Cdn$"/>
      <sheetName val="Data USA US$"/>
      <sheetName val="Интернет"/>
      <sheetName val="Сводная"/>
      <sheetName val="Main"/>
      <sheetName val="Splits"/>
      <sheetName val="##"/>
      <sheetName val="Equipment"/>
      <sheetName val="TIME_SLOT,PLAN_CHANNEL_TRAIL"/>
      <sheetName val="L свод"/>
      <sheetName val="Auris"/>
      <sheetName val="Change"/>
      <sheetName val="Лист2"/>
      <sheetName val="Gazete teaser"/>
      <sheetName val="Расчет по Регионам"/>
      <sheetName val="Расчет"/>
      <sheetName val="Сезонка"/>
      <sheetName val="Клипы (2)"/>
      <sheetName val="Campaign_Accumulated__R_and_F"/>
      <sheetName val="CAMPAIGN_AVERAGE_F"/>
      <sheetName val="TV_summary_by_month"/>
      <sheetName val="_Total"/>
      <sheetName val="ITALIANS"/>
      <sheetName val="Outdoor St-Peter June"/>
      <sheetName val="tv spot list"/>
      <sheetName val="TAB MOD"/>
      <sheetName val="PARAME"/>
      <sheetName val="STS"/>
      <sheetName val="REN TV"/>
      <sheetName val="RTR"/>
      <sheetName val="MediaMix"/>
      <sheetName val="G2TempSheet"/>
      <sheetName val="EVOPRIX"/>
      <sheetName val="TAB REG"/>
      <sheetName val="chart41"/>
      <sheetName val="STS(Jun,1)"/>
      <sheetName val="TV management"/>
      <sheetName val="ثرسنل (2"/>
      <sheetName val="novy 2"/>
      <sheetName val="TNS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Prm"/>
      <sheetName val="data"/>
      <sheetName val="1+1"/>
      <sheetName val="7_channel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3"/>
      <sheetName val="2_3"/>
      <sheetName val="2_4"/>
      <sheetName val="2_5"/>
      <sheetName val="Media Plan UAH"/>
      <sheetName val="North "/>
      <sheetName val="dis"/>
      <sheetName val="Media-plan primary"/>
      <sheetName val="Suporte"/>
      <sheetName val="HMAMB"/>
      <sheetName val="GRP"/>
      <sheetName val="Taxes"/>
      <sheetName val="Брянск"/>
      <sheetName val="Hoja1"/>
      <sheetName val="Tabelle1"/>
      <sheetName val="Расчет и прогнозы"/>
      <sheetName val="Sheet8"/>
      <sheetName val="North"/>
      <sheetName val="budget data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mcССClassic"/>
      <sheetName val="Справочники"/>
      <sheetName val="NTV"/>
      <sheetName val="RenTV"/>
      <sheetName val="TV6"/>
      <sheetName val="options"/>
      <sheetName val="Rate"/>
      <sheetName val="Date 2"/>
      <sheetName val="Forecast"/>
      <sheetName val="PG"/>
      <sheetName val="SAD"/>
      <sheetName val="CCS"/>
      <sheetName val="Name Check"/>
      <sheetName val="Sum"/>
      <sheetName val="Procedural Controls - AP"/>
      <sheetName val="studia"/>
      <sheetName val="Category&amp;CTR&amp;TA"/>
      <sheetName val="Конструктор недели"/>
      <sheetName val="Clasify"/>
      <sheetName val="FRECEFECBAILEYS"/>
      <sheetName val="BAŞV"/>
      <sheetName val="Project Summary"/>
      <sheetName val="Please wait..."/>
      <sheetName val="TRANSGOOGLE"/>
      <sheetName val="Sheet1"/>
      <sheetName val="List"/>
      <sheetName val="CPP"/>
      <sheetName val="ExchRates"/>
      <sheetName val="Programmatic Video"/>
      <sheetName val="TA data Nielsen UA"/>
      <sheetName val="Нац ТВ 2019_13.08"/>
      <sheetName val="СПОНС"/>
      <sheetName val="Лист1"/>
      <sheetName val="регионы"/>
      <sheetName val="v7.6"/>
      <sheetName val="тайминг v7.5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Year 3"/>
      <sheetName val="budget_data"/>
      <sheetName val="Procedural_Controls_-_AP"/>
      <sheetName val="Конструктор_недели"/>
      <sheetName val="Date_2"/>
      <sheetName val="Programmatic_Video"/>
      <sheetName val="TA_data_Nielsen_UA"/>
      <sheetName val="Basis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Name_Check"/>
      <sheetName val="Нац_ТВ_2019_13_08"/>
      <sheetName val="Project_Summary"/>
      <sheetName val="Please_wait___"/>
      <sheetName val="v7_6"/>
      <sheetName val="тайминг_v7_5"/>
      <sheetName val="b2bcontext"/>
      <sheetName val="Библиотека"/>
      <sheetName val="Consolidated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Help"/>
      <sheetName val="habillage pour boucle"/>
      <sheetName val="общий"/>
      <sheetName val="чел европа+ от сми"/>
      <sheetName val="Channelvorgabe"/>
      <sheetName val="Format"/>
      <sheetName val="plan-gaz1"/>
      <sheetName val="Network"/>
      <sheetName val="Placement"/>
      <sheetName val="Sites"/>
      <sheetName val="nieakt"/>
      <sheetName val="Copies"/>
      <sheetName val="Vehicles"/>
      <sheetName val="ppranalysis"/>
      <sheetName val="Laikai rad"/>
      <sheetName val="Controls"/>
      <sheetName val="Slide 10 - gp per kg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PPC"/>
      <sheetName val="Social Networks"/>
      <sheetName val="Summary"/>
      <sheetName val="условия платежа"/>
      <sheetName val="Zolla на 70 (мар+май!)"/>
      <sheetName val="cinema"/>
      <sheetName val="Var2002 BU-P1"/>
      <sheetName val="55% and 70%"/>
      <sheetName val="ENERGY "/>
      <sheetName val="QTXD"/>
      <sheetName val="Service"/>
      <sheetName val="Списки"/>
      <sheetName val="СПЛИТ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Расчет_по_Регионам5"/>
      <sheetName val="Клипы_(2)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Date_22"/>
      <sheetName val="Расчет_и_прогнозы3"/>
      <sheetName val="budget_data2"/>
      <sheetName val="Procedural_Controls_-_AP2"/>
      <sheetName val="Конструктор_недели2"/>
      <sheetName val="Name_Check2"/>
      <sheetName val="Project_Summary2"/>
      <sheetName val="Please_wait___2"/>
      <sheetName val="Programmatic_Video2"/>
      <sheetName val="TA_data_Nielsen_UA2"/>
      <sheetName val="Нац_ТВ_2019_13_082"/>
      <sheetName val="v7_62"/>
      <sheetName val="тайминг_v7_52"/>
      <sheetName val="PY_20021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01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Channels Indexes"/>
      <sheetName val="restaurants monitors"/>
      <sheetName val="Control"/>
      <sheetName val="HBU_Modern"/>
      <sheetName val="HBU_Trad"/>
      <sheetName val="ConstantsANDSettings"/>
      <sheetName val="Tablas"/>
      <sheetName val="Print-forms"/>
      <sheetName val="Televizyon"/>
      <sheetName val="plan-der"/>
      <sheetName val="aging analysis"/>
      <sheetName val="2007"/>
      <sheetName val="Тариф авт."/>
      <sheetName val="Прайс Москва"/>
      <sheetName val="Тариф трамвай"/>
      <sheetName val="Тариф троллебусов"/>
      <sheetName val="4Q 1995"/>
      <sheetName val="LCMD_0613"/>
      <sheetName val="FY04 fx"/>
      <sheetName val="МП MI"/>
      <sheetName val="Hasar Hattı"/>
      <sheetName val="TV spot_supplier"/>
      <sheetName val="Предлож_СПб"/>
      <sheetName val="Zolla_на_70_(мар+май!)"/>
      <sheetName val="Var2002_BU-P1"/>
      <sheetName val="условия_платежа"/>
      <sheetName val="55%_and_70%"/>
      <sheetName val="ENERGY_"/>
      <sheetName val="Assum"/>
      <sheetName val="Данные"/>
      <sheetName val="Прайслист 2012"/>
      <sheetName val="Считалка"/>
      <sheetName val="Definitions"/>
      <sheetName val="Excel"/>
      <sheetName val="Directory"/>
      <sheetName val="Total Sara Lee Int WH"/>
      <sheetName val="Total Sara Lee Int FTE"/>
    </sheetNames>
    <sheetDataSet>
      <sheetData sheetId="0" refreshError="1"/>
      <sheetData sheetId="1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B6" t="str">
            <v>Client</v>
          </cell>
        </row>
      </sheetData>
      <sheetData sheetId="5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5">
        <row r="6">
          <cell r="B6" t="str">
            <v>Client</v>
          </cell>
        </row>
      </sheetData>
      <sheetData sheetId="86">
        <row r="6">
          <cell r="B6" t="str">
            <v>Client</v>
          </cell>
        </row>
      </sheetData>
      <sheetData sheetId="87" refreshError="1"/>
      <sheetData sheetId="8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90" refreshError="1"/>
      <sheetData sheetId="91" refreshError="1"/>
      <sheetData sheetId="92">
        <row r="6">
          <cell r="B6" t="str">
            <v>Client</v>
          </cell>
        </row>
      </sheetData>
      <sheetData sheetId="93">
        <row r="6">
          <cell r="B6" t="str">
            <v>Client</v>
          </cell>
        </row>
      </sheetData>
      <sheetData sheetId="94">
        <row r="6">
          <cell r="B6" t="str">
            <v>Client</v>
          </cell>
        </row>
      </sheetData>
      <sheetData sheetId="95">
        <row r="6">
          <cell r="B6" t="str">
            <v>Client</v>
          </cell>
        </row>
      </sheetData>
      <sheetData sheetId="96">
        <row r="6">
          <cell r="B6" t="str">
            <v>Client</v>
          </cell>
        </row>
      </sheetData>
      <sheetData sheetId="97">
        <row r="6">
          <cell r="B6" t="str">
            <v>Client</v>
          </cell>
        </row>
      </sheetData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>
        <row r="6">
          <cell r="B6">
            <v>0</v>
          </cell>
        </row>
      </sheetData>
      <sheetData sheetId="124">
        <row r="6">
          <cell r="B6">
            <v>0</v>
          </cell>
        </row>
      </sheetData>
      <sheetData sheetId="125">
        <row r="6">
          <cell r="B6">
            <v>0</v>
          </cell>
        </row>
      </sheetData>
      <sheetData sheetId="126">
        <row r="6">
          <cell r="B6">
            <v>0</v>
          </cell>
        </row>
      </sheetData>
      <sheetData sheetId="127">
        <row r="6">
          <cell r="B6">
            <v>0</v>
          </cell>
        </row>
      </sheetData>
      <sheetData sheetId="128">
        <row r="6">
          <cell r="B6">
            <v>0</v>
          </cell>
        </row>
      </sheetData>
      <sheetData sheetId="129">
        <row r="6">
          <cell r="B6">
            <v>0</v>
          </cell>
        </row>
      </sheetData>
      <sheetData sheetId="130">
        <row r="6">
          <cell r="B6">
            <v>0</v>
          </cell>
        </row>
      </sheetData>
      <sheetData sheetId="131">
        <row r="6">
          <cell r="B6">
            <v>0</v>
          </cell>
        </row>
      </sheetData>
      <sheetData sheetId="132">
        <row r="6">
          <cell r="B6">
            <v>0</v>
          </cell>
        </row>
      </sheetData>
      <sheetData sheetId="133">
        <row r="6">
          <cell r="B6">
            <v>0</v>
          </cell>
        </row>
      </sheetData>
      <sheetData sheetId="134">
        <row r="6">
          <cell r="B6">
            <v>0</v>
          </cell>
        </row>
      </sheetData>
      <sheetData sheetId="135">
        <row r="6">
          <cell r="B6">
            <v>0</v>
          </cell>
        </row>
      </sheetData>
      <sheetData sheetId="136">
        <row r="6">
          <cell r="B6">
            <v>0</v>
          </cell>
        </row>
      </sheetData>
      <sheetData sheetId="137">
        <row r="6">
          <cell r="B6">
            <v>0</v>
          </cell>
        </row>
      </sheetData>
      <sheetData sheetId="138">
        <row r="6">
          <cell r="B6" t="str">
            <v>Client</v>
          </cell>
        </row>
      </sheetData>
      <sheetData sheetId="139">
        <row r="6">
          <cell r="B6">
            <v>0</v>
          </cell>
        </row>
      </sheetData>
      <sheetData sheetId="140">
        <row r="6">
          <cell r="B6" t="str">
            <v>Client</v>
          </cell>
        </row>
      </sheetData>
      <sheetData sheetId="141">
        <row r="6">
          <cell r="B6">
            <v>0</v>
          </cell>
        </row>
      </sheetData>
      <sheetData sheetId="142">
        <row r="6">
          <cell r="B6">
            <v>0</v>
          </cell>
        </row>
      </sheetData>
      <sheetData sheetId="143">
        <row r="6">
          <cell r="B6">
            <v>0</v>
          </cell>
        </row>
      </sheetData>
      <sheetData sheetId="144">
        <row r="6">
          <cell r="B6">
            <v>0</v>
          </cell>
        </row>
      </sheetData>
      <sheetData sheetId="145">
        <row r="6">
          <cell r="B6" t="str">
            <v>Client</v>
          </cell>
        </row>
      </sheetData>
      <sheetData sheetId="146">
        <row r="6">
          <cell r="B6" t="str">
            <v>Агентское вознаграждение</v>
          </cell>
        </row>
      </sheetData>
      <sheetData sheetId="147">
        <row r="6">
          <cell r="B6" t="str">
            <v>Client</v>
          </cell>
        </row>
      </sheetData>
      <sheetData sheetId="148">
        <row r="6">
          <cell r="B6" t="str">
            <v>Client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 t="str">
            <v>Client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>
        <row r="6">
          <cell r="B6">
            <v>0</v>
          </cell>
        </row>
      </sheetData>
      <sheetData sheetId="173">
        <row r="6">
          <cell r="B6">
            <v>0</v>
          </cell>
        </row>
      </sheetData>
      <sheetData sheetId="174">
        <row r="6">
          <cell r="B6">
            <v>0</v>
          </cell>
        </row>
      </sheetData>
      <sheetData sheetId="175">
        <row r="6">
          <cell r="B6">
            <v>0</v>
          </cell>
        </row>
      </sheetData>
      <sheetData sheetId="176">
        <row r="6">
          <cell r="B6">
            <v>0</v>
          </cell>
        </row>
      </sheetData>
      <sheetData sheetId="177">
        <row r="6">
          <cell r="B6">
            <v>0</v>
          </cell>
        </row>
      </sheetData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>
        <row r="6">
          <cell r="B6">
            <v>0</v>
          </cell>
        </row>
      </sheetData>
      <sheetData sheetId="184">
        <row r="6">
          <cell r="B6">
            <v>0</v>
          </cell>
        </row>
      </sheetData>
      <sheetData sheetId="185">
        <row r="6">
          <cell r="B6">
            <v>0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>
            <v>0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>
        <row r="6">
          <cell r="B6" t="str">
            <v>Client</v>
          </cell>
        </row>
      </sheetData>
      <sheetData sheetId="206">
        <row r="6">
          <cell r="B6">
            <v>0</v>
          </cell>
        </row>
      </sheetData>
      <sheetData sheetId="207">
        <row r="6">
          <cell r="B6">
            <v>0</v>
          </cell>
        </row>
      </sheetData>
      <sheetData sheetId="208">
        <row r="6">
          <cell r="B6" t="str">
            <v>Client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 t="str">
            <v>Client</v>
          </cell>
        </row>
      </sheetData>
      <sheetData sheetId="213">
        <row r="6">
          <cell r="B6" t="str">
            <v>Client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>
            <v>0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 t="str">
            <v>Client</v>
          </cell>
        </row>
      </sheetData>
      <sheetData sheetId="229">
        <row r="6">
          <cell r="B6">
            <v>0</v>
          </cell>
        </row>
      </sheetData>
      <sheetData sheetId="230">
        <row r="6">
          <cell r="B6">
            <v>0</v>
          </cell>
        </row>
      </sheetData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6">
          <cell r="B6">
            <v>0</v>
          </cell>
        </row>
      </sheetData>
      <sheetData sheetId="259">
        <row r="6">
          <cell r="B6">
            <v>0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>
            <v>0</v>
          </cell>
        </row>
      </sheetData>
      <sheetData sheetId="262">
        <row r="6">
          <cell r="B6">
            <v>0</v>
          </cell>
        </row>
      </sheetData>
      <sheetData sheetId="263">
        <row r="6">
          <cell r="B6" t="str">
            <v>Client</v>
          </cell>
        </row>
      </sheetData>
      <sheetData sheetId="264">
        <row r="6">
          <cell r="B6">
            <v>0</v>
          </cell>
        </row>
      </sheetData>
      <sheetData sheetId="265">
        <row r="6">
          <cell r="B6">
            <v>0</v>
          </cell>
        </row>
      </sheetData>
      <sheetData sheetId="266">
        <row r="6">
          <cell r="B6">
            <v>0</v>
          </cell>
        </row>
      </sheetData>
      <sheetData sheetId="267">
        <row r="6">
          <cell r="B6">
            <v>0</v>
          </cell>
        </row>
      </sheetData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DAILY  ACCUMULATED R AND F"/>
      <sheetName val="ITALIANS"/>
      <sheetName val="XLRpt_TempSheet"/>
      <sheetName val="CAMPAIGN AVERAGE F"/>
      <sheetName val="Splits"/>
      <sheetName val="ORT"/>
      <sheetName val="СТС_GRP_1.9"/>
      <sheetName val="R CURVES_Иркутск"/>
      <sheetName val="CAMPAIGN RESULTS"/>
      <sheetName val="Basis"/>
      <sheetName val="PRINT"/>
      <sheetName val="schsts"/>
      <sheetName val="OWNPROD LAT"/>
      <sheetName val="TV summary by month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Лист2"/>
      <sheetName val="Европа Плюс Москва 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Media Plan UAH"/>
      <sheetName val="Data USA Cdn$"/>
      <sheetName val="Data USA US$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Work Sheet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Date 2"/>
      <sheetName val="tv"/>
      <sheetName val="Чел Европа+ от сми"/>
      <sheetName val="Aug,24"/>
      <sheetName val="schren"/>
      <sheetName val="schtv6"/>
      <sheetName val="ТЛ"/>
      <sheetName val="chart11"/>
      <sheetName val="Lib"/>
      <sheetName val="Владивосток ОРТ (наш)"/>
      <sheetName val="OUTFLOW"/>
      <sheetName val="key"/>
      <sheetName val="Title"/>
      <sheetName val="Тех_доп"/>
      <sheetName val="all brands (all media)"/>
      <sheetName val="Control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kz budget lc"/>
      <sheetName val="сплит"/>
      <sheetName val="цены и коэф."/>
      <sheetName val="G2TempSheet"/>
      <sheetName val="Date_2"/>
      <sheetName val="Чел_Европа+_от_сми"/>
      <sheetName val="FY04 fx"/>
      <sheetName val="разбивка по каналам"/>
      <sheetName val="ChanGr_cfg"/>
      <sheetName val="Base"/>
      <sheetName val="odaplan_report"/>
      <sheetName val="сводная"/>
      <sheetName val="Total Sara Lee Int WH"/>
      <sheetName val="Total Sara Lee Int FTE"/>
      <sheetName val="Evaluation2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Tsitrinka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шаблон помесячно"/>
      <sheetName val="Picklists"/>
      <sheetName val="Evasion"/>
    </sheetNames>
    <sheetDataSet>
      <sheetData sheetId="0" refreshError="1">
        <row r="2">
          <cell r="B2" t="str">
            <v>15+</v>
          </cell>
        </row>
        <row r="6">
          <cell r="P6">
            <v>7.4042043629654009</v>
          </cell>
          <cell r="Q6">
            <v>12.637494009221278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 refreshError="1"/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>
        <row r="6">
          <cell r="P6">
            <v>8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>
        <row r="6">
          <cell r="P6">
            <v>8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6">
          <cell r="P6">
            <v>8</v>
          </cell>
        </row>
      </sheetData>
      <sheetData sheetId="119">
        <row r="6">
          <cell r="P6">
            <v>8</v>
          </cell>
        </row>
      </sheetData>
      <sheetData sheetId="120">
        <row r="6">
          <cell r="P6">
            <v>8</v>
          </cell>
        </row>
      </sheetData>
      <sheetData sheetId="121">
        <row r="6">
          <cell r="P6">
            <v>8</v>
          </cell>
        </row>
      </sheetData>
      <sheetData sheetId="122">
        <row r="6">
          <cell r="P6">
            <v>8</v>
          </cell>
        </row>
      </sheetData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2008"/>
      <sheetName val="KP 2008"/>
      <sheetName val="cost per month"/>
      <sheetName val="Themenübersicht"/>
      <sheetName val="12"/>
      <sheetName val="Media plan"/>
      <sheetName val="MA-BL"/>
      <sheetName val="Kostenplan"/>
      <sheetName val="PIANO GENER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stenplan"/>
      <sheetName val="Grunddaten für Einkauf"/>
      <sheetName val="Belegungsplan"/>
      <sheetName val="Streuplan"/>
      <sheetName val="Mo-Fr-Kalkulation"/>
      <sheetName val="Sa-Kalkulation"/>
      <sheetName val="So-Kalkulation"/>
      <sheetName val="Jahresvolumen"/>
      <sheetName val="Rabattstaffeln"/>
      <sheetName val="Kombinationen 2005"/>
      <sheetName val="BudgetControl"/>
      <sheetName val="Dealcheck"/>
      <sheetName val="PIANO GENERALE"/>
      <sheetName val="MP 2008"/>
      <sheetName val="12"/>
      <sheetName val="Grunddaten_für_Einkauf"/>
      <sheetName val="Kombinationen_2005"/>
      <sheetName val="PIANO_GENERALE"/>
      <sheetName val="Kostenplan%20Funk_070205.xls"/>
      <sheetName val="Kostenplan Funk_070205"/>
      <sheetName val="Table"/>
      <sheetName val="PC"/>
      <sheetName val="Corp"/>
      <sheetName val="IW"/>
      <sheetName val="MBS"/>
      <sheetName val="MED"/>
      <sheetName val="Server"/>
      <sheetName val="Client"/>
      <sheetName val=""/>
      <sheetName val="Commercial SoC"/>
      <sheetName val="MP 2007"/>
      <sheetName val="Grunddaten f?r Einkauf"/>
      <sheetName val="Dashboard Data"/>
      <sheetName val="Grunddaten_für_Einkauf1"/>
      <sheetName val="Kombinationen_20051"/>
      <sheetName val="PIANO_GENERALE1"/>
      <sheetName val="MP_2008"/>
      <sheetName val="Dashboard_Data"/>
      <sheetName val="Kostenplan%20Funk_070205_xls"/>
      <sheetName val="Kostenplan_Funk_070205"/>
      <sheetName val="Grunddaten_für_Einkauf2"/>
      <sheetName val="Kombinationen_20052"/>
      <sheetName val="PIANO_GENERALE2"/>
      <sheetName val="Grunddaten_für_Einkauf3"/>
      <sheetName val="Kombinationen_20053"/>
      <sheetName val="PIANO_GENERALE3"/>
      <sheetName val="MP_20081"/>
      <sheetName val="Grunddaten_für_Einkauf4"/>
      <sheetName val="Kombinationen_20054"/>
      <sheetName val="PIANO_GENERALE4"/>
      <sheetName val="MP_20082"/>
      <sheetName val="GRP"/>
      <sheetName val="MP NEON 2007"/>
      <sheetName val="MEN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gYBbqvKE5D1NyVLZA63RxQaNqKEkGXQ9/view?usp=share_link" TargetMode="External"/><Relationship Id="rId18" Type="http://schemas.openxmlformats.org/officeDocument/2006/relationships/hyperlink" Target="https://drive.google.com/file/d/1-8_kaqtqrUu9ntKnmh4a7WqqOjQV0lB4/view?usp=share_link" TargetMode="External"/><Relationship Id="rId26" Type="http://schemas.openxmlformats.org/officeDocument/2006/relationships/hyperlink" Target="https://drive.google.com/file/d/1UdjV31ESml3UxM438o8cTmiKfil1cGNL/view?usp=share_link" TargetMode="External"/><Relationship Id="rId39" Type="http://schemas.openxmlformats.org/officeDocument/2006/relationships/hyperlink" Target="https://drive.google.com/file/d/1Ix2D3ZraAvY9TY6kxCjzkZzDsBV3UJCi/view?usp=sharing" TargetMode="External"/><Relationship Id="rId21" Type="http://schemas.openxmlformats.org/officeDocument/2006/relationships/hyperlink" Target="https://drive.google.com/file/d/1wZdv_duKu2tQEUK8wKarDVvnFSx1HIuz/view?usp=share_link" TargetMode="External"/><Relationship Id="rId34" Type="http://schemas.openxmlformats.org/officeDocument/2006/relationships/hyperlink" Target="https://drive.google.com/file/d/1xmsCIvLjN2RMl6Pzt1uH0mogh96yQDUR/view?usp=drive_link" TargetMode="External"/><Relationship Id="rId42" Type="http://schemas.openxmlformats.org/officeDocument/2006/relationships/hyperlink" Target="https://drive.google.com/file/d/1F6jo_Mju4XkILJqTj93Lwt9AL_Qe372H/view?usp=sharing" TargetMode="External"/><Relationship Id="rId47" Type="http://schemas.openxmlformats.org/officeDocument/2006/relationships/hyperlink" Target="https://drive.google.com/file/d/11jvvpVYYUhpXZVLmFWh724o0GGCkQdCg/view?usp=sharing" TargetMode="External"/><Relationship Id="rId50" Type="http://schemas.openxmlformats.org/officeDocument/2006/relationships/hyperlink" Target="https://drive.google.com/file/d/1XDUxmv6U2P6csDfWTBLOrW5xZI6LUt0j/view?usp=sharing" TargetMode="External"/><Relationship Id="rId55" Type="http://schemas.openxmlformats.org/officeDocument/2006/relationships/hyperlink" Target="https://yandex.ru/maps/?um=constructor%3A2f08e5b44a96e2cf21e2598be9cc73c6e491a2d6135ccac692808530fdab4fe1&amp;source=constructorLink" TargetMode="External"/><Relationship Id="rId7" Type="http://schemas.openxmlformats.org/officeDocument/2006/relationships/hyperlink" Target="https://drive.google.com/file/d/18Pz95CwQFPcePbnoUt8o6417avP4Sskz/view?usp=sharing" TargetMode="External"/><Relationship Id="rId2" Type="http://schemas.openxmlformats.org/officeDocument/2006/relationships/hyperlink" Target="https://drive.google.com/file/d/1EqdEgZKtVwPYZOnuT-3Yst9RzE7KFc2o/view?usp=sharing" TargetMode="External"/><Relationship Id="rId16" Type="http://schemas.openxmlformats.org/officeDocument/2006/relationships/hyperlink" Target="https://drive.google.com/file/d/1_-rVDBhUnU_QrukFGGz_ACm_jv9yyNRP/view?usp=drive_link" TargetMode="External"/><Relationship Id="rId29" Type="http://schemas.openxmlformats.org/officeDocument/2006/relationships/hyperlink" Target="https://drive.google.com/file/d/1Z56hp581bqT6a67KM51SrknIAyNqh_DV/view?usp=share_link" TargetMode="External"/><Relationship Id="rId11" Type="http://schemas.openxmlformats.org/officeDocument/2006/relationships/hyperlink" Target="https://drive.google.com/file/d/1AOmWNcLSVPTqpDDvHh6jqQ6bZ-GM1OLR/view?usp=share_link" TargetMode="External"/><Relationship Id="rId24" Type="http://schemas.openxmlformats.org/officeDocument/2006/relationships/hyperlink" Target="https://drive.google.com/file/d/1sMmdP51xkaZLpV6AQRlYtb_N_7vFaNBm/view?usp=share_link" TargetMode="External"/><Relationship Id="rId32" Type="http://schemas.openxmlformats.org/officeDocument/2006/relationships/hyperlink" Target="https://drive.google.com/file/d/1EhHirjlmKjpADbHHAKt_xfi-raugGFbb/view?usp=share_link" TargetMode="External"/><Relationship Id="rId37" Type="http://schemas.openxmlformats.org/officeDocument/2006/relationships/hyperlink" Target="https://drive.google.com/file/d/1YSk_GvU6-OZEd87kx63F09Zp4hAXNjcb/view?usp=sharing" TargetMode="External"/><Relationship Id="rId40" Type="http://schemas.openxmlformats.org/officeDocument/2006/relationships/hyperlink" Target="https://drive.google.com/file/d/1C-iDA9s4-rpvo6wqGoKpEe_M02FMJFle/view?usp=sharing" TargetMode="External"/><Relationship Id="rId45" Type="http://schemas.openxmlformats.org/officeDocument/2006/relationships/hyperlink" Target="https://drive.google.com/file/d/1B7HyiBCH1WA26VNLLscTZPfdrU54FM0W/view?usp=sharing" TargetMode="External"/><Relationship Id="rId53" Type="http://schemas.openxmlformats.org/officeDocument/2006/relationships/hyperlink" Target="https://drive.google.com/file/d/1LA4F1T3B-UzyLqCBpV9UGObVkwklykIp/view?usp=share_link" TargetMode="External"/><Relationship Id="rId58" Type="http://schemas.openxmlformats.org/officeDocument/2006/relationships/drawing" Target="../drawings/drawing1.xml"/><Relationship Id="rId5" Type="http://schemas.openxmlformats.org/officeDocument/2006/relationships/hyperlink" Target="https://drive.google.com/file/d/16g3SKig4mD9yNk86XXOIHJeLnPwjcfpH/view?usp=sharing" TargetMode="External"/><Relationship Id="rId19" Type="http://schemas.openxmlformats.org/officeDocument/2006/relationships/hyperlink" Target="https://drive.google.com/file/d/1sMUwcHTAEnvSjLPbkB075Zv5Qcfz29RI/view?usp=share_link" TargetMode="External"/><Relationship Id="rId4" Type="http://schemas.openxmlformats.org/officeDocument/2006/relationships/hyperlink" Target="https://drive.google.com/file/d/1H5FJc-JJq73SFyfUDdXNELZf0UpKye9s/view?usp=sharing" TargetMode="External"/><Relationship Id="rId9" Type="http://schemas.openxmlformats.org/officeDocument/2006/relationships/hyperlink" Target="https://drive.google.com/file/d/1KTcnGAELIse7ph8-CMAXR2Y-AaJK0RPP/view?usp=share_link" TargetMode="External"/><Relationship Id="rId14" Type="http://schemas.openxmlformats.org/officeDocument/2006/relationships/hyperlink" Target="https://drive.google.com/file/d/1cXCBfiE8xkXo0CeD9nB9QBaW72k3wQ89/view?usp=share_link" TargetMode="External"/><Relationship Id="rId22" Type="http://schemas.openxmlformats.org/officeDocument/2006/relationships/hyperlink" Target="https://drive.google.com/file/d/1Lr-Bgyt8Uj6h_eBrH3kFDCSUbJlH3UF7/view?usp=share_link" TargetMode="External"/><Relationship Id="rId27" Type="http://schemas.openxmlformats.org/officeDocument/2006/relationships/hyperlink" Target="https://drive.google.com/file/d/1l-VMnqaJY3FNXMLzbqT-YA9PhuLYERlG/view?usp=share_link" TargetMode="External"/><Relationship Id="rId30" Type="http://schemas.openxmlformats.org/officeDocument/2006/relationships/hyperlink" Target="https://drive.google.com/file/d/10zVtVzsk61gjpOxyK345lp3-z8CekXyW/view?usp=sharing" TargetMode="External"/><Relationship Id="rId35" Type="http://schemas.openxmlformats.org/officeDocument/2006/relationships/hyperlink" Target="https://drive.google.com/file/d/1wKUfdzNyB1S4z4D82hBTXQqZntYOV-PJ/view?usp=sharing" TargetMode="External"/><Relationship Id="rId43" Type="http://schemas.openxmlformats.org/officeDocument/2006/relationships/hyperlink" Target="https://drive.google.com/file/d/15iW6oQgKyOVFeHYZrusj1pfbOPtG14nK/view?usp=sharing" TargetMode="External"/><Relationship Id="rId48" Type="http://schemas.openxmlformats.org/officeDocument/2006/relationships/hyperlink" Target="https://drive.google.com/file/d/1XDUxmv6U2P6csDfWTBLOrW5xZI6LUt0j/view?usp=sharing" TargetMode="External"/><Relationship Id="rId56" Type="http://schemas.openxmlformats.org/officeDocument/2006/relationships/hyperlink" Target="https://studio.foursquare.com/map/public/7475be63-832a-4a8e-bac1-c23ba6a6836a" TargetMode="External"/><Relationship Id="rId8" Type="http://schemas.openxmlformats.org/officeDocument/2006/relationships/hyperlink" Target="https://drive.google.com/file/d/1k7J92lscd1vBFhL0S9K_plN1u91Bnfx6/view?usp=sharing" TargetMode="External"/><Relationship Id="rId51" Type="http://schemas.openxmlformats.org/officeDocument/2006/relationships/hyperlink" Target="https://drive.google.com/file/d/1QcS4TNrfE27On9gOCIVJNkSEuQViublf/view?usp=sharing" TargetMode="External"/><Relationship Id="rId3" Type="http://schemas.openxmlformats.org/officeDocument/2006/relationships/hyperlink" Target="https://drive.google.com/file/d/1hU7dDX2bWAq4p314buatHA4tfDFA1Pq5/view?usp=sharing" TargetMode="External"/><Relationship Id="rId12" Type="http://schemas.openxmlformats.org/officeDocument/2006/relationships/hyperlink" Target="https://drive.google.com/file/d/1Ev0WNHh_54Z8B3mgoMWcVmQrH41Yb70F/view?usp=share_link" TargetMode="External"/><Relationship Id="rId17" Type="http://schemas.openxmlformats.org/officeDocument/2006/relationships/hyperlink" Target="https://drive.google.com/file/d/1yxB8QzRSjo_srPl_-FxlOi68Agb24l3A/view?usp=share_link" TargetMode="External"/><Relationship Id="rId25" Type="http://schemas.openxmlformats.org/officeDocument/2006/relationships/hyperlink" Target="https://drive.google.com/file/d/1-ejPTUGFXee5zhaVnWAXXRsSaqNcWlkH/view?usp=share_link" TargetMode="External"/><Relationship Id="rId33" Type="http://schemas.openxmlformats.org/officeDocument/2006/relationships/hyperlink" Target="https://drive.google.com/file/d/1DvN_SVpwMOggne3oO_F6Ebyh8nqn_v0_/view?usp=sharing" TargetMode="External"/><Relationship Id="rId38" Type="http://schemas.openxmlformats.org/officeDocument/2006/relationships/hyperlink" Target="https://drive.google.com/file/d/1VUOJr_-pgS1AS3ugYs5_lKDD7zl0Npvd/view?usp=sharing" TargetMode="External"/><Relationship Id="rId46" Type="http://schemas.openxmlformats.org/officeDocument/2006/relationships/hyperlink" Target="https://drive.google.com/file/d/19KWhq7ff9uHpLUqt9rh4Xh6gr8UMmFq3/view?usp=sharing" TargetMode="External"/><Relationship Id="rId20" Type="http://schemas.openxmlformats.org/officeDocument/2006/relationships/hyperlink" Target="https://drive.google.com/file/d/1AmLsbhQCg_OQ8-ZTLDY4kH4wr8_C-C08/view?usp=share_link" TargetMode="External"/><Relationship Id="rId41" Type="http://schemas.openxmlformats.org/officeDocument/2006/relationships/hyperlink" Target="https://drive.google.com/file/d/12m-SQxHXQ4xP-AeHvUJOMdPRHrt6nic_/view?usp=sharing" TargetMode="External"/><Relationship Id="rId54" Type="http://schemas.openxmlformats.org/officeDocument/2006/relationships/hyperlink" Target="https://drive.google.com/file/d/1d3KuDSAOrNns6w_oTLSceHHceO4NqbyG/view?usp=sharing" TargetMode="External"/><Relationship Id="rId1" Type="http://schemas.openxmlformats.org/officeDocument/2006/relationships/hyperlink" Target="https://drive.google.com/file/d/1_Lqg67GTkshVi7H0VcE66gtOotx6hHl_/view?usp=sharing" TargetMode="External"/><Relationship Id="rId6" Type="http://schemas.openxmlformats.org/officeDocument/2006/relationships/hyperlink" Target="https://drive.google.com/file/d/18gNOJv0-bePabF7QmFtYmHS0qiI3yl1G/view?usp=sharing" TargetMode="External"/><Relationship Id="rId15" Type="http://schemas.openxmlformats.org/officeDocument/2006/relationships/hyperlink" Target="https://drive.google.com/file/d/1_RrF_E66GM3a2I3hHhRb8I3BxSu0zXPi/view?usp=sharing" TargetMode="External"/><Relationship Id="rId23" Type="http://schemas.openxmlformats.org/officeDocument/2006/relationships/hyperlink" Target="https://drive.google.com/file/d/1eP9QPTIIZN8fvARpHxM5DtLp7YGebAfs/view?usp=sharing" TargetMode="External"/><Relationship Id="rId28" Type="http://schemas.openxmlformats.org/officeDocument/2006/relationships/hyperlink" Target="https://drive.google.com/file/d/1VOoFbbxdDyKDmaejuOqwkO52i0SqVk0f/view?usp=share_link" TargetMode="External"/><Relationship Id="rId36" Type="http://schemas.openxmlformats.org/officeDocument/2006/relationships/hyperlink" Target="https://drive.google.com/file/d/1sGAcbYyq5Djc2A4LoHDYRpdh-Uby-tBz/view?usp=sharing" TargetMode="External"/><Relationship Id="rId49" Type="http://schemas.openxmlformats.org/officeDocument/2006/relationships/hyperlink" Target="https://drive.google.com/file/d/1DnQCrn1_5HjcvTC9NAU6Ct9mHPa_SG48/view?usp=sharing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file/d/1a3inNGUmctrOzUHUm2E5WWCJwUTA6Eu8/view?usp=share_link" TargetMode="External"/><Relationship Id="rId31" Type="http://schemas.openxmlformats.org/officeDocument/2006/relationships/hyperlink" Target="https://drive.google.com/file/d/1m2dcvUGLQwpUOArD02YlwGG1BXVCLqkP/view?usp=drive_link" TargetMode="External"/><Relationship Id="rId44" Type="http://schemas.openxmlformats.org/officeDocument/2006/relationships/hyperlink" Target="https://drive.google.com/file/d/1vMTm7KCKRC1kRx6Pe9J_15irWa8XE1ko/view?usp=sharing" TargetMode="External"/><Relationship Id="rId52" Type="http://schemas.openxmlformats.org/officeDocument/2006/relationships/hyperlink" Target="https://drive.google.com/file/d/16DOWyaHfPapR_E09Yq9ZNgz6I5L9uaoR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6054-64AA-0D4D-9A6C-F1B39FBA0457}">
  <dimension ref="A1:AB95"/>
  <sheetViews>
    <sheetView tabSelected="1" zoomScale="55" zoomScaleNormal="55" workbookViewId="0">
      <pane ySplit="9" topLeftCell="A10" activePane="bottomLeft" state="frozen"/>
      <selection activeCell="C1" sqref="C1"/>
      <selection pane="bottomLeft" activeCell="R10" sqref="R10"/>
    </sheetView>
  </sheetViews>
  <sheetFormatPr defaultColWidth="19.109375" defaultRowHeight="15.6" x14ac:dyDescent="0.3"/>
  <cols>
    <col min="1" max="1" width="15.6640625" style="6" customWidth="1"/>
    <col min="2" max="2" width="20.33203125" style="6" customWidth="1"/>
    <col min="3" max="3" width="25.44140625" style="6" customWidth="1"/>
    <col min="4" max="4" width="53.33203125" style="6" customWidth="1"/>
    <col min="5" max="5" width="14.109375" style="6" customWidth="1"/>
    <col min="6" max="6" width="15.109375" style="6" customWidth="1"/>
    <col min="7" max="7" width="16" style="6" hidden="1" customWidth="1"/>
    <col min="8" max="8" width="14.77734375" style="6" customWidth="1"/>
    <col min="9" max="9" width="15.77734375" style="6" customWidth="1"/>
    <col min="10" max="10" width="16" style="6" customWidth="1"/>
    <col min="11" max="11" width="19.6640625" style="6" customWidth="1"/>
    <col min="12" max="14" width="15.77734375" style="6" customWidth="1"/>
    <col min="15" max="18" width="19.6640625" style="6" customWidth="1"/>
    <col min="19" max="19" width="20.44140625" style="6" customWidth="1"/>
    <col min="20" max="20" width="24" style="6" customWidth="1"/>
    <col min="21" max="24" width="15.77734375" style="6" customWidth="1"/>
    <col min="25" max="27" width="15.77734375" style="4" customWidth="1"/>
    <col min="28" max="16384" width="19.109375" style="4"/>
  </cols>
  <sheetData>
    <row r="1" spans="1:27" x14ac:dyDescent="0.3">
      <c r="D1" s="7"/>
    </row>
    <row r="2" spans="1:27" x14ac:dyDescent="0.3">
      <c r="C2" s="119" t="s">
        <v>211</v>
      </c>
      <c r="D2" s="10" t="s">
        <v>292</v>
      </c>
    </row>
    <row r="3" spans="1:27" x14ac:dyDescent="0.3">
      <c r="C3" s="119" t="s">
        <v>212</v>
      </c>
      <c r="D3" s="100" t="s">
        <v>210</v>
      </c>
    </row>
    <row r="4" spans="1:27" x14ac:dyDescent="0.3">
      <c r="C4" s="119" t="s">
        <v>213</v>
      </c>
      <c r="D4" s="11">
        <v>46085</v>
      </c>
      <c r="E4" s="12"/>
    </row>
    <row r="5" spans="1:27" x14ac:dyDescent="0.3">
      <c r="C5" s="120"/>
      <c r="D5" s="9"/>
    </row>
    <row r="6" spans="1:27" x14ac:dyDescent="0.3">
      <c r="C6" s="121" t="s">
        <v>214</v>
      </c>
      <c r="D6" s="122" t="s">
        <v>214</v>
      </c>
    </row>
    <row r="7" spans="1:27" ht="16.2" thickBot="1" x14ac:dyDescent="0.35">
      <c r="C7" s="121" t="s">
        <v>299</v>
      </c>
      <c r="D7" s="123" t="s">
        <v>214</v>
      </c>
    </row>
    <row r="8" spans="1:27" ht="25.05" customHeight="1" x14ac:dyDescent="0.3">
      <c r="L8" s="124" t="s">
        <v>289</v>
      </c>
      <c r="M8" s="125"/>
      <c r="N8" s="126"/>
    </row>
    <row r="9" spans="1:27" s="5" customFormat="1" ht="79.95" customHeight="1" x14ac:dyDescent="0.3">
      <c r="A9" s="17" t="s">
        <v>195</v>
      </c>
      <c r="B9" s="17" t="s">
        <v>196</v>
      </c>
      <c r="C9" s="17" t="s">
        <v>197</v>
      </c>
      <c r="D9" s="17" t="s">
        <v>198</v>
      </c>
      <c r="E9" s="17" t="s">
        <v>199</v>
      </c>
      <c r="F9" s="17" t="s">
        <v>218</v>
      </c>
      <c r="G9" s="17" t="s">
        <v>200</v>
      </c>
      <c r="H9" s="17" t="s">
        <v>201</v>
      </c>
      <c r="I9" s="17" t="s">
        <v>202</v>
      </c>
      <c r="J9" s="17" t="s">
        <v>203</v>
      </c>
      <c r="K9" s="18" t="s">
        <v>204</v>
      </c>
      <c r="L9" s="58" t="s">
        <v>257</v>
      </c>
      <c r="M9" s="59" t="s">
        <v>258</v>
      </c>
      <c r="N9" s="60" t="s">
        <v>259</v>
      </c>
      <c r="O9" s="46" t="s">
        <v>217</v>
      </c>
      <c r="P9" s="31" t="s">
        <v>217</v>
      </c>
      <c r="Q9" s="31" t="s">
        <v>301</v>
      </c>
      <c r="R9" s="31" t="s">
        <v>302</v>
      </c>
      <c r="S9" s="31" t="s">
        <v>216</v>
      </c>
    </row>
    <row r="10" spans="1:27" s="13" customFormat="1" ht="15" customHeight="1" x14ac:dyDescent="0.3">
      <c r="A10" s="19" t="s">
        <v>205</v>
      </c>
      <c r="B10" s="101" t="s">
        <v>164</v>
      </c>
      <c r="C10" s="32" t="s">
        <v>206</v>
      </c>
      <c r="D10" s="14" t="s">
        <v>179</v>
      </c>
      <c r="E10" s="20" t="s">
        <v>180</v>
      </c>
      <c r="F10" s="19">
        <v>2</v>
      </c>
      <c r="G10" s="20" t="s">
        <v>181</v>
      </c>
      <c r="H10" s="19">
        <v>15</v>
      </c>
      <c r="I10" s="19" t="s">
        <v>162</v>
      </c>
      <c r="J10" s="19">
        <v>1</v>
      </c>
      <c r="K10" s="21" t="s">
        <v>163</v>
      </c>
      <c r="L10" s="53">
        <v>1770603</v>
      </c>
      <c r="M10" s="33">
        <v>146.07</v>
      </c>
      <c r="N10" s="54">
        <v>1212150</v>
      </c>
      <c r="O10" s="47">
        <v>18000000</v>
      </c>
      <c r="P10" s="34">
        <v>13500000</v>
      </c>
      <c r="Q10" s="34">
        <f>P10</f>
        <v>13500000</v>
      </c>
      <c r="R10" s="34">
        <f>P10</f>
        <v>13500000</v>
      </c>
      <c r="S10" s="35">
        <f>Q10+R10</f>
        <v>27000000</v>
      </c>
    </row>
    <row r="11" spans="1:27" s="13" customFormat="1" ht="15" customHeight="1" x14ac:dyDescent="0.3">
      <c r="A11" s="19" t="s">
        <v>205</v>
      </c>
      <c r="B11" s="101" t="s">
        <v>164</v>
      </c>
      <c r="C11" s="32" t="s">
        <v>206</v>
      </c>
      <c r="D11" s="14" t="s">
        <v>169</v>
      </c>
      <c r="E11" s="20" t="s">
        <v>165</v>
      </c>
      <c r="F11" s="19">
        <v>2</v>
      </c>
      <c r="G11" s="20" t="s">
        <v>167</v>
      </c>
      <c r="H11" s="19">
        <v>15</v>
      </c>
      <c r="I11" s="19" t="s">
        <v>162</v>
      </c>
      <c r="J11" s="19">
        <v>1</v>
      </c>
      <c r="K11" s="21" t="s">
        <v>163</v>
      </c>
      <c r="L11" s="53">
        <v>966892</v>
      </c>
      <c r="M11" s="33">
        <v>79.77</v>
      </c>
      <c r="N11" s="54">
        <v>1212150</v>
      </c>
      <c r="O11" s="48">
        <v>8500000</v>
      </c>
      <c r="P11" s="34">
        <v>6350000</v>
      </c>
      <c r="Q11" s="34">
        <f>P11</f>
        <v>6350000</v>
      </c>
      <c r="R11" s="34">
        <f t="shared" ref="R11:R34" si="0">P11</f>
        <v>6350000</v>
      </c>
      <c r="S11" s="35">
        <f t="shared" ref="S11:S61" si="1">Q11+R11</f>
        <v>12700000</v>
      </c>
    </row>
    <row r="12" spans="1:27" s="13" customFormat="1" ht="15" customHeight="1" x14ac:dyDescent="0.3">
      <c r="A12" s="19" t="s">
        <v>205</v>
      </c>
      <c r="B12" s="101" t="s">
        <v>164</v>
      </c>
      <c r="C12" s="32" t="s">
        <v>206</v>
      </c>
      <c r="D12" s="14" t="s">
        <v>170</v>
      </c>
      <c r="E12" s="20" t="s">
        <v>165</v>
      </c>
      <c r="F12" s="19">
        <v>2</v>
      </c>
      <c r="G12" s="20" t="s">
        <v>167</v>
      </c>
      <c r="H12" s="19">
        <v>15</v>
      </c>
      <c r="I12" s="19" t="s">
        <v>162</v>
      </c>
      <c r="J12" s="19">
        <v>1</v>
      </c>
      <c r="K12" s="21" t="s">
        <v>163</v>
      </c>
      <c r="L12" s="53">
        <v>730709</v>
      </c>
      <c r="M12" s="33">
        <v>60.28</v>
      </c>
      <c r="N12" s="54">
        <v>1212150</v>
      </c>
      <c r="O12" s="48">
        <v>8500000</v>
      </c>
      <c r="P12" s="34">
        <v>6375000</v>
      </c>
      <c r="Q12" s="34">
        <f t="shared" ref="Q12:Q35" si="2">P12</f>
        <v>6375000</v>
      </c>
      <c r="R12" s="34">
        <f t="shared" si="0"/>
        <v>6375000</v>
      </c>
      <c r="S12" s="35">
        <f t="shared" si="1"/>
        <v>12750000</v>
      </c>
      <c r="V12" s="127" t="s">
        <v>290</v>
      </c>
      <c r="W12" s="127"/>
      <c r="X12" s="127"/>
      <c r="Y12" s="127"/>
      <c r="Z12" s="127"/>
    </row>
    <row r="13" spans="1:27" s="13" customFormat="1" ht="15" customHeight="1" x14ac:dyDescent="0.3">
      <c r="A13" s="19" t="s">
        <v>205</v>
      </c>
      <c r="B13" s="101" t="s">
        <v>164</v>
      </c>
      <c r="C13" s="32" t="s">
        <v>206</v>
      </c>
      <c r="D13" s="22" t="s">
        <v>175</v>
      </c>
      <c r="E13" s="23" t="s">
        <v>165</v>
      </c>
      <c r="F13" s="19">
        <v>2</v>
      </c>
      <c r="G13" s="20" t="s">
        <v>167</v>
      </c>
      <c r="H13" s="19">
        <v>15</v>
      </c>
      <c r="I13" s="19" t="s">
        <v>162</v>
      </c>
      <c r="J13" s="19">
        <v>1</v>
      </c>
      <c r="K13" s="21" t="s">
        <v>163</v>
      </c>
      <c r="L13" s="53">
        <v>981104</v>
      </c>
      <c r="M13" s="33">
        <v>80.94</v>
      </c>
      <c r="N13" s="54">
        <v>1212150</v>
      </c>
      <c r="O13" s="48">
        <v>9000000</v>
      </c>
      <c r="P13" s="34">
        <v>7020000</v>
      </c>
      <c r="Q13" s="34">
        <f t="shared" si="2"/>
        <v>7020000</v>
      </c>
      <c r="R13" s="34">
        <f t="shared" si="0"/>
        <v>7020000</v>
      </c>
      <c r="S13" s="35">
        <f t="shared" si="1"/>
        <v>14040000</v>
      </c>
    </row>
    <row r="14" spans="1:27" s="13" customFormat="1" ht="15" customHeight="1" x14ac:dyDescent="0.3">
      <c r="A14" s="19" t="s">
        <v>205</v>
      </c>
      <c r="B14" s="101" t="s">
        <v>164</v>
      </c>
      <c r="C14" s="32" t="s">
        <v>206</v>
      </c>
      <c r="D14" s="22" t="s">
        <v>192</v>
      </c>
      <c r="E14" s="23" t="s">
        <v>193</v>
      </c>
      <c r="F14" s="19">
        <v>2</v>
      </c>
      <c r="G14" s="20" t="s">
        <v>194</v>
      </c>
      <c r="H14" s="19">
        <v>15</v>
      </c>
      <c r="I14" s="19" t="s">
        <v>162</v>
      </c>
      <c r="J14" s="19">
        <v>1</v>
      </c>
      <c r="K14" s="21" t="s">
        <v>163</v>
      </c>
      <c r="L14" s="53">
        <v>881615</v>
      </c>
      <c r="M14" s="33">
        <v>72.73</v>
      </c>
      <c r="N14" s="54">
        <v>1212150</v>
      </c>
      <c r="O14" s="47">
        <v>18000000</v>
      </c>
      <c r="P14" s="34">
        <v>13500000</v>
      </c>
      <c r="Q14" s="34">
        <f t="shared" si="2"/>
        <v>13500000</v>
      </c>
      <c r="R14" s="34">
        <f t="shared" si="0"/>
        <v>13500000</v>
      </c>
      <c r="S14" s="35">
        <f t="shared" si="1"/>
        <v>27000000</v>
      </c>
      <c r="U14" s="61" t="s">
        <v>260</v>
      </c>
      <c r="V14" s="61" t="s">
        <v>261</v>
      </c>
      <c r="W14" s="61" t="s">
        <v>262</v>
      </c>
      <c r="X14" s="61" t="s">
        <v>242</v>
      </c>
      <c r="Y14" s="61" t="s">
        <v>263</v>
      </c>
      <c r="Z14" s="61" t="s">
        <v>226</v>
      </c>
      <c r="AA14" s="61" t="s">
        <v>231</v>
      </c>
    </row>
    <row r="15" spans="1:27" s="13" customFormat="1" ht="15" customHeight="1" x14ac:dyDescent="0.3">
      <c r="A15" s="19" t="s">
        <v>205</v>
      </c>
      <c r="B15" s="102" t="s">
        <v>164</v>
      </c>
      <c r="C15" s="32" t="s">
        <v>206</v>
      </c>
      <c r="D15" s="36" t="s">
        <v>235</v>
      </c>
      <c r="E15" s="37" t="s">
        <v>166</v>
      </c>
      <c r="F15" s="19">
        <v>2</v>
      </c>
      <c r="G15" s="20" t="s">
        <v>178</v>
      </c>
      <c r="H15" s="19">
        <v>15</v>
      </c>
      <c r="I15" s="19" t="s">
        <v>162</v>
      </c>
      <c r="J15" s="19">
        <v>1</v>
      </c>
      <c r="K15" s="21" t="s">
        <v>163</v>
      </c>
      <c r="L15" s="53">
        <v>2453994</v>
      </c>
      <c r="M15" s="33">
        <v>202.45</v>
      </c>
      <c r="N15" s="54">
        <v>1212150</v>
      </c>
      <c r="O15" s="47">
        <v>8000000</v>
      </c>
      <c r="P15" s="34">
        <v>5200000</v>
      </c>
      <c r="Q15" s="34">
        <f t="shared" si="2"/>
        <v>5200000</v>
      </c>
      <c r="R15" s="34">
        <f t="shared" si="0"/>
        <v>5200000</v>
      </c>
      <c r="S15" s="35">
        <f t="shared" si="1"/>
        <v>10400000</v>
      </c>
      <c r="U15" s="62" t="s">
        <v>264</v>
      </c>
      <c r="V15" s="63">
        <v>55.390586860810608</v>
      </c>
      <c r="W15" s="63">
        <v>36.009483852450387</v>
      </c>
      <c r="X15" s="63">
        <v>62.854106287674007</v>
      </c>
      <c r="Y15" s="63">
        <v>39.280345719926999</v>
      </c>
      <c r="Z15" s="63">
        <v>24.933080317976998</v>
      </c>
      <c r="AA15" s="63">
        <v>39.286038682877994</v>
      </c>
    </row>
    <row r="16" spans="1:27" s="13" customFormat="1" ht="15" customHeight="1" x14ac:dyDescent="0.3">
      <c r="A16" s="19" t="s">
        <v>205</v>
      </c>
      <c r="B16" s="102" t="s">
        <v>164</v>
      </c>
      <c r="C16" s="32" t="s">
        <v>206</v>
      </c>
      <c r="D16" s="36" t="s">
        <v>236</v>
      </c>
      <c r="E16" s="37" t="s">
        <v>166</v>
      </c>
      <c r="F16" s="19">
        <v>2</v>
      </c>
      <c r="G16" s="20" t="s">
        <v>178</v>
      </c>
      <c r="H16" s="19">
        <v>15</v>
      </c>
      <c r="I16" s="19" t="s">
        <v>162</v>
      </c>
      <c r="J16" s="19">
        <v>1</v>
      </c>
      <c r="K16" s="21" t="s">
        <v>163</v>
      </c>
      <c r="L16" s="53">
        <v>480147</v>
      </c>
      <c r="M16" s="33">
        <v>39.61</v>
      </c>
      <c r="N16" s="54">
        <v>1212150</v>
      </c>
      <c r="O16" s="47">
        <v>8000000</v>
      </c>
      <c r="P16" s="34">
        <v>5200000</v>
      </c>
      <c r="Q16" s="34">
        <f t="shared" si="2"/>
        <v>5200000</v>
      </c>
      <c r="R16" s="34">
        <f t="shared" si="0"/>
        <v>5200000</v>
      </c>
      <c r="S16" s="35">
        <f t="shared" si="1"/>
        <v>10400000</v>
      </c>
      <c r="U16" s="62" t="s">
        <v>265</v>
      </c>
      <c r="V16" s="64">
        <v>54.060168460795104</v>
      </c>
      <c r="W16" s="64">
        <v>35.212659388223592</v>
      </c>
      <c r="X16" s="64">
        <v>61.318204809419996</v>
      </c>
      <c r="Y16" s="64">
        <v>38.352193005827999</v>
      </c>
      <c r="Z16" s="64">
        <v>24.390251306771997</v>
      </c>
      <c r="AA16" s="64">
        <v>38.496314857376994</v>
      </c>
    </row>
    <row r="17" spans="1:27" s="13" customFormat="1" ht="15" customHeight="1" x14ac:dyDescent="0.3">
      <c r="A17" s="19" t="s">
        <v>205</v>
      </c>
      <c r="B17" s="103" t="s">
        <v>164</v>
      </c>
      <c r="C17" s="32" t="s">
        <v>206</v>
      </c>
      <c r="D17" s="36" t="s">
        <v>173</v>
      </c>
      <c r="E17" s="37" t="s">
        <v>166</v>
      </c>
      <c r="F17" s="19">
        <v>2</v>
      </c>
      <c r="G17" s="20" t="s">
        <v>178</v>
      </c>
      <c r="H17" s="19">
        <v>15</v>
      </c>
      <c r="I17" s="19" t="s">
        <v>162</v>
      </c>
      <c r="J17" s="19">
        <v>1</v>
      </c>
      <c r="K17" s="21" t="s">
        <v>163</v>
      </c>
      <c r="L17" s="53">
        <v>831591</v>
      </c>
      <c r="M17" s="33">
        <v>68.599999999999994</v>
      </c>
      <c r="N17" s="54">
        <v>1212150</v>
      </c>
      <c r="O17" s="47">
        <v>8000000</v>
      </c>
      <c r="P17" s="34">
        <v>6800000</v>
      </c>
      <c r="Q17" s="34">
        <f t="shared" si="2"/>
        <v>6800000</v>
      </c>
      <c r="R17" s="34">
        <f t="shared" si="0"/>
        <v>6800000</v>
      </c>
      <c r="S17" s="35">
        <f t="shared" si="1"/>
        <v>13600000</v>
      </c>
      <c r="U17" s="62" t="s">
        <v>266</v>
      </c>
      <c r="V17" s="65">
        <v>52.735478745653481</v>
      </c>
      <c r="W17" s="65">
        <v>34.408169795904961</v>
      </c>
      <c r="X17" s="65">
        <v>59.79318987435299</v>
      </c>
      <c r="Y17" s="65">
        <v>37.414851649772999</v>
      </c>
      <c r="Z17" s="65">
        <v>23.845324888164001</v>
      </c>
      <c r="AA17" s="65">
        <v>37.697102760291003</v>
      </c>
    </row>
    <row r="18" spans="1:27" s="13" customFormat="1" ht="15" customHeight="1" x14ac:dyDescent="0.3">
      <c r="A18" s="19" t="s">
        <v>205</v>
      </c>
      <c r="B18" s="102" t="s">
        <v>164</v>
      </c>
      <c r="C18" s="32" t="s">
        <v>206</v>
      </c>
      <c r="D18" s="36" t="s">
        <v>190</v>
      </c>
      <c r="E18" s="37" t="s">
        <v>166</v>
      </c>
      <c r="F18" s="19">
        <v>2</v>
      </c>
      <c r="G18" s="20" t="s">
        <v>178</v>
      </c>
      <c r="H18" s="19">
        <v>15</v>
      </c>
      <c r="I18" s="19" t="s">
        <v>162</v>
      </c>
      <c r="J18" s="19">
        <v>1</v>
      </c>
      <c r="K18" s="21" t="s">
        <v>163</v>
      </c>
      <c r="L18" s="53">
        <v>499411</v>
      </c>
      <c r="M18" s="33">
        <v>41.2</v>
      </c>
      <c r="N18" s="54">
        <v>1212150</v>
      </c>
      <c r="O18" s="47">
        <v>8000000</v>
      </c>
      <c r="P18" s="34">
        <v>5200000</v>
      </c>
      <c r="Q18" s="34">
        <f t="shared" si="2"/>
        <v>5200000</v>
      </c>
      <c r="R18" s="34">
        <f t="shared" si="0"/>
        <v>5200000</v>
      </c>
      <c r="S18" s="35">
        <f t="shared" si="1"/>
        <v>10400000</v>
      </c>
      <c r="U18" s="62" t="s">
        <v>267</v>
      </c>
      <c r="V18" s="66">
        <v>51.26748929835373</v>
      </c>
      <c r="W18" s="66">
        <v>33.589341008180817</v>
      </c>
      <c r="X18" s="66">
        <v>58.075213458210008</v>
      </c>
      <c r="Y18" s="66">
        <v>36.455637330800997</v>
      </c>
      <c r="Z18" s="66">
        <v>23.296303531292999</v>
      </c>
      <c r="AA18" s="66">
        <v>36.887103996561002</v>
      </c>
    </row>
    <row r="19" spans="1:27" s="13" customFormat="1" ht="15" customHeight="1" x14ac:dyDescent="0.3">
      <c r="A19" s="19" t="s">
        <v>205</v>
      </c>
      <c r="B19" s="102" t="s">
        <v>164</v>
      </c>
      <c r="C19" s="32" t="s">
        <v>206</v>
      </c>
      <c r="D19" s="36" t="s">
        <v>237</v>
      </c>
      <c r="E19" s="37" t="s">
        <v>166</v>
      </c>
      <c r="F19" s="19">
        <v>2</v>
      </c>
      <c r="G19" s="20" t="s">
        <v>178</v>
      </c>
      <c r="H19" s="19">
        <v>15</v>
      </c>
      <c r="I19" s="19" t="s">
        <v>162</v>
      </c>
      <c r="J19" s="19">
        <v>1</v>
      </c>
      <c r="K19" s="21" t="s">
        <v>163</v>
      </c>
      <c r="L19" s="53">
        <v>312489</v>
      </c>
      <c r="M19" s="33">
        <v>25.78</v>
      </c>
      <c r="N19" s="54">
        <v>1212150</v>
      </c>
      <c r="O19" s="47">
        <v>8000000</v>
      </c>
      <c r="P19" s="34">
        <v>6640000</v>
      </c>
      <c r="Q19" s="34">
        <f t="shared" si="2"/>
        <v>6640000</v>
      </c>
      <c r="R19" s="34">
        <f t="shared" si="0"/>
        <v>6640000</v>
      </c>
      <c r="S19" s="35">
        <f t="shared" si="1"/>
        <v>13280000</v>
      </c>
      <c r="U19" s="62" t="s">
        <v>268</v>
      </c>
      <c r="V19" s="67">
        <v>49.68159070475803</v>
      </c>
      <c r="W19" s="67">
        <v>32.74608865681914</v>
      </c>
      <c r="X19" s="67">
        <v>56.203327289303992</v>
      </c>
      <c r="Y19" s="67">
        <v>35.456772024258001</v>
      </c>
      <c r="Z19" s="67">
        <v>22.739491804067999</v>
      </c>
      <c r="AA19" s="67">
        <v>36.062822887182001</v>
      </c>
    </row>
    <row r="20" spans="1:27" s="13" customFormat="1" ht="15" customHeight="1" x14ac:dyDescent="0.3">
      <c r="A20" s="19" t="s">
        <v>205</v>
      </c>
      <c r="B20" s="102" t="s">
        <v>164</v>
      </c>
      <c r="C20" s="32" t="s">
        <v>206</v>
      </c>
      <c r="D20" s="36" t="s">
        <v>238</v>
      </c>
      <c r="E20" s="37" t="s">
        <v>166</v>
      </c>
      <c r="F20" s="19">
        <v>2</v>
      </c>
      <c r="G20" s="20" t="s">
        <v>178</v>
      </c>
      <c r="H20" s="19">
        <v>15</v>
      </c>
      <c r="I20" s="19" t="s">
        <v>162</v>
      </c>
      <c r="J20" s="19">
        <v>1</v>
      </c>
      <c r="K20" s="21" t="s">
        <v>163</v>
      </c>
      <c r="L20" s="53">
        <v>648517</v>
      </c>
      <c r="M20" s="33">
        <v>53.5</v>
      </c>
      <c r="N20" s="54">
        <v>1212150</v>
      </c>
      <c r="O20" s="47">
        <v>8000000</v>
      </c>
      <c r="P20" s="34">
        <v>6640000</v>
      </c>
      <c r="Q20" s="34">
        <f t="shared" si="2"/>
        <v>6640000</v>
      </c>
      <c r="R20" s="34">
        <f t="shared" si="0"/>
        <v>6640000</v>
      </c>
      <c r="S20" s="35">
        <f t="shared" si="1"/>
        <v>13280000</v>
      </c>
      <c r="U20" s="62" t="s">
        <v>269</v>
      </c>
      <c r="V20" s="68">
        <v>44.102002541110849</v>
      </c>
      <c r="W20" s="68">
        <v>29.918059844323377</v>
      </c>
      <c r="X20" s="68">
        <v>49.564133969921997</v>
      </c>
      <c r="Y20" s="68">
        <v>32.011930179644999</v>
      </c>
      <c r="Z20" s="68">
        <v>20.949804030050998</v>
      </c>
      <c r="AA20" s="68">
        <v>33.380538448373997</v>
      </c>
    </row>
    <row r="21" spans="1:27" s="13" customFormat="1" ht="15" customHeight="1" x14ac:dyDescent="0.3">
      <c r="A21" s="19" t="s">
        <v>205</v>
      </c>
      <c r="B21" s="102" t="s">
        <v>164</v>
      </c>
      <c r="C21" s="32" t="s">
        <v>206</v>
      </c>
      <c r="D21" s="36" t="s">
        <v>176</v>
      </c>
      <c r="E21" s="37" t="s">
        <v>177</v>
      </c>
      <c r="F21" s="19">
        <v>2</v>
      </c>
      <c r="G21" s="20" t="s">
        <v>178</v>
      </c>
      <c r="H21" s="19">
        <v>15</v>
      </c>
      <c r="I21" s="19" t="s">
        <v>162</v>
      </c>
      <c r="J21" s="19">
        <v>1</v>
      </c>
      <c r="K21" s="21" t="s">
        <v>163</v>
      </c>
      <c r="L21" s="53">
        <v>461499</v>
      </c>
      <c r="M21" s="33">
        <v>38.07</v>
      </c>
      <c r="N21" s="54">
        <v>1212150</v>
      </c>
      <c r="O21" s="47">
        <v>8000000</v>
      </c>
      <c r="P21" s="34">
        <v>6640000</v>
      </c>
      <c r="Q21" s="34">
        <f t="shared" si="2"/>
        <v>6640000</v>
      </c>
      <c r="R21" s="34">
        <f t="shared" si="0"/>
        <v>6640000</v>
      </c>
      <c r="S21" s="35">
        <f t="shared" si="1"/>
        <v>13280000</v>
      </c>
      <c r="U21" s="62" t="s">
        <v>270</v>
      </c>
      <c r="V21" s="69">
        <v>39.792246837175163</v>
      </c>
      <c r="W21" s="69">
        <v>27.636002953654405</v>
      </c>
      <c r="X21" s="69">
        <v>44.473526449754999</v>
      </c>
      <c r="Y21" s="69">
        <v>29.251742037296996</v>
      </c>
      <c r="Z21" s="69">
        <v>19.58479131687</v>
      </c>
      <c r="AA21" s="69">
        <v>31.129920428411999</v>
      </c>
    </row>
    <row r="22" spans="1:27" s="13" customFormat="1" ht="15" customHeight="1" x14ac:dyDescent="0.3">
      <c r="A22" s="19" t="s">
        <v>205</v>
      </c>
      <c r="B22" s="102" t="s">
        <v>164</v>
      </c>
      <c r="C22" s="32" t="s">
        <v>206</v>
      </c>
      <c r="D22" s="36" t="s">
        <v>239</v>
      </c>
      <c r="E22" s="37" t="s">
        <v>240</v>
      </c>
      <c r="F22" s="19">
        <v>2</v>
      </c>
      <c r="G22" s="23" t="s">
        <v>252</v>
      </c>
      <c r="H22" s="19">
        <v>15</v>
      </c>
      <c r="I22" s="19" t="s">
        <v>162</v>
      </c>
      <c r="J22" s="19">
        <v>1</v>
      </c>
      <c r="K22" s="21" t="s">
        <v>163</v>
      </c>
      <c r="L22" s="53">
        <v>412557</v>
      </c>
      <c r="M22" s="33">
        <v>34.04</v>
      </c>
      <c r="N22" s="54">
        <v>1212150</v>
      </c>
      <c r="O22" s="48">
        <v>14000000</v>
      </c>
      <c r="P22" s="34">
        <v>11620000</v>
      </c>
      <c r="Q22" s="34">
        <f t="shared" si="2"/>
        <v>11620000</v>
      </c>
      <c r="R22" s="34">
        <f t="shared" si="0"/>
        <v>11620000</v>
      </c>
      <c r="S22" s="35">
        <f t="shared" si="1"/>
        <v>23240000</v>
      </c>
      <c r="U22" s="62" t="s">
        <v>271</v>
      </c>
      <c r="V22" s="70">
        <v>35.495430457288215</v>
      </c>
      <c r="W22" s="70">
        <v>24.965025185045253</v>
      </c>
      <c r="X22" s="70">
        <v>39.550611645284995</v>
      </c>
      <c r="Y22" s="70">
        <v>26.218091920214999</v>
      </c>
      <c r="Z22" s="70">
        <v>18.066767739812999</v>
      </c>
      <c r="AA22" s="70">
        <v>28.150303521093001</v>
      </c>
    </row>
    <row r="23" spans="1:27" s="13" customFormat="1" ht="15" customHeight="1" x14ac:dyDescent="0.3">
      <c r="A23" s="19" t="s">
        <v>205</v>
      </c>
      <c r="B23" s="102" t="s">
        <v>164</v>
      </c>
      <c r="C23" s="32" t="s">
        <v>206</v>
      </c>
      <c r="D23" s="36" t="s">
        <v>241</v>
      </c>
      <c r="E23" s="37" t="s">
        <v>165</v>
      </c>
      <c r="F23" s="19">
        <v>2</v>
      </c>
      <c r="G23" s="20" t="s">
        <v>178</v>
      </c>
      <c r="H23" s="19">
        <v>15</v>
      </c>
      <c r="I23" s="19" t="s">
        <v>162</v>
      </c>
      <c r="J23" s="19">
        <v>1</v>
      </c>
      <c r="K23" s="21" t="s">
        <v>163</v>
      </c>
      <c r="L23" s="53">
        <v>918047</v>
      </c>
      <c r="M23" s="33">
        <v>75.739999999999995</v>
      </c>
      <c r="N23" s="54">
        <v>1212150</v>
      </c>
      <c r="O23" s="48">
        <v>10000000</v>
      </c>
      <c r="P23" s="34">
        <v>8300000</v>
      </c>
      <c r="Q23" s="34">
        <f t="shared" si="2"/>
        <v>8300000</v>
      </c>
      <c r="R23" s="34">
        <f t="shared" si="0"/>
        <v>8300000</v>
      </c>
      <c r="S23" s="35">
        <f t="shared" si="1"/>
        <v>16600000</v>
      </c>
      <c r="U23" s="62" t="s">
        <v>272</v>
      </c>
      <c r="V23" s="71">
        <v>31.397376910505187</v>
      </c>
      <c r="W23" s="71">
        <v>21.958297146914894</v>
      </c>
      <c r="X23" s="71">
        <v>35.032296716508</v>
      </c>
      <c r="Y23" s="71">
        <v>23.089159581110998</v>
      </c>
      <c r="Z23" s="71">
        <v>16.428692558069997</v>
      </c>
      <c r="AA23" s="71">
        <v>24.327029455053001</v>
      </c>
    </row>
    <row r="24" spans="1:27" s="13" customFormat="1" ht="15" customHeight="1" x14ac:dyDescent="0.3">
      <c r="A24" s="19" t="s">
        <v>205</v>
      </c>
      <c r="B24" s="102" t="s">
        <v>164</v>
      </c>
      <c r="C24" s="32" t="s">
        <v>206</v>
      </c>
      <c r="D24" s="22" t="s">
        <v>168</v>
      </c>
      <c r="E24" s="38" t="s">
        <v>165</v>
      </c>
      <c r="F24" s="19">
        <v>2</v>
      </c>
      <c r="G24" s="20" t="s">
        <v>167</v>
      </c>
      <c r="H24" s="19">
        <v>15</v>
      </c>
      <c r="I24" s="19" t="s">
        <v>162</v>
      </c>
      <c r="J24" s="19">
        <v>1</v>
      </c>
      <c r="K24" s="21" t="s">
        <v>163</v>
      </c>
      <c r="L24" s="53">
        <v>361453</v>
      </c>
      <c r="M24" s="33">
        <v>29.82</v>
      </c>
      <c r="N24" s="54">
        <v>1212150</v>
      </c>
      <c r="O24" s="48">
        <v>8500000</v>
      </c>
      <c r="P24" s="34">
        <v>6630000</v>
      </c>
      <c r="Q24" s="34">
        <v>5500000</v>
      </c>
      <c r="R24" s="34">
        <f t="shared" si="0"/>
        <v>6630000</v>
      </c>
      <c r="S24" s="35">
        <f t="shared" si="1"/>
        <v>12130000</v>
      </c>
      <c r="U24" s="62" t="s">
        <v>273</v>
      </c>
      <c r="V24" s="72">
        <v>29.414973151745482</v>
      </c>
      <c r="W24" s="72">
        <v>20.357526627678446</v>
      </c>
      <c r="X24" s="72">
        <v>32.902928819747999</v>
      </c>
      <c r="Y24" s="72">
        <v>21.500523288152998</v>
      </c>
      <c r="Z24" s="72">
        <v>15.571751819129997</v>
      </c>
      <c r="AA24" s="72">
        <v>22.167798471936003</v>
      </c>
    </row>
    <row r="25" spans="1:27" s="13" customFormat="1" ht="15" customHeight="1" x14ac:dyDescent="0.3">
      <c r="A25" s="19" t="s">
        <v>205</v>
      </c>
      <c r="B25" s="102" t="s">
        <v>164</v>
      </c>
      <c r="C25" s="32" t="s">
        <v>206</v>
      </c>
      <c r="D25" s="36" t="s">
        <v>243</v>
      </c>
      <c r="E25" s="37" t="s">
        <v>166</v>
      </c>
      <c r="F25" s="19">
        <v>2</v>
      </c>
      <c r="G25" s="20" t="s">
        <v>178</v>
      </c>
      <c r="H25" s="19">
        <v>15</v>
      </c>
      <c r="I25" s="19" t="s">
        <v>162</v>
      </c>
      <c r="J25" s="19">
        <v>1</v>
      </c>
      <c r="K25" s="21" t="s">
        <v>163</v>
      </c>
      <c r="L25" s="53">
        <v>511407</v>
      </c>
      <c r="M25" s="33">
        <v>42.19</v>
      </c>
      <c r="N25" s="54">
        <v>1212150</v>
      </c>
      <c r="O25" s="47">
        <v>8000000</v>
      </c>
      <c r="P25" s="34">
        <v>6640000</v>
      </c>
      <c r="Q25" s="34">
        <f t="shared" si="2"/>
        <v>6640000</v>
      </c>
      <c r="R25" s="34">
        <f t="shared" si="0"/>
        <v>6640000</v>
      </c>
      <c r="S25" s="35">
        <f t="shared" si="1"/>
        <v>13280000</v>
      </c>
      <c r="U25" s="62" t="s">
        <v>274</v>
      </c>
      <c r="V25" s="73">
        <v>27.487952593827398</v>
      </c>
      <c r="W25" s="73">
        <v>18.719423411863559</v>
      </c>
      <c r="X25" s="73">
        <v>30.864648330204002</v>
      </c>
      <c r="Y25" s="73">
        <v>19.896805637202</v>
      </c>
      <c r="Z25" s="73">
        <v>14.681452314827997</v>
      </c>
      <c r="AA25" s="73">
        <v>19.935857365515002</v>
      </c>
    </row>
    <row r="26" spans="1:27" s="13" customFormat="1" ht="15" customHeight="1" x14ac:dyDescent="0.3">
      <c r="A26" s="19" t="s">
        <v>205</v>
      </c>
      <c r="B26" s="102" t="s">
        <v>164</v>
      </c>
      <c r="C26" s="36" t="s">
        <v>234</v>
      </c>
      <c r="D26" s="36" t="s">
        <v>256</v>
      </c>
      <c r="E26" s="37" t="s">
        <v>166</v>
      </c>
      <c r="F26" s="19">
        <v>2</v>
      </c>
      <c r="G26" s="20" t="s">
        <v>178</v>
      </c>
      <c r="H26" s="19">
        <v>15</v>
      </c>
      <c r="I26" s="19" t="s">
        <v>162</v>
      </c>
      <c r="J26" s="19">
        <v>1</v>
      </c>
      <c r="K26" s="21" t="s">
        <v>163</v>
      </c>
      <c r="L26" s="53">
        <v>105630</v>
      </c>
      <c r="M26" s="33">
        <v>8.7100000000000009</v>
      </c>
      <c r="N26" s="54">
        <v>1212150</v>
      </c>
      <c r="O26" s="48">
        <v>8000000</v>
      </c>
      <c r="P26" s="34">
        <v>6000000</v>
      </c>
      <c r="Q26" s="34">
        <f t="shared" ref="Q26" si="3">P26</f>
        <v>6000000</v>
      </c>
      <c r="R26" s="34">
        <f t="shared" ref="R26" si="4">P26</f>
        <v>6000000</v>
      </c>
      <c r="S26" s="35">
        <f t="shared" ref="S26" si="5">Q26+R26</f>
        <v>12000000</v>
      </c>
      <c r="U26" s="62" t="s">
        <v>275</v>
      </c>
      <c r="V26" s="74">
        <v>23.892267651409643</v>
      </c>
      <c r="W26" s="74">
        <v>15.458232617711255</v>
      </c>
      <c r="X26" s="74">
        <v>27.140152165191001</v>
      </c>
      <c r="Y26" s="74">
        <v>16.707447989582999</v>
      </c>
      <c r="Z26" s="74">
        <v>12.761525528738998</v>
      </c>
      <c r="AA26" s="74">
        <v>15.59472342402</v>
      </c>
    </row>
    <row r="27" spans="1:27" s="13" customFormat="1" ht="15" customHeight="1" x14ac:dyDescent="0.3">
      <c r="A27" s="19" t="s">
        <v>205</v>
      </c>
      <c r="B27" s="104" t="s">
        <v>164</v>
      </c>
      <c r="C27" s="32" t="s">
        <v>206</v>
      </c>
      <c r="D27" s="39" t="s">
        <v>244</v>
      </c>
      <c r="E27" s="40" t="s">
        <v>245</v>
      </c>
      <c r="F27" s="19">
        <v>2</v>
      </c>
      <c r="G27" s="23" t="s">
        <v>174</v>
      </c>
      <c r="H27" s="19">
        <v>15</v>
      </c>
      <c r="I27" s="19" t="s">
        <v>162</v>
      </c>
      <c r="J27" s="19">
        <v>1</v>
      </c>
      <c r="K27" s="21" t="s">
        <v>163</v>
      </c>
      <c r="L27" s="53">
        <v>568440</v>
      </c>
      <c r="M27" s="33">
        <v>46.9</v>
      </c>
      <c r="N27" s="54">
        <v>1212150</v>
      </c>
      <c r="O27" s="47">
        <v>8000000</v>
      </c>
      <c r="P27" s="34">
        <v>6640000</v>
      </c>
      <c r="Q27" s="34">
        <f t="shared" si="2"/>
        <v>6640000</v>
      </c>
      <c r="R27" s="34">
        <f t="shared" si="0"/>
        <v>6640000</v>
      </c>
      <c r="S27" s="35">
        <f t="shared" si="1"/>
        <v>13280000</v>
      </c>
      <c r="U27" s="62" t="s">
        <v>276</v>
      </c>
      <c r="V27" s="75">
        <v>20.732473731426342</v>
      </c>
      <c r="W27" s="75">
        <v>12.460278299642267</v>
      </c>
      <c r="X27" s="75">
        <v>23.918035011467996</v>
      </c>
      <c r="Y27" s="75">
        <v>13.747207131605998</v>
      </c>
      <c r="Z27" s="75">
        <v>10.639148989989</v>
      </c>
      <c r="AA27" s="75">
        <v>11.905184049056999</v>
      </c>
    </row>
    <row r="28" spans="1:27" s="13" customFormat="1" ht="15" customHeight="1" x14ac:dyDescent="0.3">
      <c r="A28" s="19" t="s">
        <v>205</v>
      </c>
      <c r="B28" s="102" t="s">
        <v>164</v>
      </c>
      <c r="C28" s="32" t="s">
        <v>206</v>
      </c>
      <c r="D28" s="36" t="s">
        <v>172</v>
      </c>
      <c r="E28" s="37" t="s">
        <v>166</v>
      </c>
      <c r="F28" s="19">
        <v>2</v>
      </c>
      <c r="G28" s="20" t="s">
        <v>178</v>
      </c>
      <c r="H28" s="19">
        <v>15</v>
      </c>
      <c r="I28" s="19" t="s">
        <v>162</v>
      </c>
      <c r="J28" s="19">
        <v>1</v>
      </c>
      <c r="K28" s="21" t="s">
        <v>163</v>
      </c>
      <c r="L28" s="53">
        <v>816664</v>
      </c>
      <c r="M28" s="33">
        <v>67.37</v>
      </c>
      <c r="N28" s="54">
        <v>1212150</v>
      </c>
      <c r="O28" s="47">
        <v>8000000</v>
      </c>
      <c r="P28" s="34">
        <v>6800000</v>
      </c>
      <c r="Q28" s="34">
        <f t="shared" si="2"/>
        <v>6800000</v>
      </c>
      <c r="R28" s="34">
        <f t="shared" si="0"/>
        <v>6800000</v>
      </c>
      <c r="S28" s="35">
        <f t="shared" si="1"/>
        <v>13600000</v>
      </c>
      <c r="U28" s="62" t="s">
        <v>277</v>
      </c>
      <c r="V28" s="76">
        <v>14.418649041099604</v>
      </c>
      <c r="W28" s="76">
        <v>6.9926604913552319</v>
      </c>
      <c r="X28" s="76">
        <v>17.278342309371002</v>
      </c>
      <c r="Y28" s="76">
        <v>8.4071080070249984</v>
      </c>
      <c r="Z28" s="76">
        <v>5.391635420769</v>
      </c>
      <c r="AA28" s="76">
        <v>6.091370481027</v>
      </c>
    </row>
    <row r="29" spans="1:27" s="13" customFormat="1" ht="15" customHeight="1" x14ac:dyDescent="0.3">
      <c r="A29" s="19" t="s">
        <v>205</v>
      </c>
      <c r="B29" s="102" t="s">
        <v>164</v>
      </c>
      <c r="C29" s="32" t="s">
        <v>206</v>
      </c>
      <c r="D29" s="36" t="s">
        <v>191</v>
      </c>
      <c r="E29" s="37" t="s">
        <v>166</v>
      </c>
      <c r="F29" s="19">
        <v>2</v>
      </c>
      <c r="G29" s="20" t="s">
        <v>178</v>
      </c>
      <c r="H29" s="19">
        <v>15</v>
      </c>
      <c r="I29" s="19" t="s">
        <v>162</v>
      </c>
      <c r="J29" s="19">
        <v>1</v>
      </c>
      <c r="K29" s="21" t="s">
        <v>163</v>
      </c>
      <c r="L29" s="53">
        <v>352445</v>
      </c>
      <c r="M29" s="33">
        <v>29.08</v>
      </c>
      <c r="N29" s="54">
        <v>1212150</v>
      </c>
      <c r="O29" s="47">
        <v>8000000</v>
      </c>
      <c r="P29" s="34">
        <v>6800000</v>
      </c>
      <c r="Q29" s="34">
        <f t="shared" si="2"/>
        <v>6800000</v>
      </c>
      <c r="R29" s="34">
        <f t="shared" si="0"/>
        <v>6800000</v>
      </c>
      <c r="S29" s="35">
        <f t="shared" si="1"/>
        <v>13600000</v>
      </c>
      <c r="U29" s="62" t="s">
        <v>278</v>
      </c>
      <c r="V29" s="77">
        <v>9.5367070357622783</v>
      </c>
      <c r="W29" s="77">
        <v>3.8220181585766486</v>
      </c>
      <c r="X29" s="77">
        <v>11.737391456816999</v>
      </c>
      <c r="Y29" s="77">
        <v>5.1915827051399992</v>
      </c>
      <c r="Z29" s="77">
        <v>2.4397841924039998</v>
      </c>
      <c r="AA29" s="77">
        <v>2.8272053027009996</v>
      </c>
    </row>
    <row r="30" spans="1:27" s="13" customFormat="1" ht="15" customHeight="1" x14ac:dyDescent="0.3">
      <c r="A30" s="19" t="s">
        <v>205</v>
      </c>
      <c r="B30" s="102" t="s">
        <v>164</v>
      </c>
      <c r="C30" s="32" t="s">
        <v>206</v>
      </c>
      <c r="D30" s="22" t="s">
        <v>246</v>
      </c>
      <c r="E30" s="38" t="s">
        <v>166</v>
      </c>
      <c r="F30" s="19">
        <v>2</v>
      </c>
      <c r="G30" s="20" t="s">
        <v>178</v>
      </c>
      <c r="H30" s="19">
        <v>15</v>
      </c>
      <c r="I30" s="19" t="s">
        <v>162</v>
      </c>
      <c r="J30" s="19">
        <v>1</v>
      </c>
      <c r="K30" s="21" t="s">
        <v>163</v>
      </c>
      <c r="L30" s="53">
        <v>1006036</v>
      </c>
      <c r="M30" s="33">
        <v>83</v>
      </c>
      <c r="N30" s="54">
        <v>1212150</v>
      </c>
      <c r="O30" s="48">
        <v>7500000</v>
      </c>
      <c r="P30" s="34">
        <v>6000000</v>
      </c>
      <c r="Q30" s="34">
        <f t="shared" si="2"/>
        <v>6000000</v>
      </c>
      <c r="R30" s="34">
        <f t="shared" si="0"/>
        <v>6000000</v>
      </c>
      <c r="S30" s="35">
        <f t="shared" si="1"/>
        <v>12000000</v>
      </c>
      <c r="U30" s="62" t="s">
        <v>280</v>
      </c>
      <c r="V30" s="78">
        <v>1.4688778095724928</v>
      </c>
      <c r="W30" s="78">
        <v>0.2976037529635599</v>
      </c>
      <c r="X30" s="78">
        <v>1.9199267860890001</v>
      </c>
      <c r="Y30" s="78">
        <v>0.53413975196399999</v>
      </c>
      <c r="Z30" s="78">
        <v>0.23191333284599996</v>
      </c>
      <c r="AA30" s="78">
        <v>0</v>
      </c>
    </row>
    <row r="31" spans="1:27" s="13" customFormat="1" ht="15" customHeight="1" x14ac:dyDescent="0.3">
      <c r="A31" s="19" t="s">
        <v>205</v>
      </c>
      <c r="B31" s="102" t="s">
        <v>164</v>
      </c>
      <c r="C31" s="32" t="s">
        <v>206</v>
      </c>
      <c r="D31" s="36" t="s">
        <v>247</v>
      </c>
      <c r="E31" s="37" t="s">
        <v>166</v>
      </c>
      <c r="F31" s="19">
        <v>2</v>
      </c>
      <c r="G31" s="20" t="s">
        <v>178</v>
      </c>
      <c r="H31" s="19">
        <v>15</v>
      </c>
      <c r="I31" s="19" t="s">
        <v>162</v>
      </c>
      <c r="J31" s="19">
        <v>1</v>
      </c>
      <c r="K31" s="21" t="s">
        <v>163</v>
      </c>
      <c r="L31" s="53">
        <v>530843</v>
      </c>
      <c r="M31" s="33">
        <v>43.79</v>
      </c>
      <c r="N31" s="54">
        <v>1212150</v>
      </c>
      <c r="O31" s="48">
        <v>8000000</v>
      </c>
      <c r="P31" s="34">
        <v>6800000</v>
      </c>
      <c r="Q31" s="34">
        <f t="shared" si="2"/>
        <v>6800000</v>
      </c>
      <c r="R31" s="34">
        <f t="shared" si="0"/>
        <v>6800000</v>
      </c>
      <c r="S31" s="35">
        <f t="shared" ref="S31:S34" si="6">Q31+R31</f>
        <v>13600000</v>
      </c>
      <c r="U31" s="62" t="s">
        <v>281</v>
      </c>
      <c r="V31" s="79">
        <v>0.51400230974453909</v>
      </c>
      <c r="W31" s="79">
        <v>7.3711458235070887E-2</v>
      </c>
      <c r="X31" s="79">
        <v>0.68355506029199997</v>
      </c>
      <c r="Y31" s="79">
        <v>0.13633148119499999</v>
      </c>
      <c r="Z31" s="79">
        <v>4.9339012241999991E-2</v>
      </c>
      <c r="AA31" s="79">
        <v>0</v>
      </c>
    </row>
    <row r="32" spans="1:27" s="13" customFormat="1" ht="15" customHeight="1" x14ac:dyDescent="0.3">
      <c r="A32" s="19" t="s">
        <v>205</v>
      </c>
      <c r="B32" s="102" t="s">
        <v>164</v>
      </c>
      <c r="C32" s="32" t="s">
        <v>206</v>
      </c>
      <c r="D32" s="36" t="s">
        <v>248</v>
      </c>
      <c r="E32" s="37" t="s">
        <v>166</v>
      </c>
      <c r="F32" s="19">
        <v>2</v>
      </c>
      <c r="G32" s="20" t="s">
        <v>178</v>
      </c>
      <c r="H32" s="19">
        <v>15</v>
      </c>
      <c r="I32" s="19" t="s">
        <v>162</v>
      </c>
      <c r="J32" s="19">
        <v>1</v>
      </c>
      <c r="K32" s="21" t="s">
        <v>163</v>
      </c>
      <c r="L32" s="53">
        <v>488954</v>
      </c>
      <c r="M32" s="33">
        <v>40.340000000000003</v>
      </c>
      <c r="N32" s="54">
        <v>1212150</v>
      </c>
      <c r="O32" s="48">
        <v>8000000</v>
      </c>
      <c r="P32" s="34">
        <v>6800000</v>
      </c>
      <c r="Q32" s="34">
        <f t="shared" si="2"/>
        <v>6800000</v>
      </c>
      <c r="R32" s="34">
        <f t="shared" si="0"/>
        <v>6800000</v>
      </c>
      <c r="S32" s="35">
        <f t="shared" si="6"/>
        <v>13600000</v>
      </c>
      <c r="U32" s="62" t="s">
        <v>257</v>
      </c>
      <c r="V32" s="80">
        <v>26125262</v>
      </c>
      <c r="W32" s="80">
        <v>3227517</v>
      </c>
      <c r="X32" s="80">
        <v>22897745</v>
      </c>
      <c r="Y32" s="80">
        <v>1666954</v>
      </c>
      <c r="Z32" s="80">
        <v>629742</v>
      </c>
      <c r="AA32" s="80">
        <v>930821</v>
      </c>
    </row>
    <row r="33" spans="1:27" s="13" customFormat="1" ht="15" customHeight="1" x14ac:dyDescent="0.3">
      <c r="A33" s="19" t="s">
        <v>205</v>
      </c>
      <c r="B33" s="102" t="s">
        <v>164</v>
      </c>
      <c r="C33" s="32" t="s">
        <v>206</v>
      </c>
      <c r="D33" s="36" t="s">
        <v>249</v>
      </c>
      <c r="E33" s="37" t="s">
        <v>166</v>
      </c>
      <c r="F33" s="19">
        <v>2</v>
      </c>
      <c r="G33" s="20" t="s">
        <v>178</v>
      </c>
      <c r="H33" s="19">
        <v>15</v>
      </c>
      <c r="I33" s="19" t="s">
        <v>162</v>
      </c>
      <c r="J33" s="19">
        <v>1</v>
      </c>
      <c r="K33" s="21" t="s">
        <v>163</v>
      </c>
      <c r="L33" s="53">
        <v>394029</v>
      </c>
      <c r="M33" s="33">
        <v>32.51</v>
      </c>
      <c r="N33" s="54">
        <v>1212150</v>
      </c>
      <c r="O33" s="48">
        <v>8000000</v>
      </c>
      <c r="P33" s="34">
        <v>6800000</v>
      </c>
      <c r="Q33" s="34">
        <f t="shared" si="2"/>
        <v>6800000</v>
      </c>
      <c r="R33" s="34">
        <f t="shared" si="0"/>
        <v>6800000</v>
      </c>
      <c r="S33" s="35">
        <f t="shared" si="6"/>
        <v>13600000</v>
      </c>
      <c r="U33" s="62" t="s">
        <v>258</v>
      </c>
      <c r="V33" s="80">
        <v>1556.0569168642121</v>
      </c>
      <c r="W33" s="80">
        <v>691.42805115790827</v>
      </c>
      <c r="X33" s="80">
        <v>1889.0190982964155</v>
      </c>
      <c r="Y33" s="80">
        <v>779.50048866256111</v>
      </c>
      <c r="Z33" s="80">
        <v>591.44032458018705</v>
      </c>
      <c r="AA33" s="80">
        <v>635.52452804424263</v>
      </c>
    </row>
    <row r="34" spans="1:27" s="13" customFormat="1" ht="15" customHeight="1" x14ac:dyDescent="0.3">
      <c r="A34" s="19" t="s">
        <v>205</v>
      </c>
      <c r="B34" s="102" t="s">
        <v>164</v>
      </c>
      <c r="C34" s="32" t="s">
        <v>206</v>
      </c>
      <c r="D34" s="36" t="s">
        <v>250</v>
      </c>
      <c r="E34" s="37" t="s">
        <v>251</v>
      </c>
      <c r="F34" s="19">
        <v>2</v>
      </c>
      <c r="G34" s="23" t="s">
        <v>171</v>
      </c>
      <c r="H34" s="19">
        <v>15</v>
      </c>
      <c r="I34" s="19" t="s">
        <v>162</v>
      </c>
      <c r="J34" s="19">
        <v>1</v>
      </c>
      <c r="K34" s="21" t="s">
        <v>163</v>
      </c>
      <c r="L34" s="53">
        <v>144895</v>
      </c>
      <c r="M34" s="33">
        <v>11.95</v>
      </c>
      <c r="N34" s="54">
        <v>1212150</v>
      </c>
      <c r="O34" s="48">
        <v>8000000</v>
      </c>
      <c r="P34" s="34">
        <v>6800000</v>
      </c>
      <c r="Q34" s="34">
        <f t="shared" si="2"/>
        <v>6800000</v>
      </c>
      <c r="R34" s="34">
        <f t="shared" si="0"/>
        <v>6800000</v>
      </c>
      <c r="S34" s="35">
        <f t="shared" si="6"/>
        <v>13600000</v>
      </c>
      <c r="U34" s="62" t="s">
        <v>259</v>
      </c>
      <c r="V34" s="80">
        <v>1678940</v>
      </c>
      <c r="W34" s="80">
        <v>466790</v>
      </c>
      <c r="X34" s="80">
        <v>1212150</v>
      </c>
      <c r="Y34" s="80">
        <v>213849</v>
      </c>
      <c r="Z34" s="80">
        <v>106476</v>
      </c>
      <c r="AA34" s="80">
        <v>146465</v>
      </c>
    </row>
    <row r="35" spans="1:27" s="13" customFormat="1" ht="15" customHeight="1" x14ac:dyDescent="0.3">
      <c r="A35" s="19" t="s">
        <v>205</v>
      </c>
      <c r="B35" s="16" t="s">
        <v>164</v>
      </c>
      <c r="C35" s="32" t="s">
        <v>206</v>
      </c>
      <c r="D35" s="42" t="s">
        <v>253</v>
      </c>
      <c r="E35" s="42" t="s">
        <v>254</v>
      </c>
      <c r="F35" s="19">
        <v>2</v>
      </c>
      <c r="G35" s="23" t="s">
        <v>255</v>
      </c>
      <c r="H35" s="19">
        <v>15</v>
      </c>
      <c r="I35" s="19" t="s">
        <v>162</v>
      </c>
      <c r="J35" s="19">
        <v>1</v>
      </c>
      <c r="K35" s="21" t="s">
        <v>297</v>
      </c>
      <c r="L35" s="53">
        <v>3770833</v>
      </c>
      <c r="M35" s="33">
        <v>311.08999999999997</v>
      </c>
      <c r="N35" s="54">
        <v>1212150</v>
      </c>
      <c r="O35" s="48">
        <v>57300000</v>
      </c>
      <c r="P35" s="34">
        <v>48132000</v>
      </c>
      <c r="Q35" s="34">
        <f t="shared" si="2"/>
        <v>48132000</v>
      </c>
      <c r="R35" s="34">
        <f t="shared" ref="R35" si="7">P35</f>
        <v>48132000</v>
      </c>
      <c r="S35" s="35">
        <f t="shared" ref="S35" si="8">Q35+R35</f>
        <v>96264000</v>
      </c>
    </row>
    <row r="36" spans="1:27" s="13" customFormat="1" ht="15" customHeight="1" x14ac:dyDescent="0.3">
      <c r="A36" s="19" t="s">
        <v>205</v>
      </c>
      <c r="B36" s="116" t="s">
        <v>164</v>
      </c>
      <c r="C36" s="32" t="s">
        <v>206</v>
      </c>
      <c r="D36" s="42" t="s">
        <v>294</v>
      </c>
      <c r="E36" s="42" t="s">
        <v>166</v>
      </c>
      <c r="F36" s="19">
        <v>2</v>
      </c>
      <c r="G36" s="23" t="s">
        <v>295</v>
      </c>
      <c r="H36" s="19">
        <v>15</v>
      </c>
      <c r="I36" s="19" t="s">
        <v>162</v>
      </c>
      <c r="J36" s="19">
        <v>1</v>
      </c>
      <c r="K36" s="21" t="s">
        <v>297</v>
      </c>
      <c r="L36" s="53">
        <v>539312</v>
      </c>
      <c r="M36" s="33">
        <v>44.49</v>
      </c>
      <c r="N36" s="54">
        <v>1212150</v>
      </c>
      <c r="O36" s="48">
        <v>8000000</v>
      </c>
      <c r="P36" s="34">
        <v>5120000</v>
      </c>
      <c r="Q36" s="34">
        <f t="shared" ref="Q36" si="9">P36</f>
        <v>5120000</v>
      </c>
      <c r="R36" s="34">
        <f t="shared" ref="R36" si="10">P36</f>
        <v>5120000</v>
      </c>
      <c r="S36" s="35">
        <f t="shared" ref="S36" si="11">Q36+R36</f>
        <v>10240000</v>
      </c>
    </row>
    <row r="37" spans="1:27" s="13" customFormat="1" ht="15" customHeight="1" x14ac:dyDescent="0.3">
      <c r="A37" s="19" t="s">
        <v>205</v>
      </c>
      <c r="B37" s="117" t="s">
        <v>164</v>
      </c>
      <c r="C37" s="32" t="s">
        <v>206</v>
      </c>
      <c r="D37" s="118" t="s">
        <v>298</v>
      </c>
      <c r="E37" s="118" t="s">
        <v>166</v>
      </c>
      <c r="F37" s="19">
        <v>2</v>
      </c>
      <c r="G37" s="23" t="s">
        <v>296</v>
      </c>
      <c r="H37" s="19">
        <v>15</v>
      </c>
      <c r="I37" s="19" t="s">
        <v>162</v>
      </c>
      <c r="J37" s="19">
        <v>1</v>
      </c>
      <c r="K37" s="21" t="s">
        <v>297</v>
      </c>
      <c r="L37" s="53">
        <v>957629</v>
      </c>
      <c r="M37" s="33">
        <v>79</v>
      </c>
      <c r="N37" s="54">
        <v>1212150</v>
      </c>
      <c r="O37" s="48">
        <v>11600000</v>
      </c>
      <c r="P37" s="34">
        <v>9860000</v>
      </c>
      <c r="Q37" s="34">
        <f>P37</f>
        <v>9860000</v>
      </c>
      <c r="R37" s="34">
        <f>P37</f>
        <v>9860000</v>
      </c>
      <c r="S37" s="35">
        <f>Q37+R37</f>
        <v>19720000</v>
      </c>
    </row>
    <row r="38" spans="1:27" s="13" customFormat="1" ht="15" customHeight="1" x14ac:dyDescent="0.3">
      <c r="A38" s="19" t="s">
        <v>205</v>
      </c>
      <c r="B38" s="105" t="s">
        <v>164</v>
      </c>
      <c r="C38" s="20" t="s">
        <v>207</v>
      </c>
      <c r="D38" s="41" t="s">
        <v>219</v>
      </c>
      <c r="E38" s="15" t="s">
        <v>220</v>
      </c>
      <c r="F38" s="19">
        <v>2</v>
      </c>
      <c r="G38" s="20" t="s">
        <v>178</v>
      </c>
      <c r="H38" s="19">
        <v>15</v>
      </c>
      <c r="I38" s="19" t="s">
        <v>162</v>
      </c>
      <c r="J38" s="19">
        <v>1</v>
      </c>
      <c r="K38" s="21" t="s">
        <v>297</v>
      </c>
      <c r="L38" s="53">
        <v>183318</v>
      </c>
      <c r="M38" s="33">
        <v>85.72</v>
      </c>
      <c r="N38" s="54">
        <v>213849</v>
      </c>
      <c r="O38" s="48">
        <v>5250000</v>
      </c>
      <c r="P38" s="34">
        <v>3885000</v>
      </c>
      <c r="Q38" s="34">
        <f>P38</f>
        <v>3885000</v>
      </c>
      <c r="R38" s="34">
        <f>P38</f>
        <v>3885000</v>
      </c>
      <c r="S38" s="35">
        <f t="shared" si="1"/>
        <v>7770000</v>
      </c>
    </row>
    <row r="39" spans="1:27" s="13" customFormat="1" ht="15" customHeight="1" x14ac:dyDescent="0.3">
      <c r="A39" s="19" t="s">
        <v>205</v>
      </c>
      <c r="B39" s="105" t="s">
        <v>164</v>
      </c>
      <c r="C39" s="20" t="s">
        <v>207</v>
      </c>
      <c r="D39" s="41" t="s">
        <v>221</v>
      </c>
      <c r="E39" s="15" t="s">
        <v>220</v>
      </c>
      <c r="F39" s="19">
        <v>2</v>
      </c>
      <c r="G39" s="20" t="s">
        <v>178</v>
      </c>
      <c r="H39" s="19">
        <v>15</v>
      </c>
      <c r="I39" s="19" t="s">
        <v>162</v>
      </c>
      <c r="J39" s="19">
        <v>1</v>
      </c>
      <c r="K39" s="21" t="s">
        <v>297</v>
      </c>
      <c r="L39" s="53">
        <v>132806</v>
      </c>
      <c r="M39" s="33">
        <v>62.1</v>
      </c>
      <c r="N39" s="54">
        <v>213849</v>
      </c>
      <c r="O39" s="48">
        <v>5250000</v>
      </c>
      <c r="P39" s="34">
        <v>3885000</v>
      </c>
      <c r="Q39" s="34">
        <f t="shared" ref="Q39:Q61" si="12">P39</f>
        <v>3885000</v>
      </c>
      <c r="R39" s="34">
        <f t="shared" ref="R39:R61" si="13">P39</f>
        <v>3885000</v>
      </c>
      <c r="S39" s="35">
        <f t="shared" si="1"/>
        <v>7770000</v>
      </c>
    </row>
    <row r="40" spans="1:27" s="13" customFormat="1" ht="15" customHeight="1" x14ac:dyDescent="0.3">
      <c r="A40" s="19" t="s">
        <v>205</v>
      </c>
      <c r="B40" s="105" t="s">
        <v>164</v>
      </c>
      <c r="C40" s="20" t="s">
        <v>207</v>
      </c>
      <c r="D40" s="41" t="s">
        <v>182</v>
      </c>
      <c r="E40" s="15" t="s">
        <v>166</v>
      </c>
      <c r="F40" s="19">
        <v>2</v>
      </c>
      <c r="G40" s="20" t="s">
        <v>178</v>
      </c>
      <c r="H40" s="19">
        <v>15</v>
      </c>
      <c r="I40" s="19" t="s">
        <v>162</v>
      </c>
      <c r="J40" s="19">
        <v>1</v>
      </c>
      <c r="K40" s="21" t="s">
        <v>297</v>
      </c>
      <c r="L40" s="53">
        <v>120756</v>
      </c>
      <c r="M40" s="33">
        <v>56.47</v>
      </c>
      <c r="N40" s="54">
        <v>213849</v>
      </c>
      <c r="O40" s="48">
        <v>5250000</v>
      </c>
      <c r="P40" s="34">
        <v>3885000</v>
      </c>
      <c r="Q40" s="34">
        <f t="shared" si="12"/>
        <v>3885000</v>
      </c>
      <c r="R40" s="34">
        <f t="shared" si="13"/>
        <v>3885000</v>
      </c>
      <c r="S40" s="35">
        <f t="shared" si="1"/>
        <v>7770000</v>
      </c>
      <c r="V40" s="127" t="s">
        <v>291</v>
      </c>
      <c r="W40" s="127"/>
      <c r="X40" s="127"/>
      <c r="Y40" s="127"/>
      <c r="Z40" s="127"/>
    </row>
    <row r="41" spans="1:27" s="13" customFormat="1" ht="15" customHeight="1" x14ac:dyDescent="0.3">
      <c r="A41" s="19" t="s">
        <v>205</v>
      </c>
      <c r="B41" s="105" t="s">
        <v>164</v>
      </c>
      <c r="C41" s="20" t="s">
        <v>207</v>
      </c>
      <c r="D41" s="41" t="s">
        <v>222</v>
      </c>
      <c r="E41" s="15" t="s">
        <v>166</v>
      </c>
      <c r="F41" s="19">
        <v>2</v>
      </c>
      <c r="G41" s="20" t="s">
        <v>178</v>
      </c>
      <c r="H41" s="19">
        <v>15</v>
      </c>
      <c r="I41" s="19" t="s">
        <v>162</v>
      </c>
      <c r="J41" s="19">
        <v>1</v>
      </c>
      <c r="K41" s="21" t="s">
        <v>297</v>
      </c>
      <c r="L41" s="53">
        <v>122263</v>
      </c>
      <c r="M41" s="33">
        <v>57.17</v>
      </c>
      <c r="N41" s="54">
        <v>213849</v>
      </c>
      <c r="O41" s="48">
        <v>5250000</v>
      </c>
      <c r="P41" s="34">
        <v>3885000</v>
      </c>
      <c r="Q41" s="34">
        <f t="shared" si="12"/>
        <v>3885000</v>
      </c>
      <c r="R41" s="34">
        <f t="shared" si="13"/>
        <v>3885000</v>
      </c>
      <c r="S41" s="35">
        <f t="shared" si="1"/>
        <v>7770000</v>
      </c>
    </row>
    <row r="42" spans="1:27" s="13" customFormat="1" ht="15" customHeight="1" x14ac:dyDescent="0.3">
      <c r="A42" s="19" t="s">
        <v>205</v>
      </c>
      <c r="B42" s="105" t="s">
        <v>164</v>
      </c>
      <c r="C42" s="20" t="s">
        <v>207</v>
      </c>
      <c r="D42" s="41" t="s">
        <v>223</v>
      </c>
      <c r="E42" s="15" t="s">
        <v>165</v>
      </c>
      <c r="F42" s="19">
        <v>2</v>
      </c>
      <c r="G42" s="20" t="s">
        <v>178</v>
      </c>
      <c r="H42" s="19">
        <v>15</v>
      </c>
      <c r="I42" s="19" t="s">
        <v>162</v>
      </c>
      <c r="J42" s="19">
        <v>1</v>
      </c>
      <c r="K42" s="21" t="s">
        <v>297</v>
      </c>
      <c r="L42" s="53">
        <v>355601</v>
      </c>
      <c r="M42" s="33">
        <v>166.29</v>
      </c>
      <c r="N42" s="54">
        <v>213849</v>
      </c>
      <c r="O42" s="48">
        <v>5250000</v>
      </c>
      <c r="P42" s="34">
        <v>3885000</v>
      </c>
      <c r="Q42" s="34">
        <f t="shared" si="12"/>
        <v>3885000</v>
      </c>
      <c r="R42" s="34">
        <f t="shared" si="13"/>
        <v>3885000</v>
      </c>
      <c r="S42" s="35">
        <f t="shared" si="1"/>
        <v>7770000</v>
      </c>
      <c r="U42" s="61" t="s">
        <v>260</v>
      </c>
      <c r="V42" s="61" t="s">
        <v>261</v>
      </c>
      <c r="W42" s="61" t="s">
        <v>262</v>
      </c>
      <c r="X42" s="61" t="s">
        <v>242</v>
      </c>
      <c r="Y42" s="61" t="s">
        <v>263</v>
      </c>
      <c r="Z42" s="61" t="s">
        <v>226</v>
      </c>
      <c r="AA42" s="61" t="s">
        <v>231</v>
      </c>
    </row>
    <row r="43" spans="1:27" s="13" customFormat="1" ht="15" customHeight="1" x14ac:dyDescent="0.3">
      <c r="A43" s="19" t="s">
        <v>205</v>
      </c>
      <c r="B43" s="105" t="s">
        <v>164</v>
      </c>
      <c r="C43" s="20" t="s">
        <v>207</v>
      </c>
      <c r="D43" s="41" t="s">
        <v>224</v>
      </c>
      <c r="E43" s="15" t="s">
        <v>166</v>
      </c>
      <c r="F43" s="19">
        <v>2</v>
      </c>
      <c r="G43" s="20" t="s">
        <v>178</v>
      </c>
      <c r="H43" s="19">
        <v>15</v>
      </c>
      <c r="I43" s="19" t="s">
        <v>162</v>
      </c>
      <c r="J43" s="19">
        <v>1</v>
      </c>
      <c r="K43" s="21" t="s">
        <v>163</v>
      </c>
      <c r="L43" s="53">
        <v>71341</v>
      </c>
      <c r="M43" s="33">
        <v>33.36</v>
      </c>
      <c r="N43" s="54">
        <v>213849</v>
      </c>
      <c r="O43" s="48">
        <v>5250000</v>
      </c>
      <c r="P43" s="34">
        <v>3885000</v>
      </c>
      <c r="Q43" s="34">
        <f t="shared" si="12"/>
        <v>3885000</v>
      </c>
      <c r="R43" s="34">
        <f t="shared" si="13"/>
        <v>3885000</v>
      </c>
      <c r="S43" s="35">
        <f t="shared" si="1"/>
        <v>7770000</v>
      </c>
      <c r="U43" s="61" t="s">
        <v>264</v>
      </c>
      <c r="V43" s="81">
        <v>47.754494217252848</v>
      </c>
      <c r="W43" s="81">
        <v>33.16571179269301</v>
      </c>
      <c r="X43" s="81">
        <v>53.372526431055</v>
      </c>
      <c r="Y43" s="81">
        <v>37.435925600345996</v>
      </c>
      <c r="Z43" s="81">
        <v>24.037986739611</v>
      </c>
      <c r="AA43" s="81">
        <v>33.566508571439996</v>
      </c>
    </row>
    <row r="44" spans="1:27" s="13" customFormat="1" ht="15" customHeight="1" x14ac:dyDescent="0.3">
      <c r="A44" s="19" t="s">
        <v>205</v>
      </c>
      <c r="B44" s="105" t="s">
        <v>164</v>
      </c>
      <c r="C44" s="20" t="s">
        <v>207</v>
      </c>
      <c r="D44" s="41" t="s">
        <v>183</v>
      </c>
      <c r="E44" s="15" t="s">
        <v>166</v>
      </c>
      <c r="F44" s="19">
        <v>2</v>
      </c>
      <c r="G44" s="20" t="s">
        <v>178</v>
      </c>
      <c r="H44" s="19">
        <v>15</v>
      </c>
      <c r="I44" s="19" t="s">
        <v>162</v>
      </c>
      <c r="J44" s="19">
        <v>1</v>
      </c>
      <c r="K44" s="21" t="s">
        <v>163</v>
      </c>
      <c r="L44" s="53">
        <v>97842</v>
      </c>
      <c r="M44" s="33">
        <v>45.75</v>
      </c>
      <c r="N44" s="54">
        <v>213849</v>
      </c>
      <c r="O44" s="48">
        <v>5250000</v>
      </c>
      <c r="P44" s="34">
        <v>3885000</v>
      </c>
      <c r="Q44" s="34">
        <f t="shared" si="12"/>
        <v>3885000</v>
      </c>
      <c r="R44" s="34">
        <f t="shared" si="13"/>
        <v>3885000</v>
      </c>
      <c r="S44" s="35">
        <f t="shared" si="1"/>
        <v>7770000</v>
      </c>
      <c r="U44" s="61" t="s">
        <v>265</v>
      </c>
      <c r="V44" s="82">
        <v>46.478458031848291</v>
      </c>
      <c r="W44" s="82">
        <v>32.350777741034143</v>
      </c>
      <c r="X44" s="82">
        <v>51.918923224233005</v>
      </c>
      <c r="Y44" s="82">
        <v>36.640908318066003</v>
      </c>
      <c r="Z44" s="82">
        <v>23.301696864615</v>
      </c>
      <c r="AA44" s="82">
        <v>32.665322523950998</v>
      </c>
    </row>
    <row r="45" spans="1:27" s="13" customFormat="1" ht="15" customHeight="1" x14ac:dyDescent="0.3">
      <c r="A45" s="19" t="s">
        <v>205</v>
      </c>
      <c r="B45" s="103" t="s">
        <v>164</v>
      </c>
      <c r="C45" s="20" t="s">
        <v>207</v>
      </c>
      <c r="D45" s="41" t="s">
        <v>225</v>
      </c>
      <c r="E45" s="15" t="s">
        <v>166</v>
      </c>
      <c r="F45" s="19">
        <v>2</v>
      </c>
      <c r="G45" s="20" t="s">
        <v>178</v>
      </c>
      <c r="H45" s="19">
        <v>15</v>
      </c>
      <c r="I45" s="19" t="s">
        <v>162</v>
      </c>
      <c r="J45" s="19">
        <v>1</v>
      </c>
      <c r="K45" s="21" t="s">
        <v>163</v>
      </c>
      <c r="L45" s="53">
        <v>261149</v>
      </c>
      <c r="M45" s="33">
        <v>122.12</v>
      </c>
      <c r="N45" s="54">
        <v>213849</v>
      </c>
      <c r="O45" s="48">
        <v>5250000</v>
      </c>
      <c r="P45" s="34">
        <v>3885000</v>
      </c>
      <c r="Q45" s="34">
        <f t="shared" si="12"/>
        <v>3885000</v>
      </c>
      <c r="R45" s="34">
        <f t="shared" si="13"/>
        <v>3885000</v>
      </c>
      <c r="S45" s="35">
        <f t="shared" si="1"/>
        <v>7770000</v>
      </c>
      <c r="U45" s="61" t="s">
        <v>266</v>
      </c>
      <c r="V45" s="83">
        <v>45.176787463340354</v>
      </c>
      <c r="W45" s="83">
        <v>31.527933597260148</v>
      </c>
      <c r="X45" s="83">
        <v>50.432860140936</v>
      </c>
      <c r="Y45" s="83">
        <v>35.839798566662999</v>
      </c>
      <c r="Z45" s="83">
        <v>22.559314520495999</v>
      </c>
      <c r="AA45" s="83">
        <v>31.752251167844996</v>
      </c>
    </row>
    <row r="46" spans="1:27" s="13" customFormat="1" ht="15" customHeight="1" x14ac:dyDescent="0.3">
      <c r="A46" s="14" t="s">
        <v>205</v>
      </c>
      <c r="B46" s="106" t="s">
        <v>164</v>
      </c>
      <c r="C46" s="14" t="s">
        <v>207</v>
      </c>
      <c r="D46" s="41" t="s">
        <v>283</v>
      </c>
      <c r="E46" s="15" t="s">
        <v>166</v>
      </c>
      <c r="F46" s="14">
        <v>2</v>
      </c>
      <c r="G46" s="14" t="s">
        <v>178</v>
      </c>
      <c r="H46" s="19">
        <v>15</v>
      </c>
      <c r="I46" s="19" t="s">
        <v>162</v>
      </c>
      <c r="J46" s="19">
        <v>1</v>
      </c>
      <c r="K46" s="21" t="s">
        <v>163</v>
      </c>
      <c r="L46" s="53">
        <v>228637</v>
      </c>
      <c r="M46" s="33">
        <v>106.92</v>
      </c>
      <c r="N46" s="54">
        <v>213849</v>
      </c>
      <c r="O46" s="48">
        <v>5250000</v>
      </c>
      <c r="P46" s="34">
        <v>3885000</v>
      </c>
      <c r="Q46" s="34">
        <f t="shared" ref="Q46:Q47" si="14">P46</f>
        <v>3885000</v>
      </c>
      <c r="R46" s="34">
        <f t="shared" ref="R46:R47" si="15">P46</f>
        <v>3885000</v>
      </c>
      <c r="S46" s="35">
        <f t="shared" ref="S46:S47" si="16">Q46+R46</f>
        <v>7770000</v>
      </c>
      <c r="U46" s="61" t="s">
        <v>267</v>
      </c>
      <c r="V46" s="84">
        <v>43.7984953833463</v>
      </c>
      <c r="W46" s="84">
        <v>30.684447023540802</v>
      </c>
      <c r="X46" s="84">
        <v>48.84861841587</v>
      </c>
      <c r="Y46" s="84">
        <v>35.024805975783003</v>
      </c>
      <c r="Z46" s="84">
        <v>21.793061682599998</v>
      </c>
      <c r="AA46" s="84">
        <v>30.811014626612998</v>
      </c>
    </row>
    <row r="47" spans="1:27" s="13" customFormat="1" ht="15" customHeight="1" x14ac:dyDescent="0.3">
      <c r="A47" s="14" t="s">
        <v>205</v>
      </c>
      <c r="B47" s="106" t="s">
        <v>164</v>
      </c>
      <c r="C47" s="14" t="s">
        <v>207</v>
      </c>
      <c r="D47" s="41" t="s">
        <v>284</v>
      </c>
      <c r="E47" s="38" t="s">
        <v>166</v>
      </c>
      <c r="F47" s="14">
        <v>2</v>
      </c>
      <c r="G47" s="14" t="s">
        <v>178</v>
      </c>
      <c r="H47" s="19">
        <v>15</v>
      </c>
      <c r="I47" s="19" t="s">
        <v>162</v>
      </c>
      <c r="J47" s="19">
        <v>1</v>
      </c>
      <c r="K47" s="21" t="s">
        <v>163</v>
      </c>
      <c r="L47" s="53">
        <v>93241</v>
      </c>
      <c r="M47" s="33">
        <v>43.6</v>
      </c>
      <c r="N47" s="54">
        <v>213849</v>
      </c>
      <c r="O47" s="48">
        <v>5250000</v>
      </c>
      <c r="P47" s="34">
        <v>3885000</v>
      </c>
      <c r="Q47" s="34">
        <f t="shared" si="14"/>
        <v>3885000</v>
      </c>
      <c r="R47" s="34">
        <f t="shared" si="15"/>
        <v>3885000</v>
      </c>
      <c r="S47" s="35">
        <f t="shared" si="16"/>
        <v>7770000</v>
      </c>
      <c r="U47" s="61" t="s">
        <v>268</v>
      </c>
      <c r="V47" s="85">
        <v>42.297560815514004</v>
      </c>
      <c r="W47" s="85">
        <v>29.803661822828772</v>
      </c>
      <c r="X47" s="85">
        <v>47.108868913353</v>
      </c>
      <c r="Y47" s="85">
        <v>34.184344866437996</v>
      </c>
      <c r="Z47" s="85">
        <v>20.985060449729996</v>
      </c>
      <c r="AA47" s="85">
        <v>29.818441542279</v>
      </c>
    </row>
    <row r="48" spans="1:27" s="13" customFormat="1" ht="15" customHeight="1" x14ac:dyDescent="0.3">
      <c r="A48" s="14" t="s">
        <v>205</v>
      </c>
      <c r="B48" s="106" t="s">
        <v>164</v>
      </c>
      <c r="C48" s="14" t="s">
        <v>208</v>
      </c>
      <c r="D48" s="41" t="s">
        <v>184</v>
      </c>
      <c r="E48" s="15" t="s">
        <v>185</v>
      </c>
      <c r="F48" s="14">
        <v>2</v>
      </c>
      <c r="G48" s="14" t="s">
        <v>178</v>
      </c>
      <c r="H48" s="19">
        <v>15</v>
      </c>
      <c r="I48" s="19" t="s">
        <v>162</v>
      </c>
      <c r="J48" s="19">
        <v>1</v>
      </c>
      <c r="K48" s="21" t="s">
        <v>163</v>
      </c>
      <c r="L48" s="53">
        <v>131827</v>
      </c>
      <c r="M48" s="33">
        <v>123.81</v>
      </c>
      <c r="N48" s="54">
        <v>106476</v>
      </c>
      <c r="O48" s="48">
        <v>5250000</v>
      </c>
      <c r="P48" s="34">
        <v>3885000</v>
      </c>
      <c r="Q48" s="34">
        <f t="shared" si="12"/>
        <v>3885000</v>
      </c>
      <c r="R48" s="34">
        <f t="shared" si="13"/>
        <v>3885000</v>
      </c>
      <c r="S48" s="35">
        <f t="shared" si="1"/>
        <v>7770000</v>
      </c>
      <c r="U48" s="61" t="s">
        <v>269</v>
      </c>
      <c r="V48" s="86">
        <v>36.785282399319371</v>
      </c>
      <c r="W48" s="86">
        <v>26.750628895336881</v>
      </c>
      <c r="X48" s="86">
        <v>40.649553247914</v>
      </c>
      <c r="Y48" s="86">
        <v>31.359436724225997</v>
      </c>
      <c r="Z48" s="86">
        <v>18.178229961800998</v>
      </c>
      <c r="AA48" s="86">
        <v>26.253348339893996</v>
      </c>
    </row>
    <row r="49" spans="1:27" s="13" customFormat="1" ht="15" customHeight="1" x14ac:dyDescent="0.3">
      <c r="A49" s="14" t="s">
        <v>205</v>
      </c>
      <c r="B49" s="106" t="s">
        <v>164</v>
      </c>
      <c r="C49" s="14" t="s">
        <v>208</v>
      </c>
      <c r="D49" s="41" t="s">
        <v>186</v>
      </c>
      <c r="E49" s="15" t="s">
        <v>165</v>
      </c>
      <c r="F49" s="14">
        <v>2</v>
      </c>
      <c r="G49" s="14" t="s">
        <v>178</v>
      </c>
      <c r="H49" s="19">
        <v>15</v>
      </c>
      <c r="I49" s="19" t="s">
        <v>162</v>
      </c>
      <c r="J49" s="19">
        <v>1</v>
      </c>
      <c r="K49" s="21" t="s">
        <v>163</v>
      </c>
      <c r="L49" s="53">
        <v>74384</v>
      </c>
      <c r="M49" s="33">
        <v>69.86</v>
      </c>
      <c r="N49" s="54">
        <v>106476</v>
      </c>
      <c r="O49" s="48">
        <v>5250000</v>
      </c>
      <c r="P49" s="34">
        <v>3885000</v>
      </c>
      <c r="Q49" s="34">
        <f t="shared" si="12"/>
        <v>3885000</v>
      </c>
      <c r="R49" s="34">
        <f t="shared" si="13"/>
        <v>3885000</v>
      </c>
      <c r="S49" s="35">
        <f t="shared" si="1"/>
        <v>7770000</v>
      </c>
      <c r="U49" s="61" t="s">
        <v>270</v>
      </c>
      <c r="V49" s="87">
        <v>32.426561103888282</v>
      </c>
      <c r="W49" s="87">
        <v>24.295306571994328</v>
      </c>
      <c r="X49" s="87">
        <v>35.557847085774</v>
      </c>
      <c r="Y49" s="87">
        <v>29.146572037517998</v>
      </c>
      <c r="Z49" s="87">
        <v>15.981745028144998</v>
      </c>
      <c r="AA49" s="87">
        <v>23.255853531377998</v>
      </c>
    </row>
    <row r="50" spans="1:27" s="13" customFormat="1" ht="15" customHeight="1" x14ac:dyDescent="0.3">
      <c r="A50" s="14" t="s">
        <v>205</v>
      </c>
      <c r="B50" s="106" t="s">
        <v>164</v>
      </c>
      <c r="C50" s="14" t="s">
        <v>208</v>
      </c>
      <c r="D50" s="41" t="s">
        <v>227</v>
      </c>
      <c r="E50" s="15" t="s">
        <v>166</v>
      </c>
      <c r="F50" s="14">
        <v>2</v>
      </c>
      <c r="G50" s="14" t="s">
        <v>178</v>
      </c>
      <c r="H50" s="19">
        <v>15</v>
      </c>
      <c r="I50" s="19" t="s">
        <v>162</v>
      </c>
      <c r="J50" s="19">
        <v>1</v>
      </c>
      <c r="K50" s="21" t="s">
        <v>163</v>
      </c>
      <c r="L50" s="53">
        <v>47535</v>
      </c>
      <c r="M50" s="33">
        <v>44.64</v>
      </c>
      <c r="N50" s="54">
        <v>106476</v>
      </c>
      <c r="O50" s="48">
        <v>5250000</v>
      </c>
      <c r="P50" s="34">
        <v>3885000</v>
      </c>
      <c r="Q50" s="34">
        <f t="shared" si="12"/>
        <v>3885000</v>
      </c>
      <c r="R50" s="34">
        <f t="shared" si="13"/>
        <v>3885000</v>
      </c>
      <c r="S50" s="35">
        <f t="shared" si="1"/>
        <v>7770000</v>
      </c>
      <c r="U50" s="61" t="s">
        <v>271</v>
      </c>
      <c r="V50" s="88">
        <v>28.090849993185692</v>
      </c>
      <c r="W50" s="88">
        <v>21.596216048576551</v>
      </c>
      <c r="X50" s="88">
        <v>30.591885491270997</v>
      </c>
      <c r="Y50" s="88">
        <v>26.725265005569</v>
      </c>
      <c r="Z50" s="88">
        <v>13.657018613277</v>
      </c>
      <c r="AA50" s="88">
        <v>19.879027612547997</v>
      </c>
    </row>
    <row r="51" spans="1:27" s="13" customFormat="1" ht="15" customHeight="1" x14ac:dyDescent="0.3">
      <c r="A51" s="14" t="s">
        <v>205</v>
      </c>
      <c r="B51" s="106" t="s">
        <v>164</v>
      </c>
      <c r="C51" s="14" t="s">
        <v>208</v>
      </c>
      <c r="D51" s="41" t="s">
        <v>228</v>
      </c>
      <c r="E51" s="15" t="s">
        <v>185</v>
      </c>
      <c r="F51" s="14">
        <v>2</v>
      </c>
      <c r="G51" s="14" t="s">
        <v>178</v>
      </c>
      <c r="H51" s="19">
        <v>15</v>
      </c>
      <c r="I51" s="19" t="s">
        <v>162</v>
      </c>
      <c r="J51" s="19">
        <v>1</v>
      </c>
      <c r="K51" s="21" t="s">
        <v>163</v>
      </c>
      <c r="L51" s="53">
        <v>100198</v>
      </c>
      <c r="M51" s="33">
        <v>94.1</v>
      </c>
      <c r="N51" s="54">
        <v>106476</v>
      </c>
      <c r="O51" s="48">
        <v>5250000</v>
      </c>
      <c r="P51" s="34">
        <v>3885000</v>
      </c>
      <c r="Q51" s="34">
        <f t="shared" si="12"/>
        <v>3885000</v>
      </c>
      <c r="R51" s="34">
        <f t="shared" si="13"/>
        <v>3885000</v>
      </c>
      <c r="S51" s="35">
        <f t="shared" si="1"/>
        <v>7770000</v>
      </c>
      <c r="U51" s="61" t="s">
        <v>272</v>
      </c>
      <c r="V51" s="89">
        <v>23.954941818772074</v>
      </c>
      <c r="W51" s="89">
        <v>18.796203549120396</v>
      </c>
      <c r="X51" s="89">
        <v>25.941533772648</v>
      </c>
      <c r="Y51" s="89">
        <v>24.225155381192998</v>
      </c>
      <c r="Z51" s="89">
        <v>11.225624050484999</v>
      </c>
      <c r="AA51" s="89">
        <v>16.373161200161999</v>
      </c>
    </row>
    <row r="52" spans="1:27" s="13" customFormat="1" ht="15" customHeight="1" x14ac:dyDescent="0.3">
      <c r="A52" s="14" t="s">
        <v>205</v>
      </c>
      <c r="B52" s="106" t="s">
        <v>164</v>
      </c>
      <c r="C52" s="14" t="s">
        <v>208</v>
      </c>
      <c r="D52" s="41" t="s">
        <v>229</v>
      </c>
      <c r="E52" s="15" t="s">
        <v>166</v>
      </c>
      <c r="F52" s="14">
        <v>2</v>
      </c>
      <c r="G52" s="14" t="s">
        <v>178</v>
      </c>
      <c r="H52" s="19">
        <v>15</v>
      </c>
      <c r="I52" s="19" t="s">
        <v>162</v>
      </c>
      <c r="J52" s="19">
        <v>1</v>
      </c>
      <c r="K52" s="21" t="s">
        <v>163</v>
      </c>
      <c r="L52" s="53">
        <v>102944</v>
      </c>
      <c r="M52" s="33">
        <v>96.68</v>
      </c>
      <c r="N52" s="54">
        <v>106476</v>
      </c>
      <c r="O52" s="48">
        <v>5250000</v>
      </c>
      <c r="P52" s="34">
        <v>3885000</v>
      </c>
      <c r="Q52" s="34">
        <f t="shared" si="12"/>
        <v>3885000</v>
      </c>
      <c r="R52" s="34">
        <f t="shared" si="13"/>
        <v>3885000</v>
      </c>
      <c r="S52" s="35">
        <f t="shared" si="1"/>
        <v>7770000</v>
      </c>
      <c r="U52" s="61" t="s">
        <v>273</v>
      </c>
      <c r="V52" s="90">
        <v>21.944937356412769</v>
      </c>
      <c r="W52" s="90">
        <v>17.369003210434101</v>
      </c>
      <c r="X52" s="90">
        <v>23.707095752651998</v>
      </c>
      <c r="Y52" s="90">
        <v>22.954026618432</v>
      </c>
      <c r="Z52" s="90">
        <v>9.9651820778250002</v>
      </c>
      <c r="AA52" s="90">
        <v>14.596856882907</v>
      </c>
    </row>
    <row r="53" spans="1:27" s="13" customFormat="1" ht="15" customHeight="1" x14ac:dyDescent="0.3">
      <c r="A53" s="14" t="s">
        <v>205</v>
      </c>
      <c r="B53" s="106" t="s">
        <v>164</v>
      </c>
      <c r="C53" s="14" t="s">
        <v>208</v>
      </c>
      <c r="D53" s="41" t="s">
        <v>285</v>
      </c>
      <c r="E53" s="15" t="s">
        <v>166</v>
      </c>
      <c r="F53" s="14">
        <v>2</v>
      </c>
      <c r="G53" s="14" t="s">
        <v>178</v>
      </c>
      <c r="H53" s="19">
        <v>15</v>
      </c>
      <c r="I53" s="19" t="s">
        <v>162</v>
      </c>
      <c r="J53" s="19">
        <v>1</v>
      </c>
      <c r="K53" s="21" t="s">
        <v>163</v>
      </c>
      <c r="L53" s="53">
        <v>67338</v>
      </c>
      <c r="M53" s="33">
        <v>63.24</v>
      </c>
      <c r="N53" s="54">
        <v>106476</v>
      </c>
      <c r="O53" s="48">
        <v>5250000</v>
      </c>
      <c r="P53" s="34">
        <v>3885000</v>
      </c>
      <c r="Q53" s="34">
        <f t="shared" ref="Q53" si="17">P53</f>
        <v>3885000</v>
      </c>
      <c r="R53" s="34">
        <f t="shared" ref="R53" si="18">P53</f>
        <v>3885000</v>
      </c>
      <c r="S53" s="35">
        <f t="shared" ref="S53" si="19">Q53+R53</f>
        <v>7770000</v>
      </c>
      <c r="U53" s="61" t="s">
        <v>274</v>
      </c>
      <c r="V53" s="91">
        <v>19.982679151160831</v>
      </c>
      <c r="W53" s="91">
        <v>15.928354511387179</v>
      </c>
      <c r="X53" s="91">
        <v>21.543969584357999</v>
      </c>
      <c r="Y53" s="91">
        <v>21.664920077931001</v>
      </c>
      <c r="Z53" s="91">
        <v>8.6909571422309995</v>
      </c>
      <c r="AA53" s="91">
        <v>12.813960713813998</v>
      </c>
    </row>
    <row r="54" spans="1:27" s="13" customFormat="1" ht="15" customHeight="1" x14ac:dyDescent="0.3">
      <c r="A54" s="14" t="s">
        <v>205</v>
      </c>
      <c r="B54" s="106" t="s">
        <v>164</v>
      </c>
      <c r="C54" s="14" t="s">
        <v>208</v>
      </c>
      <c r="D54" s="41" t="s">
        <v>286</v>
      </c>
      <c r="E54" s="15" t="s">
        <v>165</v>
      </c>
      <c r="F54" s="14">
        <v>2</v>
      </c>
      <c r="G54" s="14" t="s">
        <v>178</v>
      </c>
      <c r="H54" s="19">
        <v>15</v>
      </c>
      <c r="I54" s="19" t="s">
        <v>162</v>
      </c>
      <c r="J54" s="19">
        <v>1</v>
      </c>
      <c r="K54" s="21" t="s">
        <v>163</v>
      </c>
      <c r="L54" s="53">
        <v>29941</v>
      </c>
      <c r="M54" s="33">
        <v>28.12</v>
      </c>
      <c r="N54" s="54">
        <v>106476</v>
      </c>
      <c r="O54" s="48">
        <v>5250000</v>
      </c>
      <c r="P54" s="34">
        <v>3885000</v>
      </c>
      <c r="Q54" s="34">
        <f t="shared" ref="Q54:Q55" si="20">P54</f>
        <v>3885000</v>
      </c>
      <c r="R54" s="34">
        <f t="shared" ref="R54:R55" si="21">P54</f>
        <v>3885000</v>
      </c>
      <c r="S54" s="35">
        <f t="shared" ref="S54:S55" si="22">Q54+R54</f>
        <v>7770000</v>
      </c>
      <c r="U54" s="61" t="s">
        <v>275</v>
      </c>
      <c r="V54" s="92">
        <v>16.323329314901727</v>
      </c>
      <c r="W54" s="92">
        <v>13.078268819907393</v>
      </c>
      <c r="X54" s="92">
        <v>17.572978111220998</v>
      </c>
      <c r="Y54" s="92">
        <v>19.048554157503002</v>
      </c>
      <c r="Z54" s="92">
        <v>6.2402864066400001</v>
      </c>
      <c r="AA54" s="92">
        <v>9.3322644248339977</v>
      </c>
    </row>
    <row r="55" spans="1:27" s="13" customFormat="1" ht="15" customHeight="1" x14ac:dyDescent="0.3">
      <c r="A55" s="14" t="s">
        <v>205</v>
      </c>
      <c r="B55" s="106" t="s">
        <v>164</v>
      </c>
      <c r="C55" s="14" t="s">
        <v>208</v>
      </c>
      <c r="D55" s="41" t="s">
        <v>230</v>
      </c>
      <c r="E55" s="15" t="s">
        <v>166</v>
      </c>
      <c r="F55" s="14">
        <v>2</v>
      </c>
      <c r="G55" s="14" t="s">
        <v>178</v>
      </c>
      <c r="H55" s="19">
        <v>15</v>
      </c>
      <c r="I55" s="19" t="s">
        <v>162</v>
      </c>
      <c r="J55" s="19">
        <v>1</v>
      </c>
      <c r="K55" s="21" t="s">
        <v>163</v>
      </c>
      <c r="L55" s="53">
        <v>75575</v>
      </c>
      <c r="M55" s="33">
        <v>70.98</v>
      </c>
      <c r="N55" s="54">
        <v>106476</v>
      </c>
      <c r="O55" s="48">
        <v>5250000</v>
      </c>
      <c r="P55" s="34">
        <v>3885000</v>
      </c>
      <c r="Q55" s="34">
        <f t="shared" si="20"/>
        <v>3885000</v>
      </c>
      <c r="R55" s="34">
        <f t="shared" si="21"/>
        <v>3885000</v>
      </c>
      <c r="S55" s="35">
        <f t="shared" si="22"/>
        <v>7770000</v>
      </c>
      <c r="U55" s="61" t="s">
        <v>276</v>
      </c>
      <c r="V55" s="93">
        <v>13.21264331491944</v>
      </c>
      <c r="W55" s="93">
        <v>10.482585559693709</v>
      </c>
      <c r="X55" s="93">
        <v>14.263968365087997</v>
      </c>
      <c r="Y55" s="93">
        <v>16.491614780159999</v>
      </c>
      <c r="Z55" s="93">
        <v>4.209496657821</v>
      </c>
      <c r="AA55" s="93">
        <v>6.2693504806529994</v>
      </c>
    </row>
    <row r="56" spans="1:27" s="13" customFormat="1" ht="15" customHeight="1" x14ac:dyDescent="0.3">
      <c r="A56" s="14" t="s">
        <v>205</v>
      </c>
      <c r="B56" s="106" t="s">
        <v>164</v>
      </c>
      <c r="C56" s="14" t="s">
        <v>209</v>
      </c>
      <c r="D56" s="38" t="s">
        <v>188</v>
      </c>
      <c r="E56" s="38" t="s">
        <v>185</v>
      </c>
      <c r="F56" s="14">
        <v>2</v>
      </c>
      <c r="G56" s="14" t="s">
        <v>178</v>
      </c>
      <c r="H56" s="19">
        <v>15</v>
      </c>
      <c r="I56" s="19" t="s">
        <v>162</v>
      </c>
      <c r="J56" s="19">
        <v>1</v>
      </c>
      <c r="K56" s="21" t="s">
        <v>163</v>
      </c>
      <c r="L56" s="53">
        <v>140368</v>
      </c>
      <c r="M56" s="33">
        <v>95.84</v>
      </c>
      <c r="N56" s="54">
        <v>146465</v>
      </c>
      <c r="O56" s="48">
        <v>5250000</v>
      </c>
      <c r="P56" s="34">
        <v>3885000</v>
      </c>
      <c r="Q56" s="34">
        <f t="shared" si="12"/>
        <v>3885000</v>
      </c>
      <c r="R56" s="34">
        <f t="shared" si="13"/>
        <v>3885000</v>
      </c>
      <c r="S56" s="35">
        <f t="shared" si="1"/>
        <v>7770000</v>
      </c>
      <c r="U56" s="61" t="s">
        <v>277</v>
      </c>
      <c r="V56" s="94">
        <v>7.8678269549549729</v>
      </c>
      <c r="W56" s="94">
        <v>6.0498686796307917</v>
      </c>
      <c r="X56" s="94">
        <v>8.5679092412549984</v>
      </c>
      <c r="Y56" s="94">
        <v>11.153912692611</v>
      </c>
      <c r="Z56" s="94">
        <v>1.563467404122</v>
      </c>
      <c r="AA56" s="94">
        <v>1.8591019714019996</v>
      </c>
    </row>
    <row r="57" spans="1:27" s="13" customFormat="1" ht="15" customHeight="1" x14ac:dyDescent="0.3">
      <c r="A57" s="14" t="s">
        <v>205</v>
      </c>
      <c r="B57" s="106" t="s">
        <v>164</v>
      </c>
      <c r="C57" s="14" t="s">
        <v>209</v>
      </c>
      <c r="D57" s="38" t="s">
        <v>189</v>
      </c>
      <c r="E57" s="38" t="s">
        <v>185</v>
      </c>
      <c r="F57" s="14">
        <v>2</v>
      </c>
      <c r="G57" s="14" t="s">
        <v>178</v>
      </c>
      <c r="H57" s="19">
        <v>15</v>
      </c>
      <c r="I57" s="19" t="s">
        <v>162</v>
      </c>
      <c r="J57" s="19">
        <v>1</v>
      </c>
      <c r="K57" s="21" t="s">
        <v>163</v>
      </c>
      <c r="L57" s="53">
        <v>157478</v>
      </c>
      <c r="M57" s="33">
        <v>107.52</v>
      </c>
      <c r="N57" s="54">
        <v>146465</v>
      </c>
      <c r="O57" s="48">
        <v>5250000</v>
      </c>
      <c r="P57" s="34">
        <v>3885000</v>
      </c>
      <c r="Q57" s="34">
        <f t="shared" si="12"/>
        <v>3885000</v>
      </c>
      <c r="R57" s="34">
        <f t="shared" si="13"/>
        <v>3885000</v>
      </c>
      <c r="S57" s="35">
        <f t="shared" si="1"/>
        <v>7770000</v>
      </c>
      <c r="U57" s="61" t="s">
        <v>278</v>
      </c>
      <c r="V57" s="95">
        <v>4.5936945992391864</v>
      </c>
      <c r="W57" s="95">
        <v>3.5543798393764723</v>
      </c>
      <c r="X57" s="95">
        <v>4.9939270265429991</v>
      </c>
      <c r="Y57" s="95">
        <v>7.0811470221570003</v>
      </c>
      <c r="Z57" s="95">
        <v>0.73668938116799998</v>
      </c>
      <c r="AA57" s="95">
        <v>0.45343950521999998</v>
      </c>
    </row>
    <row r="58" spans="1:27" s="13" customFormat="1" ht="15" customHeight="1" x14ac:dyDescent="0.3">
      <c r="A58" s="14" t="s">
        <v>205</v>
      </c>
      <c r="B58" s="106" t="s">
        <v>164</v>
      </c>
      <c r="C58" s="14" t="s">
        <v>209</v>
      </c>
      <c r="D58" s="38" t="s">
        <v>187</v>
      </c>
      <c r="E58" s="15" t="s">
        <v>166</v>
      </c>
      <c r="F58" s="14">
        <v>2</v>
      </c>
      <c r="G58" s="14" t="s">
        <v>178</v>
      </c>
      <c r="H58" s="19">
        <v>15</v>
      </c>
      <c r="I58" s="19" t="s">
        <v>162</v>
      </c>
      <c r="J58" s="19">
        <v>1</v>
      </c>
      <c r="K58" s="21" t="s">
        <v>163</v>
      </c>
      <c r="L58" s="53">
        <v>159567</v>
      </c>
      <c r="M58" s="33">
        <v>108.95</v>
      </c>
      <c r="N58" s="54">
        <v>146465</v>
      </c>
      <c r="O58" s="48">
        <v>5250000</v>
      </c>
      <c r="P58" s="34">
        <v>3885000</v>
      </c>
      <c r="Q58" s="34">
        <f t="shared" si="12"/>
        <v>3885000</v>
      </c>
      <c r="R58" s="34">
        <f t="shared" si="13"/>
        <v>3885000</v>
      </c>
      <c r="S58" s="35">
        <f t="shared" si="1"/>
        <v>7770000</v>
      </c>
      <c r="U58" s="61" t="s">
        <v>279</v>
      </c>
      <c r="V58" s="96">
        <v>1.4226594522721558</v>
      </c>
      <c r="W58" s="96">
        <v>1.1646457032161637</v>
      </c>
      <c r="X58" s="96">
        <v>1.5220186387770001</v>
      </c>
      <c r="Y58" s="96">
        <v>2.4789357972599997</v>
      </c>
      <c r="Z58" s="96">
        <v>0.12704296269599999</v>
      </c>
      <c r="AA58" s="96">
        <v>0</v>
      </c>
    </row>
    <row r="59" spans="1:27" s="13" customFormat="1" ht="15" customHeight="1" x14ac:dyDescent="0.3">
      <c r="A59" s="14" t="s">
        <v>205</v>
      </c>
      <c r="B59" s="106" t="s">
        <v>164</v>
      </c>
      <c r="C59" s="14" t="s">
        <v>209</v>
      </c>
      <c r="D59" s="38" t="s">
        <v>300</v>
      </c>
      <c r="E59" s="15" t="s">
        <v>166</v>
      </c>
      <c r="F59" s="14">
        <v>2</v>
      </c>
      <c r="G59" s="14" t="s">
        <v>178</v>
      </c>
      <c r="H59" s="19">
        <v>15</v>
      </c>
      <c r="I59" s="19" t="s">
        <v>162</v>
      </c>
      <c r="J59" s="19">
        <v>1</v>
      </c>
      <c r="K59" s="21" t="s">
        <v>163</v>
      </c>
      <c r="L59" s="53">
        <v>105267</v>
      </c>
      <c r="M59" s="33">
        <v>71.87</v>
      </c>
      <c r="N59" s="54">
        <v>146465</v>
      </c>
      <c r="O59" s="48">
        <v>5250000</v>
      </c>
      <c r="P59" s="34">
        <v>3885000</v>
      </c>
      <c r="Q59" s="34">
        <f t="shared" si="12"/>
        <v>3885000</v>
      </c>
      <c r="R59" s="34">
        <f t="shared" si="13"/>
        <v>3885000</v>
      </c>
      <c r="S59" s="35">
        <f t="shared" si="1"/>
        <v>7770000</v>
      </c>
      <c r="U59" s="61" t="s">
        <v>280</v>
      </c>
      <c r="V59" s="97">
        <v>0.41377020050493207</v>
      </c>
      <c r="W59" s="97">
        <v>0.43109956795249382</v>
      </c>
      <c r="X59" s="97">
        <v>0.40709678926799991</v>
      </c>
      <c r="Y59" s="97">
        <v>0.93344617087800008</v>
      </c>
      <c r="Z59" s="97">
        <v>1.5181234536000001E-2</v>
      </c>
      <c r="AA59" s="97">
        <v>0</v>
      </c>
    </row>
    <row r="60" spans="1:27" s="13" customFormat="1" ht="15" customHeight="1" x14ac:dyDescent="0.3">
      <c r="A60" s="14" t="s">
        <v>205</v>
      </c>
      <c r="B60" s="106" t="s">
        <v>164</v>
      </c>
      <c r="C60" s="14" t="s">
        <v>209</v>
      </c>
      <c r="D60" s="38" t="s">
        <v>233</v>
      </c>
      <c r="E60" s="15" t="s">
        <v>165</v>
      </c>
      <c r="F60" s="14">
        <v>2</v>
      </c>
      <c r="G60" s="14" t="s">
        <v>178</v>
      </c>
      <c r="H60" s="19">
        <v>15</v>
      </c>
      <c r="I60" s="19" t="s">
        <v>162</v>
      </c>
      <c r="J60" s="19">
        <v>1</v>
      </c>
      <c r="K60" s="21" t="s">
        <v>163</v>
      </c>
      <c r="L60" s="53">
        <v>87140</v>
      </c>
      <c r="M60" s="33">
        <v>59.5</v>
      </c>
      <c r="N60" s="54">
        <v>146465</v>
      </c>
      <c r="O60" s="48">
        <v>5250000</v>
      </c>
      <c r="P60" s="34">
        <v>3885000</v>
      </c>
      <c r="Q60" s="34">
        <f t="shared" si="12"/>
        <v>3885000</v>
      </c>
      <c r="R60" s="34">
        <f t="shared" si="13"/>
        <v>3885000</v>
      </c>
      <c r="S60" s="35">
        <f t="shared" si="1"/>
        <v>7770000</v>
      </c>
      <c r="U60" s="61" t="s">
        <v>281</v>
      </c>
      <c r="V60" s="98">
        <v>0.10757033713783067</v>
      </c>
      <c r="W60" s="98">
        <v>0.13351462825570554</v>
      </c>
      <c r="X60" s="98">
        <v>9.7579382510999998E-2</v>
      </c>
      <c r="Y60" s="98">
        <v>0.29054086358699999</v>
      </c>
      <c r="Z60" s="98">
        <v>1.7977777739999999E-3</v>
      </c>
      <c r="AA60" s="98">
        <v>0</v>
      </c>
    </row>
    <row r="61" spans="1:27" s="13" customFormat="1" ht="15" customHeight="1" x14ac:dyDescent="0.3">
      <c r="A61" s="14" t="s">
        <v>205</v>
      </c>
      <c r="B61" s="106" t="s">
        <v>164</v>
      </c>
      <c r="C61" s="14" t="s">
        <v>209</v>
      </c>
      <c r="D61" s="38" t="s">
        <v>232</v>
      </c>
      <c r="E61" s="15" t="s">
        <v>166</v>
      </c>
      <c r="F61" s="14">
        <v>2</v>
      </c>
      <c r="G61" s="14" t="s">
        <v>178</v>
      </c>
      <c r="H61" s="19">
        <v>15</v>
      </c>
      <c r="I61" s="19" t="s">
        <v>162</v>
      </c>
      <c r="J61" s="19">
        <v>1</v>
      </c>
      <c r="K61" s="21" t="s">
        <v>163</v>
      </c>
      <c r="L61" s="53">
        <v>105267</v>
      </c>
      <c r="M61" s="33">
        <v>71.87</v>
      </c>
      <c r="N61" s="54">
        <v>146465</v>
      </c>
      <c r="O61" s="48">
        <v>5250000</v>
      </c>
      <c r="P61" s="34">
        <v>3885000</v>
      </c>
      <c r="Q61" s="34">
        <f t="shared" si="12"/>
        <v>3885000</v>
      </c>
      <c r="R61" s="34">
        <f t="shared" si="13"/>
        <v>3885000</v>
      </c>
      <c r="S61" s="35">
        <f t="shared" si="1"/>
        <v>7770000</v>
      </c>
      <c r="U61" s="61" t="s">
        <v>257</v>
      </c>
      <c r="V61" s="99">
        <v>19442528</v>
      </c>
      <c r="W61" s="99">
        <v>2820370</v>
      </c>
      <c r="X61" s="99">
        <v>16622158</v>
      </c>
      <c r="Y61" s="99">
        <v>1719651</v>
      </c>
      <c r="Z61" s="99">
        <v>443051</v>
      </c>
      <c r="AA61" s="99">
        <v>657668</v>
      </c>
    </row>
    <row r="62" spans="1:27" s="13" customFormat="1" ht="15" customHeight="1" x14ac:dyDescent="0.3">
      <c r="A62" s="14" t="s">
        <v>205</v>
      </c>
      <c r="B62" s="106" t="s">
        <v>164</v>
      </c>
      <c r="C62" s="14" t="s">
        <v>209</v>
      </c>
      <c r="D62" s="38" t="s">
        <v>287</v>
      </c>
      <c r="E62" s="38" t="s">
        <v>166</v>
      </c>
      <c r="F62" s="14">
        <v>2</v>
      </c>
      <c r="G62" s="14" t="s">
        <v>178</v>
      </c>
      <c r="H62" s="19">
        <v>15</v>
      </c>
      <c r="I62" s="19" t="s">
        <v>162</v>
      </c>
      <c r="J62" s="19">
        <v>1</v>
      </c>
      <c r="K62" s="21" t="s">
        <v>163</v>
      </c>
      <c r="L62" s="53">
        <v>98176</v>
      </c>
      <c r="M62" s="33">
        <v>67.03</v>
      </c>
      <c r="N62" s="54">
        <v>146465</v>
      </c>
      <c r="O62" s="48">
        <v>5250000</v>
      </c>
      <c r="P62" s="34">
        <v>3885000</v>
      </c>
      <c r="Q62" s="34">
        <f t="shared" ref="Q62:Q63" si="23">P62</f>
        <v>3885000</v>
      </c>
      <c r="R62" s="34">
        <f t="shared" ref="R62:R63" si="24">P62</f>
        <v>3885000</v>
      </c>
      <c r="S62" s="35">
        <f t="shared" ref="S62:S63" si="25">Q62+R62</f>
        <v>7770000</v>
      </c>
      <c r="U62" s="61" t="s">
        <v>258</v>
      </c>
      <c r="V62" s="99">
        <v>1158.0239913278615</v>
      </c>
      <c r="W62" s="99">
        <v>604.20531716617745</v>
      </c>
      <c r="X62" s="99">
        <v>1371.2954667326653</v>
      </c>
      <c r="Y62" s="99">
        <v>804.14264270583453</v>
      </c>
      <c r="Z62" s="99">
        <v>416.10409857620493</v>
      </c>
      <c r="AA62" s="99">
        <v>449.02741269245212</v>
      </c>
    </row>
    <row r="63" spans="1:27" s="13" customFormat="1" ht="15" customHeight="1" x14ac:dyDescent="0.3">
      <c r="A63" s="14" t="s">
        <v>205</v>
      </c>
      <c r="B63" s="106" t="s">
        <v>164</v>
      </c>
      <c r="C63" s="14" t="s">
        <v>209</v>
      </c>
      <c r="D63" s="38" t="s">
        <v>288</v>
      </c>
      <c r="E63" s="38" t="s">
        <v>185</v>
      </c>
      <c r="F63" s="14">
        <v>2</v>
      </c>
      <c r="G63" s="14" t="s">
        <v>178</v>
      </c>
      <c r="H63" s="19">
        <v>15</v>
      </c>
      <c r="I63" s="19" t="s">
        <v>162</v>
      </c>
      <c r="J63" s="19">
        <v>1</v>
      </c>
      <c r="K63" s="21" t="s">
        <v>163</v>
      </c>
      <c r="L63" s="53">
        <v>77558</v>
      </c>
      <c r="M63" s="33">
        <v>52.95</v>
      </c>
      <c r="N63" s="54">
        <v>146465</v>
      </c>
      <c r="O63" s="48">
        <v>5250000</v>
      </c>
      <c r="P63" s="34">
        <v>3885000</v>
      </c>
      <c r="Q63" s="34">
        <f t="shared" si="23"/>
        <v>3885000</v>
      </c>
      <c r="R63" s="34">
        <f t="shared" si="24"/>
        <v>3885000</v>
      </c>
      <c r="S63" s="35">
        <f t="shared" si="25"/>
        <v>7770000</v>
      </c>
      <c r="U63" s="61" t="s">
        <v>259</v>
      </c>
      <c r="V63" s="99">
        <v>1678940</v>
      </c>
      <c r="W63" s="99">
        <v>466790</v>
      </c>
      <c r="X63" s="99">
        <v>1212150</v>
      </c>
      <c r="Y63" s="99">
        <v>213849</v>
      </c>
      <c r="Z63" s="99">
        <v>106476</v>
      </c>
      <c r="AA63" s="99">
        <v>146465</v>
      </c>
    </row>
    <row r="64" spans="1:27" ht="15" customHeight="1" thickBot="1" x14ac:dyDescent="0.35">
      <c r="A64" s="24"/>
      <c r="B64" s="43"/>
      <c r="C64" s="25"/>
      <c r="D64" s="26"/>
      <c r="E64" s="27"/>
      <c r="F64" s="27"/>
      <c r="G64" s="27"/>
      <c r="H64" s="28"/>
      <c r="I64" s="27"/>
      <c r="J64" s="27"/>
      <c r="K64" s="45"/>
      <c r="L64" s="50"/>
      <c r="M64" s="51"/>
      <c r="N64" s="52"/>
      <c r="O64" s="49">
        <f>SUM(O10:O61)</f>
        <v>432900000</v>
      </c>
      <c r="P64" s="44">
        <f>SUM(P10:P63)</f>
        <v>345817000</v>
      </c>
      <c r="Q64" s="44">
        <f>SUM(Q10:Q63)</f>
        <v>344687000</v>
      </c>
      <c r="R64" s="44">
        <f>SUM(R10:R63)</f>
        <v>345817000</v>
      </c>
      <c r="S64" s="44">
        <f>SUM(S10:S63)</f>
        <v>690504000</v>
      </c>
      <c r="T64" s="4"/>
      <c r="U64" s="61" t="s">
        <v>282</v>
      </c>
      <c r="V64" s="99">
        <v>801769</v>
      </c>
      <c r="W64" s="99">
        <v>154814</v>
      </c>
      <c r="X64" s="99">
        <v>646955</v>
      </c>
      <c r="Y64" s="99">
        <v>80056</v>
      </c>
      <c r="Z64" s="99">
        <v>25595</v>
      </c>
      <c r="AA64" s="99">
        <v>49163</v>
      </c>
    </row>
    <row r="65" spans="1:28" x14ac:dyDescent="0.3">
      <c r="V65" s="4"/>
      <c r="W65" s="4"/>
      <c r="X65" s="4"/>
    </row>
    <row r="66" spans="1:28" ht="15" customHeight="1" thickBot="1" x14ac:dyDescent="0.35"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6"/>
    </row>
    <row r="67" spans="1:28" s="30" customFormat="1" ht="25.05" customHeight="1" x14ac:dyDescent="0.3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112" t="s">
        <v>160</v>
      </c>
      <c r="R67" s="108">
        <f>S64</f>
        <v>690504000</v>
      </c>
      <c r="S67" s="55">
        <f>R67/12600</f>
        <v>54801.904761904763</v>
      </c>
    </row>
    <row r="68" spans="1:28" s="30" customFormat="1" ht="25.05" customHeight="1" x14ac:dyDescent="0.3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113" t="s">
        <v>215</v>
      </c>
      <c r="R68" s="109">
        <f>R67*3%</f>
        <v>20715120</v>
      </c>
      <c r="S68" s="56">
        <f>R68/12600</f>
        <v>1644.0571428571429</v>
      </c>
    </row>
    <row r="69" spans="1:28" s="30" customFormat="1" ht="25.05" customHeight="1" thickBot="1" x14ac:dyDescent="0.3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114" t="s">
        <v>161</v>
      </c>
      <c r="R69" s="110">
        <f>(R67+R68)*1.12</f>
        <v>796565414.4000001</v>
      </c>
      <c r="S69" s="57">
        <f>R69/12600</f>
        <v>63219.477333333343</v>
      </c>
    </row>
    <row r="70" spans="1:28" ht="24.45" customHeight="1" x14ac:dyDescent="0.3">
      <c r="Q70" s="8"/>
      <c r="R70" s="8"/>
      <c r="S70" s="8"/>
      <c r="T70" s="8"/>
      <c r="U70" s="8"/>
      <c r="V70" s="8"/>
      <c r="W70" s="8"/>
      <c r="X70" s="4"/>
    </row>
    <row r="71" spans="1:28" ht="16.2" thickBot="1" x14ac:dyDescent="0.35">
      <c r="T71" s="8"/>
      <c r="U71" s="8"/>
      <c r="V71" s="8"/>
      <c r="W71" s="8"/>
      <c r="X71" s="8"/>
      <c r="Y71" s="8"/>
      <c r="Z71" s="8"/>
    </row>
    <row r="72" spans="1:28" ht="25.05" customHeight="1" thickBot="1" x14ac:dyDescent="0.35">
      <c r="P72" s="4"/>
      <c r="Q72" s="115" t="s">
        <v>293</v>
      </c>
      <c r="R72" s="111">
        <v>796664345.21333337</v>
      </c>
      <c r="S72" s="107">
        <v>63227.328985185202</v>
      </c>
      <c r="U72" s="4"/>
      <c r="V72" s="4"/>
      <c r="W72" s="4"/>
      <c r="X72" s="4"/>
    </row>
    <row r="73" spans="1:28" x14ac:dyDescent="0.3">
      <c r="K73" s="8"/>
      <c r="L73" s="8"/>
      <c r="M73" s="8"/>
      <c r="N73" s="8"/>
      <c r="R73" s="4"/>
      <c r="S73" s="4"/>
      <c r="T73" s="4"/>
      <c r="U73" s="4"/>
      <c r="W73" s="4"/>
      <c r="X73" s="4"/>
    </row>
    <row r="74" spans="1:28" x14ac:dyDescent="0.3">
      <c r="K74" s="8"/>
      <c r="L74" s="8"/>
      <c r="M74" s="8"/>
      <c r="N74" s="8"/>
      <c r="R74" s="4"/>
      <c r="S74" s="4"/>
      <c r="T74" s="4"/>
      <c r="U74" s="4"/>
      <c r="X74" s="4"/>
    </row>
    <row r="75" spans="1:28" x14ac:dyDescent="0.3">
      <c r="K75" s="8"/>
      <c r="L75" s="8"/>
      <c r="M75" s="8"/>
      <c r="N75" s="8"/>
      <c r="R75" s="4"/>
      <c r="S75" s="4"/>
      <c r="T75" s="4"/>
      <c r="U75" s="4"/>
      <c r="W75" s="4"/>
      <c r="X75" s="4"/>
    </row>
    <row r="76" spans="1:28" x14ac:dyDescent="0.3">
      <c r="R76" s="4"/>
      <c r="S76" s="4"/>
      <c r="T76" s="4"/>
      <c r="U76" s="4"/>
      <c r="W76" s="4"/>
      <c r="X76" s="4"/>
    </row>
    <row r="77" spans="1:28" x14ac:dyDescent="0.3">
      <c r="R77" s="4"/>
      <c r="S77" s="4"/>
      <c r="T77" s="4"/>
      <c r="U77" s="4"/>
      <c r="V77" s="8"/>
    </row>
    <row r="78" spans="1:28" x14ac:dyDescent="0.3">
      <c r="R78" s="4"/>
      <c r="S78" s="4"/>
      <c r="T78" s="4"/>
      <c r="U78" s="4"/>
      <c r="V78" s="8"/>
    </row>
    <row r="79" spans="1:28" x14ac:dyDescent="0.3">
      <c r="R79" s="4"/>
      <c r="S79" s="4"/>
      <c r="T79" s="4"/>
      <c r="U79" s="4"/>
    </row>
    <row r="80" spans="1:28" x14ac:dyDescent="0.3">
      <c r="R80" s="4"/>
      <c r="S80" s="4"/>
      <c r="T80" s="4"/>
      <c r="U80" s="4"/>
    </row>
    <row r="81" spans="18:21" x14ac:dyDescent="0.3">
      <c r="R81" s="4"/>
      <c r="S81" s="4"/>
      <c r="T81" s="4"/>
      <c r="U81" s="4"/>
    </row>
    <row r="82" spans="18:21" x14ac:dyDescent="0.3">
      <c r="R82" s="4"/>
      <c r="S82" s="4"/>
      <c r="T82" s="4"/>
      <c r="U82" s="4"/>
    </row>
    <row r="83" spans="18:21" x14ac:dyDescent="0.3">
      <c r="R83" s="4"/>
      <c r="S83" s="4"/>
      <c r="T83" s="4"/>
      <c r="U83" s="4"/>
    </row>
    <row r="84" spans="18:21" x14ac:dyDescent="0.3">
      <c r="R84" s="4"/>
      <c r="S84" s="4"/>
      <c r="T84" s="4"/>
      <c r="U84" s="4"/>
    </row>
    <row r="85" spans="18:21" x14ac:dyDescent="0.3">
      <c r="R85" s="4"/>
      <c r="S85" s="4"/>
      <c r="T85" s="4"/>
      <c r="U85" s="4"/>
    </row>
    <row r="86" spans="18:21" x14ac:dyDescent="0.3">
      <c r="R86" s="4"/>
      <c r="S86" s="4"/>
      <c r="T86" s="4"/>
      <c r="U86" s="4"/>
    </row>
    <row r="87" spans="18:21" x14ac:dyDescent="0.3">
      <c r="R87" s="4"/>
      <c r="S87" s="4"/>
      <c r="T87" s="4"/>
      <c r="U87" s="4"/>
    </row>
    <row r="88" spans="18:21" x14ac:dyDescent="0.3">
      <c r="R88" s="4"/>
      <c r="S88" s="4"/>
      <c r="T88" s="4"/>
      <c r="U88" s="4"/>
    </row>
    <row r="89" spans="18:21" x14ac:dyDescent="0.3">
      <c r="R89" s="4"/>
      <c r="S89" s="4"/>
      <c r="T89" s="4"/>
      <c r="U89" s="4"/>
    </row>
    <row r="90" spans="18:21" x14ac:dyDescent="0.3">
      <c r="R90" s="4"/>
      <c r="S90" s="4"/>
      <c r="T90" s="4"/>
      <c r="U90" s="4"/>
    </row>
    <row r="91" spans="18:21" x14ac:dyDescent="0.3">
      <c r="R91" s="4"/>
      <c r="S91" s="4"/>
      <c r="T91" s="4"/>
      <c r="U91" s="4"/>
    </row>
    <row r="92" spans="18:21" x14ac:dyDescent="0.3">
      <c r="R92" s="4"/>
      <c r="S92" s="4"/>
      <c r="T92" s="4"/>
      <c r="U92" s="4"/>
    </row>
    <row r="93" spans="18:21" x14ac:dyDescent="0.3">
      <c r="R93" s="4"/>
      <c r="S93" s="4"/>
      <c r="T93" s="4"/>
      <c r="U93" s="4"/>
    </row>
    <row r="94" spans="18:21" x14ac:dyDescent="0.3">
      <c r="R94" s="4"/>
      <c r="S94" s="4"/>
      <c r="T94" s="4"/>
      <c r="U94" s="4"/>
    </row>
    <row r="95" spans="18:21" x14ac:dyDescent="0.3">
      <c r="R95" s="4"/>
      <c r="S95" s="4"/>
      <c r="T95" s="4"/>
      <c r="U95" s="4"/>
    </row>
  </sheetData>
  <sheetProtection selectLockedCells="1"/>
  <protectedRanges>
    <protectedRange algorithmName="SHA-512" hashValue="20tZejZtY/ZGRcGLZm0ZbWfCu51ejQGMqdRYwv0b9rb/5Q/ejFDHQOXySZDQbnMuPhvZC4Bfbq/BWdBxp9Ls4w==" saltValue="Q+V8rXhHsE4u/j5xUQJeAg==" spinCount="100000" sqref="H64 K64:N64" name="Диапазон1"/>
    <protectedRange algorithmName="SHA-512" hashValue="20tZejZtY/ZGRcGLZm0ZbWfCu51ejQGMqdRYwv0b9rb/5Q/ejFDHQOXySZDQbnMuPhvZC4Bfbq/BWdBxp9Ls4w==" saltValue="Q+V8rXhHsE4u/j5xUQJeAg==" spinCount="100000" sqref="E56:E63 E19:E51" name="Диапазон1_8_6"/>
    <protectedRange algorithmName="SHA-512" hashValue="20tZejZtY/ZGRcGLZm0ZbWfCu51ejQGMqdRYwv0b9rb/5Q/ejFDHQOXySZDQbnMuPhvZC4Bfbq/BWdBxp9Ls4w==" saltValue="Q+V8rXhHsE4u/j5xUQJeAg==" spinCount="100000" sqref="I19 K19:N19 I38:I63 K43:N63 L38:N42" name="Диапазон1_4_6"/>
    <protectedRange algorithmName="SHA-512" hashValue="20tZejZtY/ZGRcGLZm0ZbWfCu51ejQGMqdRYwv0b9rb/5Q/ejFDHQOXySZDQbnMuPhvZC4Bfbq/BWdBxp9Ls4w==" saltValue="Q+V8rXhHsE4u/j5xUQJeAg==" spinCount="100000" sqref="J19 J38:J63" name="Диапазон1_1_1_4"/>
    <protectedRange algorithmName="SHA-512" hashValue="20tZejZtY/ZGRcGLZm0ZbWfCu51ejQGMqdRYwv0b9rb/5Q/ejFDHQOXySZDQbnMuPhvZC4Bfbq/BWdBxp9Ls4w==" saltValue="Q+V8rXhHsE4u/j5xUQJeAg==" spinCount="100000" sqref="G23 G15:G21 G25:G26 G38:G63 G28:G33" name="Диапазон1_5_2_1_5"/>
    <protectedRange algorithmName="SHA-512" hashValue="20tZejZtY/ZGRcGLZm0ZbWfCu51ejQGMqdRYwv0b9rb/5Q/ejFDHQOXySZDQbnMuPhvZC4Bfbq/BWdBxp9Ls4w==" saltValue="Q+V8rXhHsE4u/j5xUQJeAg==" spinCount="100000" sqref="D56:D63 D19:D51" name="Диапазон1_2_3_1_6"/>
    <protectedRange algorithmName="SHA-512" hashValue="20tZejZtY/ZGRcGLZm0ZbWfCu51ejQGMqdRYwv0b9rb/5Q/ejFDHQOXySZDQbnMuPhvZC4Bfbq/BWdBxp9Ls4w==" saltValue="Q+V8rXhHsE4u/j5xUQJeAg==" spinCount="100000" sqref="B19:B63" name="Диапазон1_2_1_1_1_6"/>
    <protectedRange algorithmName="SHA-512" hashValue="20tZejZtY/ZGRcGLZm0ZbWfCu51ejQGMqdRYwv0b9rb/5Q/ejFDHQOXySZDQbnMuPhvZC4Bfbq/BWdBxp9Ls4w==" saltValue="Q+V8rXhHsE4u/j5xUQJeAg==" spinCount="100000" sqref="I14:I16 K14:N16" name="Диапазон1_3_2"/>
    <protectedRange algorithmName="SHA-512" hashValue="20tZejZtY/ZGRcGLZm0ZbWfCu51ejQGMqdRYwv0b9rb/5Q/ejFDHQOXySZDQbnMuPhvZC4Bfbq/BWdBxp9Ls4w==" saltValue="Q+V8rXhHsE4u/j5xUQJeAg==" spinCount="100000" sqref="J14:J16" name="Диапазон1_1_3_2"/>
    <protectedRange algorithmName="SHA-512" hashValue="20tZejZtY/ZGRcGLZm0ZbWfCu51ejQGMqdRYwv0b9rb/5Q/ejFDHQOXySZDQbnMuPhvZC4Bfbq/BWdBxp9Ls4w==" saltValue="Q+V8rXhHsE4u/j5xUQJeAg==" spinCount="100000" sqref="D14" name="Диапазон1_17_1_2"/>
    <protectedRange algorithmName="SHA-512" hashValue="20tZejZtY/ZGRcGLZm0ZbWfCu51ejQGMqdRYwv0b9rb/5Q/ejFDHQOXySZDQbnMuPhvZC4Bfbq/BWdBxp9Ls4w==" saltValue="Q+V8rXhHsE4u/j5xUQJeAg==" spinCount="100000" sqref="G14" name="Диапазон1_5_2_2_2"/>
    <protectedRange algorithmName="SHA-512" hashValue="20tZejZtY/ZGRcGLZm0ZbWfCu51ejQGMqdRYwv0b9rb/5Q/ejFDHQOXySZDQbnMuPhvZC4Bfbq/BWdBxp9Ls4w==" saltValue="Q+V8rXhHsE4u/j5xUQJeAg==" spinCount="100000" sqref="E15:E18" name="Диапазон1_8_2_2"/>
    <protectedRange algorithmName="SHA-512" hashValue="20tZejZtY/ZGRcGLZm0ZbWfCu51ejQGMqdRYwv0b9rb/5Q/ejFDHQOXySZDQbnMuPhvZC4Bfbq/BWdBxp9Ls4w==" saltValue="Q+V8rXhHsE4u/j5xUQJeAg==" spinCount="100000" sqref="D15:D16" name="Диапазон1_2_3_2_2"/>
    <protectedRange algorithmName="SHA-512" hashValue="20tZejZtY/ZGRcGLZm0ZbWfCu51ejQGMqdRYwv0b9rb/5Q/ejFDHQOXySZDQbnMuPhvZC4Bfbq/BWdBxp9Ls4w==" saltValue="Q+V8rXhHsE4u/j5xUQJeAg==" spinCount="100000" sqref="B14:B16" name="Диапазон1_2_1_1_2_2"/>
    <protectedRange algorithmName="SHA-512" hashValue="20tZejZtY/ZGRcGLZm0ZbWfCu51ejQGMqdRYwv0b9rb/5Q/ejFDHQOXySZDQbnMuPhvZC4Bfbq/BWdBxp9Ls4w==" saltValue="Q+V8rXhHsE4u/j5xUQJeAg==" spinCount="100000" sqref="I17:I18 K17:N18" name="Диапазон1_4_1_2"/>
    <protectedRange algorithmName="SHA-512" hashValue="20tZejZtY/ZGRcGLZm0ZbWfCu51ejQGMqdRYwv0b9rb/5Q/ejFDHQOXySZDQbnMuPhvZC4Bfbq/BWdBxp9Ls4w==" saltValue="Q+V8rXhHsE4u/j5xUQJeAg==" spinCount="100000" sqref="J17:J18" name="Диапазон1_1_1_1_2"/>
    <protectedRange algorithmName="SHA-512" hashValue="20tZejZtY/ZGRcGLZm0ZbWfCu51ejQGMqdRYwv0b9rb/5Q/ejFDHQOXySZDQbnMuPhvZC4Bfbq/BWdBxp9Ls4w==" saltValue="Q+V8rXhHsE4u/j5xUQJeAg==" spinCount="100000" sqref="D17:D18" name="Диапазон1_2_3_1_1_2"/>
    <protectedRange algorithmName="SHA-512" hashValue="20tZejZtY/ZGRcGLZm0ZbWfCu51ejQGMqdRYwv0b9rb/5Q/ejFDHQOXySZDQbnMuPhvZC4Bfbq/BWdBxp9Ls4w==" saltValue="Q+V8rXhHsE4u/j5xUQJeAg==" spinCount="100000" sqref="B17:B18" name="Диапазон1_2_1_1_1_1_2"/>
    <protectedRange algorithmName="SHA-512" hashValue="20tZejZtY/ZGRcGLZm0ZbWfCu51ejQGMqdRYwv0b9rb/5Q/ejFDHQOXySZDQbnMuPhvZC4Bfbq/BWdBxp9Ls4w==" saltValue="Q+V8rXhHsE4u/j5xUQJeAg==" spinCount="100000" sqref="F10:F63" name="Диапазон1_1_2_4_2"/>
    <protectedRange algorithmName="SHA-512" hashValue="20tZejZtY/ZGRcGLZm0ZbWfCu51ejQGMqdRYwv0b9rb/5Q/ejFDHQOXySZDQbnMuPhvZC4Bfbq/BWdBxp9Ls4w==" saltValue="Q+V8rXhHsE4u/j5xUQJeAg==" spinCount="100000" sqref="E10:E13" name="Диапазон1_8_3_2"/>
    <protectedRange algorithmName="SHA-512" hashValue="20tZejZtY/ZGRcGLZm0ZbWfCu51ejQGMqdRYwv0b9rb/5Q/ejFDHQOXySZDQbnMuPhvZC4Bfbq/BWdBxp9Ls4w==" saltValue="Q+V8rXhHsE4u/j5xUQJeAg==" spinCount="100000" sqref="K10:N13 I10:I13 S10:S63" name="Диапазон1_4_3_2"/>
    <protectedRange algorithmName="SHA-512" hashValue="20tZejZtY/ZGRcGLZm0ZbWfCu51ejQGMqdRYwv0b9rb/5Q/ejFDHQOXySZDQbnMuPhvZC4Bfbq/BWdBxp9Ls4w==" saltValue="Q+V8rXhHsE4u/j5xUQJeAg==" spinCount="100000" sqref="J10:J13" name="Диапазон1_1_1_2_2"/>
    <protectedRange algorithmName="SHA-512" hashValue="20tZejZtY/ZGRcGLZm0ZbWfCu51ejQGMqdRYwv0b9rb/5Q/ejFDHQOXySZDQbnMuPhvZC4Bfbq/BWdBxp9Ls4w==" saltValue="Q+V8rXhHsE4u/j5xUQJeAg==" spinCount="100000" sqref="H10:H63" name="Диапазон1_7_1_2_2"/>
    <protectedRange algorithmName="SHA-512" hashValue="20tZejZtY/ZGRcGLZm0ZbWfCu51ejQGMqdRYwv0b9rb/5Q/ejFDHQOXySZDQbnMuPhvZC4Bfbq/BWdBxp9Ls4w==" saltValue="Q+V8rXhHsE4u/j5xUQJeAg==" spinCount="100000" sqref="G10:G13 G24" name="Диапазон1_5_2_1_2_2"/>
    <protectedRange algorithmName="SHA-512" hashValue="20tZejZtY/ZGRcGLZm0ZbWfCu51ejQGMqdRYwv0b9rb/5Q/ejFDHQOXySZDQbnMuPhvZC4Bfbq/BWdBxp9Ls4w==" saltValue="Q+V8rXhHsE4u/j5xUQJeAg==" spinCount="100000" sqref="D10:D13" name="Диапазон1_2_3_1_2_2"/>
    <protectedRange algorithmName="SHA-512" hashValue="20tZejZtY/ZGRcGLZm0ZbWfCu51ejQGMqdRYwv0b9rb/5Q/ejFDHQOXySZDQbnMuPhvZC4Bfbq/BWdBxp9Ls4w==" saltValue="Q+V8rXhHsE4u/j5xUQJeAg==" spinCount="100000" sqref="B10:B13" name="Диапазон1_2_1_1_1_2_2"/>
    <protectedRange algorithmName="SHA-512" hashValue="20tZejZtY/ZGRcGLZm0ZbWfCu51ejQGMqdRYwv0b9rb/5Q/ejFDHQOXySZDQbnMuPhvZC4Bfbq/BWdBxp9Ls4w==" saltValue="Q+V8rXhHsE4u/j5xUQJeAg==" spinCount="100000" sqref="I20:I37 K20:N35 L36:N37 K36:K42" name="Диапазон1_1_6"/>
    <protectedRange algorithmName="SHA-512" hashValue="20tZejZtY/ZGRcGLZm0ZbWfCu51ejQGMqdRYwv0b9rb/5Q/ejFDHQOXySZDQbnMuPhvZC4Bfbq/BWdBxp9Ls4w==" saltValue="Q+V8rXhHsE4u/j5xUQJeAg==" spinCount="100000" sqref="G22 G27 G34:G37" name="Диапазон1_1_2_5_2"/>
    <protectedRange algorithmName="SHA-512" hashValue="20tZejZtY/ZGRcGLZm0ZbWfCu51ejQGMqdRYwv0b9rb/5Q/ejFDHQOXySZDQbnMuPhvZC4Bfbq/BWdBxp9Ls4w==" saltValue="Q+V8rXhHsE4u/j5xUQJeAg==" spinCount="100000" sqref="C48:C55" name="Диапазон1_2_1_7"/>
    <protectedRange algorithmName="SHA-512" hashValue="20tZejZtY/ZGRcGLZm0ZbWfCu51ejQGMqdRYwv0b9rb/5Q/ejFDHQOXySZDQbnMuPhvZC4Bfbq/BWdBxp9Ls4w==" saltValue="Q+V8rXhHsE4u/j5xUQJeAg==" spinCount="100000" sqref="O22:O23 O30:O63" name="Диапазон1_14_1_6"/>
    <protectedRange algorithmName="SHA-512" hashValue="20tZejZtY/ZGRcGLZm0ZbWfCu51ejQGMqdRYwv0b9rb/5Q/ejFDHQOXySZDQbnMuPhvZC4Bfbq/BWdBxp9Ls4w==" saltValue="Q+V8rXhHsE4u/j5xUQJeAg==" spinCount="100000" sqref="O14:O21 O10 O25 O27:O29" name="Диапазон1_14_2_2"/>
    <protectedRange algorithmName="SHA-512" hashValue="20tZejZtY/ZGRcGLZm0ZbWfCu51ejQGMqdRYwv0b9rb/5Q/ejFDHQOXySZDQbnMuPhvZC4Bfbq/BWdBxp9Ls4w==" saltValue="Q+V8rXhHsE4u/j5xUQJeAg==" spinCount="100000" sqref="P10:R63" name="Диапазон1_14_1_1_2_1"/>
    <protectedRange algorithmName="SHA-512" hashValue="20tZejZtY/ZGRcGLZm0ZbWfCu51ejQGMqdRYwv0b9rb/5Q/ejFDHQOXySZDQbnMuPhvZC4Bfbq/BWdBxp9Ls4w==" saltValue="Q+V8rXhHsE4u/j5xUQJeAg==" spinCount="100000" sqref="O11:O13 O24 O26" name="Диапазон1_14_1_2_2"/>
  </protectedRanges>
  <mergeCells count="3">
    <mergeCell ref="L8:N8"/>
    <mergeCell ref="V12:Z12"/>
    <mergeCell ref="V40:Z40"/>
  </mergeCells>
  <phoneticPr fontId="14" type="noConversion"/>
  <hyperlinks>
    <hyperlink ref="B38" r:id="rId1" xr:uid="{2C2ACA8D-34A5-744D-8A25-045B6AB569D2}"/>
    <hyperlink ref="B39" r:id="rId2" xr:uid="{0D78CA17-AF38-944B-8B00-A14382846B8C}"/>
    <hyperlink ref="B40" r:id="rId3" xr:uid="{1CF80BA9-396F-FA49-9196-D89EA4EF5C0F}"/>
    <hyperlink ref="B41" r:id="rId4" xr:uid="{154B6589-2C85-9145-821B-5D52903F9FBB}"/>
    <hyperlink ref="B42" r:id="rId5" xr:uid="{021FAB0E-5D97-CC48-911C-AC5132229D78}"/>
    <hyperlink ref="B43" r:id="rId6" xr:uid="{77D4F04B-A837-3842-8DD7-51ABE66DA1FC}"/>
    <hyperlink ref="B44" r:id="rId7" xr:uid="{7D5BE028-7A83-C04C-A645-BE9D6C98CAC5}"/>
    <hyperlink ref="B45" r:id="rId8" xr:uid="{A1C44278-DCE6-5A49-BFDF-BBB9C52C5C0E}"/>
    <hyperlink ref="B10" r:id="rId9" xr:uid="{057843D5-F7D0-C24A-B518-8B6CD0C81FC3}"/>
    <hyperlink ref="B11" r:id="rId10" xr:uid="{92DFED0B-D04A-374F-B7C7-90F65214DBF9}"/>
    <hyperlink ref="B12" r:id="rId11" xr:uid="{B8FE2FB9-7A87-A047-87B4-19FB751E32B9}"/>
    <hyperlink ref="B13" r:id="rId12" xr:uid="{E424E69B-F8AA-6D45-9AA8-2D2D3040B283}"/>
    <hyperlink ref="B14" r:id="rId13" xr:uid="{30A3CA54-DA27-BC49-A2B8-6E6B8DB7ED30}"/>
    <hyperlink ref="B15" r:id="rId14" xr:uid="{F3216C78-C75F-904C-8F27-0880519660AC}"/>
    <hyperlink ref="B16" r:id="rId15" xr:uid="{720A7932-3F4F-EC46-B891-2CC46C210AFB}"/>
    <hyperlink ref="B17" r:id="rId16" xr:uid="{38838356-1383-D94D-A249-531202143A08}"/>
    <hyperlink ref="B18" r:id="rId17" xr:uid="{000D4C9A-3736-EB4A-A46B-B5D22FF61EDE}"/>
    <hyperlink ref="B19" r:id="rId18" xr:uid="{4B362178-C720-1C40-8124-8E8D2369ED33}"/>
    <hyperlink ref="B20" r:id="rId19" xr:uid="{683E6CA5-DFC0-4642-9FEF-10265D30F2DF}"/>
    <hyperlink ref="B21" r:id="rId20" xr:uid="{FA666B58-B5A4-BC4F-B12B-4BE088FFAE85}"/>
    <hyperlink ref="B22" r:id="rId21" xr:uid="{3971B9B9-2F54-E547-B7CD-8BF0CFEB7391}"/>
    <hyperlink ref="B23" r:id="rId22" xr:uid="{F61FD1B3-DCF2-0E4C-844F-3970FF6F0880}"/>
    <hyperlink ref="B25" r:id="rId23" xr:uid="{42F25837-9856-5642-80E8-6A4EA5B045F2}"/>
    <hyperlink ref="B27" r:id="rId24" xr:uid="{6F18B739-8A70-5640-A849-6FD555EDD21D}"/>
    <hyperlink ref="B28" r:id="rId25" xr:uid="{F0C843CE-DD1E-3940-B0E0-1E6FB5FED8DE}"/>
    <hyperlink ref="B24" r:id="rId26" xr:uid="{DE21A000-2298-B445-A008-859ED1F52FFB}"/>
    <hyperlink ref="B29" r:id="rId27" xr:uid="{7CB01160-8069-5A40-B91C-E2703562AD11}"/>
    <hyperlink ref="B30" r:id="rId28" xr:uid="{AFB9FA48-4590-434C-A1D0-2615FA1F0E9C}"/>
    <hyperlink ref="B31" r:id="rId29" xr:uid="{99682618-003A-354C-8A7E-98114ADDDBBA}"/>
    <hyperlink ref="B32" r:id="rId30" xr:uid="{4CE32A57-EA65-2A4D-845D-4E56B0CDC12F}"/>
    <hyperlink ref="B33" r:id="rId31" xr:uid="{DC1FFDF1-D541-7949-91D6-C6EA4CAB84A6}"/>
    <hyperlink ref="B34" r:id="rId32" xr:uid="{47399883-B843-574A-9992-697E7A4A9648}"/>
    <hyperlink ref="B35" r:id="rId33" xr:uid="{A23F666C-FECE-9147-ADB1-C3536817F797}"/>
    <hyperlink ref="B26" r:id="rId34" xr:uid="{D89EEDA9-D5E8-5640-BA36-1911059C9538}"/>
    <hyperlink ref="B46" r:id="rId35" xr:uid="{7DE46B42-A408-3146-B1C5-83E93156161A}"/>
    <hyperlink ref="B47" r:id="rId36" xr:uid="{E2A3A324-FAEC-7F4C-B567-A352ADA72F63}"/>
    <hyperlink ref="B48" r:id="rId37" xr:uid="{BC953814-3956-D243-95BD-112342D729EF}"/>
    <hyperlink ref="B49" r:id="rId38" xr:uid="{0E3A4C34-04A0-9747-B667-4D63B0028760}"/>
    <hyperlink ref="B50" r:id="rId39" xr:uid="{43FDCB13-E858-4545-BC1D-B4388F292E17}"/>
    <hyperlink ref="B51" r:id="rId40" xr:uid="{EF383B6D-86AE-0147-9043-F947028DF06F}"/>
    <hyperlink ref="B52" r:id="rId41" xr:uid="{4468A749-B6EC-6448-844D-9748CFCB459E}"/>
    <hyperlink ref="B53" r:id="rId42" xr:uid="{F0902FE6-1444-424D-AE89-D4D3EC801D17}"/>
    <hyperlink ref="B54" r:id="rId43" xr:uid="{CFB149DD-2B1A-774E-94B6-F66D1DB6AC1B}"/>
    <hyperlink ref="B55" r:id="rId44" xr:uid="{E96B271C-AA0E-3F4F-BE6F-4A45F870EDD7}"/>
    <hyperlink ref="B56" r:id="rId45" xr:uid="{E4C61391-012B-B640-B765-3CE0AF61EC72}"/>
    <hyperlink ref="B57" r:id="rId46" xr:uid="{DD730B49-7012-504E-89A1-BA534FFBF6A7}"/>
    <hyperlink ref="B58" r:id="rId47" xr:uid="{4B797B85-361F-5145-8070-63A14D8731BD}"/>
    <hyperlink ref="B59" r:id="rId48" xr:uid="{57F70025-8E48-2C4D-84EE-459CB4B81C60}"/>
    <hyperlink ref="B60" r:id="rId49" xr:uid="{BE53889E-75BF-3A45-97F0-3C1F4F5AEDBF}"/>
    <hyperlink ref="B61" r:id="rId50" xr:uid="{2D624637-2817-7A4A-97A2-15BF679E2EDC}"/>
    <hyperlink ref="B62" r:id="rId51" xr:uid="{B9EFA372-C649-B44E-B33D-C682709B9C53}"/>
    <hyperlink ref="B63" r:id="rId52" xr:uid="{FC997F75-C060-0045-90FD-561232705B2D}"/>
    <hyperlink ref="B37" r:id="rId53" display="https://drive.google.com/file/d/1LA4F1T3B-UzyLqCBpV9UGObVkwklykIp/view?usp=share_link" xr:uid="{2F806388-0FDF-F740-9605-762FFCF1DEAF}"/>
    <hyperlink ref="B36" r:id="rId54" xr:uid="{8399EF85-EA0A-D043-9595-81F418C914DF}"/>
    <hyperlink ref="D6" r:id="rId55" xr:uid="{4A6C10B6-1DEF-4593-9444-B66C69580F35}"/>
    <hyperlink ref="D7" r:id="rId56" xr:uid="{8021962E-5643-455C-A141-A8521265B646}"/>
  </hyperlinks>
  <pageMargins left="0.7" right="0.7" top="0.75" bottom="0.75" header="0.3" footer="0.3"/>
  <pageSetup paperSize="9" orientation="portrait" verticalDpi="1200" r:id="rId57"/>
  <ignoredErrors>
    <ignoredError sqref="O64 R67:S67 P64:R64" unlockedFormula="1"/>
    <ignoredError sqref="S68:S69" formula="1" unlockedFormula="1"/>
  </ignoredErrors>
  <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4"/>
  <sheetViews>
    <sheetView zoomScale="80" zoomScaleNormal="80" workbookViewId="0">
      <selection activeCell="A2" sqref="A2:C154"/>
    </sheetView>
  </sheetViews>
  <sheetFormatPr defaultColWidth="8.77734375" defaultRowHeight="14.4" x14ac:dyDescent="0.3"/>
  <cols>
    <col min="1" max="1" width="11.44140625" customWidth="1"/>
    <col min="2" max="2" width="33.44140625" customWidth="1"/>
    <col min="3" max="3" width="16.44140625" bestFit="1" customWidth="1"/>
  </cols>
  <sheetData>
    <row r="1" spans="1:3" x14ac:dyDescent="0.3">
      <c r="A1" s="1" t="s">
        <v>11</v>
      </c>
      <c r="B1" s="1" t="s">
        <v>0</v>
      </c>
      <c r="C1" s="1" t="s">
        <v>12</v>
      </c>
    </row>
    <row r="2" spans="1:3" x14ac:dyDescent="0.3">
      <c r="A2" s="2" t="s">
        <v>1</v>
      </c>
      <c r="B2" s="2" t="s">
        <v>10</v>
      </c>
      <c r="C2" s="2" t="s">
        <v>9</v>
      </c>
    </row>
    <row r="3" spans="1:3" x14ac:dyDescent="0.3">
      <c r="A3" s="2" t="s">
        <v>1</v>
      </c>
      <c r="B3" s="2" t="s">
        <v>13</v>
      </c>
      <c r="C3" s="2" t="s">
        <v>9</v>
      </c>
    </row>
    <row r="4" spans="1:3" x14ac:dyDescent="0.3">
      <c r="A4" s="2" t="s">
        <v>1</v>
      </c>
      <c r="B4" s="2" t="s">
        <v>14</v>
      </c>
      <c r="C4" s="2" t="s">
        <v>9</v>
      </c>
    </row>
    <row r="5" spans="1:3" x14ac:dyDescent="0.3">
      <c r="A5" s="2" t="s">
        <v>1</v>
      </c>
      <c r="B5" s="2" t="s">
        <v>15</v>
      </c>
      <c r="C5" s="2" t="s">
        <v>9</v>
      </c>
    </row>
    <row r="6" spans="1:3" x14ac:dyDescent="0.3">
      <c r="A6" s="2" t="s">
        <v>1</v>
      </c>
      <c r="B6" s="2" t="s">
        <v>17</v>
      </c>
      <c r="C6" s="2" t="s">
        <v>9</v>
      </c>
    </row>
    <row r="7" spans="1:3" x14ac:dyDescent="0.3">
      <c r="A7" s="2" t="s">
        <v>1</v>
      </c>
      <c r="B7" s="2" t="s">
        <v>18</v>
      </c>
      <c r="C7" s="2" t="s">
        <v>9</v>
      </c>
    </row>
    <row r="8" spans="1:3" x14ac:dyDescent="0.3">
      <c r="A8" s="2" t="s">
        <v>1</v>
      </c>
      <c r="B8" s="2" t="s">
        <v>19</v>
      </c>
      <c r="C8" s="2" t="s">
        <v>9</v>
      </c>
    </row>
    <row r="9" spans="1:3" x14ac:dyDescent="0.3">
      <c r="A9" s="2" t="s">
        <v>1</v>
      </c>
      <c r="B9" s="2" t="s">
        <v>20</v>
      </c>
      <c r="C9" s="2" t="s">
        <v>9</v>
      </c>
    </row>
    <row r="10" spans="1:3" x14ac:dyDescent="0.3">
      <c r="A10" s="2" t="s">
        <v>1</v>
      </c>
      <c r="B10" s="2" t="s">
        <v>21</v>
      </c>
      <c r="C10" s="2" t="s">
        <v>9</v>
      </c>
    </row>
    <row r="11" spans="1:3" x14ac:dyDescent="0.3">
      <c r="A11" s="2" t="s">
        <v>1</v>
      </c>
      <c r="B11" s="2" t="s">
        <v>22</v>
      </c>
      <c r="C11" s="2" t="s">
        <v>9</v>
      </c>
    </row>
    <row r="12" spans="1:3" x14ac:dyDescent="0.3">
      <c r="A12" s="2" t="s">
        <v>1</v>
      </c>
      <c r="B12" s="2" t="s">
        <v>23</v>
      </c>
      <c r="C12" s="2" t="s">
        <v>9</v>
      </c>
    </row>
    <row r="13" spans="1:3" x14ac:dyDescent="0.3">
      <c r="A13" s="2" t="s">
        <v>1</v>
      </c>
      <c r="B13" s="2" t="s">
        <v>24</v>
      </c>
      <c r="C13" s="2" t="s">
        <v>9</v>
      </c>
    </row>
    <row r="14" spans="1:3" x14ac:dyDescent="0.3">
      <c r="A14" s="2" t="s">
        <v>1</v>
      </c>
      <c r="B14" s="2" t="s">
        <v>25</v>
      </c>
      <c r="C14" s="2" t="s">
        <v>9</v>
      </c>
    </row>
    <row r="15" spans="1:3" x14ac:dyDescent="0.3">
      <c r="A15" s="2" t="s">
        <v>1</v>
      </c>
      <c r="B15" s="2" t="s">
        <v>26</v>
      </c>
      <c r="C15" s="2" t="s">
        <v>9</v>
      </c>
    </row>
    <row r="16" spans="1:3" x14ac:dyDescent="0.3">
      <c r="A16" s="2" t="s">
        <v>1</v>
      </c>
      <c r="B16" s="2" t="s">
        <v>27</v>
      </c>
      <c r="C16" s="2" t="s">
        <v>9</v>
      </c>
    </row>
    <row r="17" spans="1:3" x14ac:dyDescent="0.3">
      <c r="A17" s="2" t="s">
        <v>1</v>
      </c>
      <c r="B17" s="2" t="s">
        <v>28</v>
      </c>
      <c r="C17" s="2" t="s">
        <v>9</v>
      </c>
    </row>
    <row r="18" spans="1:3" x14ac:dyDescent="0.3">
      <c r="A18" s="2" t="s">
        <v>1</v>
      </c>
      <c r="B18" s="2" t="s">
        <v>29</v>
      </c>
      <c r="C18" s="2" t="s">
        <v>9</v>
      </c>
    </row>
    <row r="19" spans="1:3" x14ac:dyDescent="0.3">
      <c r="A19" s="2" t="s">
        <v>1</v>
      </c>
      <c r="B19" s="2" t="s">
        <v>30</v>
      </c>
      <c r="C19" s="2" t="s">
        <v>9</v>
      </c>
    </row>
    <row r="20" spans="1:3" x14ac:dyDescent="0.3">
      <c r="A20" s="2" t="s">
        <v>1</v>
      </c>
      <c r="B20" s="2" t="s">
        <v>31</v>
      </c>
      <c r="C20" s="2" t="s">
        <v>9</v>
      </c>
    </row>
    <row r="21" spans="1:3" x14ac:dyDescent="0.3">
      <c r="A21" s="2" t="s">
        <v>1</v>
      </c>
      <c r="B21" s="2" t="s">
        <v>32</v>
      </c>
      <c r="C21" s="2" t="s">
        <v>9</v>
      </c>
    </row>
    <row r="22" spans="1:3" x14ac:dyDescent="0.3">
      <c r="A22" s="2" t="s">
        <v>1</v>
      </c>
      <c r="B22" s="2" t="s">
        <v>69</v>
      </c>
      <c r="C22" s="2" t="s">
        <v>94</v>
      </c>
    </row>
    <row r="23" spans="1:3" x14ac:dyDescent="0.3">
      <c r="A23" s="2" t="s">
        <v>1</v>
      </c>
      <c r="B23" s="2" t="s">
        <v>95</v>
      </c>
      <c r="C23" s="2" t="s">
        <v>94</v>
      </c>
    </row>
    <row r="24" spans="1:3" x14ac:dyDescent="0.3">
      <c r="A24" s="2" t="s">
        <v>1</v>
      </c>
      <c r="B24" s="2" t="s">
        <v>151</v>
      </c>
      <c r="C24" s="2" t="s">
        <v>94</v>
      </c>
    </row>
    <row r="25" spans="1:3" x14ac:dyDescent="0.3">
      <c r="A25" s="2" t="s">
        <v>1</v>
      </c>
      <c r="B25" s="2" t="s">
        <v>96</v>
      </c>
      <c r="C25" s="2" t="s">
        <v>94</v>
      </c>
    </row>
    <row r="26" spans="1:3" x14ac:dyDescent="0.3">
      <c r="A26" s="2" t="s">
        <v>1</v>
      </c>
      <c r="B26" s="2" t="s">
        <v>98</v>
      </c>
      <c r="C26" s="2" t="s">
        <v>94</v>
      </c>
    </row>
    <row r="27" spans="1:3" x14ac:dyDescent="0.3">
      <c r="A27" s="2" t="s">
        <v>1</v>
      </c>
      <c r="B27" s="2" t="s">
        <v>99</v>
      </c>
      <c r="C27" s="2" t="s">
        <v>94</v>
      </c>
    </row>
    <row r="28" spans="1:3" x14ac:dyDescent="0.3">
      <c r="A28" s="2" t="s">
        <v>1</v>
      </c>
      <c r="B28" s="2" t="s">
        <v>100</v>
      </c>
      <c r="C28" s="2" t="s">
        <v>94</v>
      </c>
    </row>
    <row r="29" spans="1:3" x14ac:dyDescent="0.3">
      <c r="A29" s="2" t="s">
        <v>1</v>
      </c>
      <c r="B29" s="2" t="s">
        <v>101</v>
      </c>
      <c r="C29" s="2" t="s">
        <v>94</v>
      </c>
    </row>
    <row r="30" spans="1:3" x14ac:dyDescent="0.3">
      <c r="A30" s="2" t="s">
        <v>1</v>
      </c>
      <c r="B30" s="2" t="s">
        <v>102</v>
      </c>
      <c r="C30" s="2" t="s">
        <v>94</v>
      </c>
    </row>
    <row r="31" spans="1:3" x14ac:dyDescent="0.3">
      <c r="A31" s="2" t="s">
        <v>1</v>
      </c>
      <c r="B31" s="2" t="s">
        <v>103</v>
      </c>
      <c r="C31" s="2" t="s">
        <v>94</v>
      </c>
    </row>
    <row r="32" spans="1:3" x14ac:dyDescent="0.3">
      <c r="A32" s="2" t="s">
        <v>1</v>
      </c>
      <c r="B32" s="2" t="s">
        <v>149</v>
      </c>
      <c r="C32" s="2" t="s">
        <v>94</v>
      </c>
    </row>
    <row r="33" spans="1:3" x14ac:dyDescent="0.3">
      <c r="A33" s="2" t="s">
        <v>1</v>
      </c>
      <c r="B33" s="2" t="s">
        <v>104</v>
      </c>
      <c r="C33" s="2" t="s">
        <v>94</v>
      </c>
    </row>
    <row r="34" spans="1:3" x14ac:dyDescent="0.3">
      <c r="A34" s="2" t="s">
        <v>1</v>
      </c>
      <c r="B34" s="2" t="s">
        <v>105</v>
      </c>
      <c r="C34" s="2" t="s">
        <v>94</v>
      </c>
    </row>
    <row r="35" spans="1:3" x14ac:dyDescent="0.3">
      <c r="A35" s="2" t="s">
        <v>1</v>
      </c>
      <c r="B35" s="2" t="s">
        <v>144</v>
      </c>
      <c r="C35" s="2" t="s">
        <v>94</v>
      </c>
    </row>
    <row r="36" spans="1:3" x14ac:dyDescent="0.3">
      <c r="A36" s="2" t="s">
        <v>1</v>
      </c>
      <c r="B36" s="2" t="s">
        <v>106</v>
      </c>
      <c r="C36" s="2" t="s">
        <v>94</v>
      </c>
    </row>
    <row r="37" spans="1:3" x14ac:dyDescent="0.3">
      <c r="A37" s="2" t="s">
        <v>1</v>
      </c>
      <c r="B37" s="2" t="s">
        <v>150</v>
      </c>
      <c r="C37" s="2" t="s">
        <v>94</v>
      </c>
    </row>
    <row r="38" spans="1:3" x14ac:dyDescent="0.3">
      <c r="A38" s="2" t="s">
        <v>1</v>
      </c>
      <c r="B38" s="2" t="s">
        <v>108</v>
      </c>
      <c r="C38" s="2" t="s">
        <v>94</v>
      </c>
    </row>
    <row r="39" spans="1:3" x14ac:dyDescent="0.3">
      <c r="A39" s="2" t="s">
        <v>1</v>
      </c>
      <c r="B39" s="2" t="s">
        <v>109</v>
      </c>
      <c r="C39" s="2" t="s">
        <v>94</v>
      </c>
    </row>
    <row r="40" spans="1:3" x14ac:dyDescent="0.3">
      <c r="A40" s="2" t="s">
        <v>1</v>
      </c>
      <c r="B40" s="2" t="s">
        <v>83</v>
      </c>
      <c r="C40" s="2" t="s">
        <v>82</v>
      </c>
    </row>
    <row r="41" spans="1:3" x14ac:dyDescent="0.3">
      <c r="A41" s="2" t="s">
        <v>1</v>
      </c>
      <c r="B41" s="2" t="s">
        <v>84</v>
      </c>
      <c r="C41" s="2" t="s">
        <v>82</v>
      </c>
    </row>
    <row r="42" spans="1:3" x14ac:dyDescent="0.3">
      <c r="A42" s="2" t="s">
        <v>1</v>
      </c>
      <c r="B42" s="2" t="s">
        <v>85</v>
      </c>
      <c r="C42" s="2" t="s">
        <v>82</v>
      </c>
    </row>
    <row r="43" spans="1:3" x14ac:dyDescent="0.3">
      <c r="A43" s="2" t="s">
        <v>1</v>
      </c>
      <c r="B43" s="2" t="s">
        <v>86</v>
      </c>
      <c r="C43" s="2" t="s">
        <v>82</v>
      </c>
    </row>
    <row r="44" spans="1:3" x14ac:dyDescent="0.3">
      <c r="A44" s="2" t="s">
        <v>1</v>
      </c>
      <c r="B44" s="2" t="s">
        <v>87</v>
      </c>
      <c r="C44" s="2" t="s">
        <v>82</v>
      </c>
    </row>
    <row r="45" spans="1:3" x14ac:dyDescent="0.3">
      <c r="A45" s="2" t="s">
        <v>1</v>
      </c>
      <c r="B45" s="2" t="s">
        <v>88</v>
      </c>
      <c r="C45" s="2" t="s">
        <v>82</v>
      </c>
    </row>
    <row r="46" spans="1:3" x14ac:dyDescent="0.3">
      <c r="A46" s="2" t="s">
        <v>1</v>
      </c>
      <c r="B46" s="2" t="s">
        <v>89</v>
      </c>
      <c r="C46" s="2" t="s">
        <v>82</v>
      </c>
    </row>
    <row r="47" spans="1:3" x14ac:dyDescent="0.3">
      <c r="A47" s="2" t="s">
        <v>1</v>
      </c>
      <c r="B47" s="2" t="s">
        <v>90</v>
      </c>
      <c r="C47" s="2" t="s">
        <v>82</v>
      </c>
    </row>
    <row r="48" spans="1:3" x14ac:dyDescent="0.3">
      <c r="A48" s="2" t="s">
        <v>1</v>
      </c>
      <c r="B48" s="2" t="s">
        <v>91</v>
      </c>
      <c r="C48" s="2" t="s">
        <v>82</v>
      </c>
    </row>
    <row r="49" spans="1:3" x14ac:dyDescent="0.3">
      <c r="A49" s="2" t="s">
        <v>1</v>
      </c>
      <c r="B49" s="2" t="s">
        <v>92</v>
      </c>
      <c r="C49" s="2" t="s">
        <v>82</v>
      </c>
    </row>
    <row r="50" spans="1:3" x14ac:dyDescent="0.3">
      <c r="A50" s="2" t="s">
        <v>1</v>
      </c>
      <c r="B50" s="2" t="s">
        <v>93</v>
      </c>
      <c r="C50" s="2" t="s">
        <v>82</v>
      </c>
    </row>
    <row r="51" spans="1:3" x14ac:dyDescent="0.3">
      <c r="A51" s="2" t="s">
        <v>1</v>
      </c>
      <c r="B51" s="2" t="s">
        <v>111</v>
      </c>
      <c r="C51" s="2" t="s">
        <v>110</v>
      </c>
    </row>
    <row r="52" spans="1:3" x14ac:dyDescent="0.3">
      <c r="A52" s="2" t="s">
        <v>1</v>
      </c>
      <c r="B52" s="2" t="s">
        <v>112</v>
      </c>
      <c r="C52" s="2" t="s">
        <v>110</v>
      </c>
    </row>
    <row r="53" spans="1:3" x14ac:dyDescent="0.3">
      <c r="A53" s="2" t="s">
        <v>1</v>
      </c>
      <c r="B53" s="2" t="s">
        <v>113</v>
      </c>
      <c r="C53" s="2" t="s">
        <v>110</v>
      </c>
    </row>
    <row r="54" spans="1:3" x14ac:dyDescent="0.3">
      <c r="A54" s="2" t="s">
        <v>1</v>
      </c>
      <c r="B54" s="2" t="s">
        <v>114</v>
      </c>
      <c r="C54" s="2" t="s">
        <v>110</v>
      </c>
    </row>
    <row r="55" spans="1:3" x14ac:dyDescent="0.3">
      <c r="A55" s="2" t="s">
        <v>1</v>
      </c>
      <c r="B55" s="2" t="s">
        <v>115</v>
      </c>
      <c r="C55" s="2" t="s">
        <v>110</v>
      </c>
    </row>
    <row r="56" spans="1:3" x14ac:dyDescent="0.3">
      <c r="A56" s="2" t="s">
        <v>1</v>
      </c>
      <c r="B56" s="2" t="s">
        <v>116</v>
      </c>
      <c r="C56" s="2" t="s">
        <v>110</v>
      </c>
    </row>
    <row r="57" spans="1:3" x14ac:dyDescent="0.3">
      <c r="A57" s="2" t="s">
        <v>1</v>
      </c>
      <c r="B57" s="2" t="s">
        <v>117</v>
      </c>
      <c r="C57" s="2" t="s">
        <v>110</v>
      </c>
    </row>
    <row r="58" spans="1:3" x14ac:dyDescent="0.3">
      <c r="A58" s="2" t="s">
        <v>1</v>
      </c>
      <c r="B58" s="2" t="s">
        <v>118</v>
      </c>
      <c r="C58" s="2" t="s">
        <v>110</v>
      </c>
    </row>
    <row r="59" spans="1:3" x14ac:dyDescent="0.3">
      <c r="A59" s="2" t="s">
        <v>1</v>
      </c>
      <c r="B59" s="2" t="s">
        <v>119</v>
      </c>
      <c r="C59" s="2" t="s">
        <v>110</v>
      </c>
    </row>
    <row r="60" spans="1:3" x14ac:dyDescent="0.3">
      <c r="A60" s="2" t="s">
        <v>1</v>
      </c>
      <c r="B60" s="2" t="s">
        <v>120</v>
      </c>
      <c r="C60" s="2" t="s">
        <v>110</v>
      </c>
    </row>
    <row r="61" spans="1:3" x14ac:dyDescent="0.3">
      <c r="A61" s="2" t="s">
        <v>1</v>
      </c>
      <c r="B61" s="2" t="s">
        <v>121</v>
      </c>
      <c r="C61" s="2" t="s">
        <v>110</v>
      </c>
    </row>
    <row r="62" spans="1:3" x14ac:dyDescent="0.3">
      <c r="A62" s="2" t="s">
        <v>1</v>
      </c>
      <c r="B62" s="2" t="s">
        <v>122</v>
      </c>
      <c r="C62" s="2" t="s">
        <v>110</v>
      </c>
    </row>
    <row r="63" spans="1:3" x14ac:dyDescent="0.3">
      <c r="A63" s="2" t="s">
        <v>1</v>
      </c>
      <c r="B63" s="2" t="s">
        <v>16</v>
      </c>
      <c r="C63" s="2" t="s">
        <v>153</v>
      </c>
    </row>
    <row r="64" spans="1:3" x14ac:dyDescent="0.3">
      <c r="A64" s="2" t="s">
        <v>1</v>
      </c>
      <c r="B64" s="2" t="s">
        <v>50</v>
      </c>
      <c r="C64" s="2" t="s">
        <v>153</v>
      </c>
    </row>
    <row r="65" spans="1:3" x14ac:dyDescent="0.3">
      <c r="A65" s="2" t="s">
        <v>1</v>
      </c>
      <c r="B65" s="2" t="s">
        <v>51</v>
      </c>
      <c r="C65" s="2" t="s">
        <v>153</v>
      </c>
    </row>
    <row r="66" spans="1:3" x14ac:dyDescent="0.3">
      <c r="A66" s="2" t="s">
        <v>1</v>
      </c>
      <c r="B66" s="2" t="s">
        <v>52</v>
      </c>
      <c r="C66" s="2" t="s">
        <v>153</v>
      </c>
    </row>
    <row r="67" spans="1:3" x14ac:dyDescent="0.3">
      <c r="A67" s="2" t="s">
        <v>1</v>
      </c>
      <c r="B67" s="2" t="s">
        <v>53</v>
      </c>
      <c r="C67" s="2" t="s">
        <v>153</v>
      </c>
    </row>
    <row r="68" spans="1:3" x14ac:dyDescent="0.3">
      <c r="A68" s="2" t="s">
        <v>1</v>
      </c>
      <c r="B68" s="2" t="s">
        <v>54</v>
      </c>
      <c r="C68" s="2" t="s">
        <v>153</v>
      </c>
    </row>
    <row r="69" spans="1:3" x14ac:dyDescent="0.3">
      <c r="A69" s="2" t="s">
        <v>1</v>
      </c>
      <c r="B69" s="2" t="s">
        <v>55</v>
      </c>
      <c r="C69" s="2" t="s">
        <v>153</v>
      </c>
    </row>
    <row r="70" spans="1:3" x14ac:dyDescent="0.3">
      <c r="A70" s="2" t="s">
        <v>1</v>
      </c>
      <c r="B70" s="2" t="s">
        <v>56</v>
      </c>
      <c r="C70" s="2" t="s">
        <v>153</v>
      </c>
    </row>
    <row r="71" spans="1:3" x14ac:dyDescent="0.3">
      <c r="A71" s="2" t="s">
        <v>1</v>
      </c>
      <c r="B71" s="2" t="s">
        <v>57</v>
      </c>
      <c r="C71" s="2" t="s">
        <v>153</v>
      </c>
    </row>
    <row r="72" spans="1:3" x14ac:dyDescent="0.3">
      <c r="A72" s="2" t="s">
        <v>1</v>
      </c>
      <c r="B72" s="2" t="s">
        <v>58</v>
      </c>
      <c r="C72" s="2" t="s">
        <v>153</v>
      </c>
    </row>
    <row r="73" spans="1:3" x14ac:dyDescent="0.3">
      <c r="A73" s="2" t="s">
        <v>1</v>
      </c>
      <c r="B73" s="2" t="s">
        <v>59</v>
      </c>
      <c r="C73" s="2" t="s">
        <v>153</v>
      </c>
    </row>
    <row r="74" spans="1:3" x14ac:dyDescent="0.3">
      <c r="A74" s="2" t="s">
        <v>1</v>
      </c>
      <c r="B74" s="2" t="s">
        <v>60</v>
      </c>
      <c r="C74" s="2" t="s">
        <v>153</v>
      </c>
    </row>
    <row r="75" spans="1:3" x14ac:dyDescent="0.3">
      <c r="A75" s="2" t="s">
        <v>1</v>
      </c>
      <c r="B75" s="2" t="s">
        <v>61</v>
      </c>
      <c r="C75" s="2" t="s">
        <v>153</v>
      </c>
    </row>
    <row r="76" spans="1:3" x14ac:dyDescent="0.3">
      <c r="A76" s="2" t="s">
        <v>1</v>
      </c>
      <c r="B76" s="2" t="s">
        <v>62</v>
      </c>
      <c r="C76" s="2" t="s">
        <v>153</v>
      </c>
    </row>
    <row r="77" spans="1:3" x14ac:dyDescent="0.3">
      <c r="A77" s="2" t="s">
        <v>1</v>
      </c>
      <c r="B77" s="2" t="s">
        <v>63</v>
      </c>
      <c r="C77" s="2" t="s">
        <v>153</v>
      </c>
    </row>
    <row r="78" spans="1:3" x14ac:dyDescent="0.3">
      <c r="A78" s="2" t="s">
        <v>1</v>
      </c>
      <c r="B78" s="2" t="s">
        <v>64</v>
      </c>
      <c r="C78" s="2" t="s">
        <v>153</v>
      </c>
    </row>
    <row r="79" spans="1:3" x14ac:dyDescent="0.3">
      <c r="A79" s="2" t="s">
        <v>1</v>
      </c>
      <c r="B79" s="2" t="s">
        <v>65</v>
      </c>
      <c r="C79" s="2" t="s">
        <v>153</v>
      </c>
    </row>
    <row r="80" spans="1:3" x14ac:dyDescent="0.3">
      <c r="A80" s="2" t="s">
        <v>1</v>
      </c>
      <c r="B80" s="2" t="s">
        <v>66</v>
      </c>
      <c r="C80" s="2" t="s">
        <v>153</v>
      </c>
    </row>
    <row r="81" spans="1:3" x14ac:dyDescent="0.3">
      <c r="A81" s="2" t="s">
        <v>1</v>
      </c>
      <c r="B81" s="2" t="s">
        <v>67</v>
      </c>
      <c r="C81" s="2" t="s">
        <v>153</v>
      </c>
    </row>
    <row r="82" spans="1:3" x14ac:dyDescent="0.3">
      <c r="A82" s="2" t="s">
        <v>1</v>
      </c>
      <c r="B82" s="2" t="s">
        <v>68</v>
      </c>
      <c r="C82" s="2" t="s">
        <v>153</v>
      </c>
    </row>
    <row r="83" spans="1:3" x14ac:dyDescent="0.3">
      <c r="A83" s="2" t="s">
        <v>1</v>
      </c>
      <c r="B83" s="2" t="s">
        <v>70</v>
      </c>
      <c r="C83" s="2" t="s">
        <v>153</v>
      </c>
    </row>
    <row r="84" spans="1:3" x14ac:dyDescent="0.3">
      <c r="A84" s="2" t="s">
        <v>1</v>
      </c>
      <c r="B84" s="2" t="s">
        <v>71</v>
      </c>
      <c r="C84" s="2" t="s">
        <v>153</v>
      </c>
    </row>
    <row r="85" spans="1:3" x14ac:dyDescent="0.3">
      <c r="A85" s="2" t="s">
        <v>1</v>
      </c>
      <c r="B85" s="2" t="s">
        <v>72</v>
      </c>
      <c r="C85" s="2" t="s">
        <v>153</v>
      </c>
    </row>
    <row r="86" spans="1:3" x14ac:dyDescent="0.3">
      <c r="A86" s="2" t="s">
        <v>1</v>
      </c>
      <c r="B86" s="2" t="s">
        <v>73</v>
      </c>
      <c r="C86" s="2" t="s">
        <v>153</v>
      </c>
    </row>
    <row r="87" spans="1:3" x14ac:dyDescent="0.3">
      <c r="A87" s="2" t="s">
        <v>1</v>
      </c>
      <c r="B87" s="2" t="s">
        <v>74</v>
      </c>
      <c r="C87" s="2" t="s">
        <v>153</v>
      </c>
    </row>
    <row r="88" spans="1:3" x14ac:dyDescent="0.3">
      <c r="A88" s="2" t="s">
        <v>1</v>
      </c>
      <c r="B88" s="2" t="s">
        <v>75</v>
      </c>
      <c r="C88" s="2" t="s">
        <v>153</v>
      </c>
    </row>
    <row r="89" spans="1:3" x14ac:dyDescent="0.3">
      <c r="A89" s="2" t="s">
        <v>1</v>
      </c>
      <c r="B89" s="2" t="s">
        <v>76</v>
      </c>
      <c r="C89" s="2" t="s">
        <v>153</v>
      </c>
    </row>
    <row r="90" spans="1:3" x14ac:dyDescent="0.3">
      <c r="A90" s="2" t="s">
        <v>1</v>
      </c>
      <c r="B90" s="2" t="s">
        <v>77</v>
      </c>
      <c r="C90" s="2" t="s">
        <v>153</v>
      </c>
    </row>
    <row r="91" spans="1:3" x14ac:dyDescent="0.3">
      <c r="A91" s="2" t="s">
        <v>1</v>
      </c>
      <c r="B91" s="2" t="s">
        <v>78</v>
      </c>
      <c r="C91" s="2" t="s">
        <v>153</v>
      </c>
    </row>
    <row r="92" spans="1:3" x14ac:dyDescent="0.3">
      <c r="A92" s="2" t="s">
        <v>1</v>
      </c>
      <c r="B92" s="2" t="s">
        <v>79</v>
      </c>
      <c r="C92" s="2" t="s">
        <v>153</v>
      </c>
    </row>
    <row r="93" spans="1:3" x14ac:dyDescent="0.3">
      <c r="A93" s="2" t="s">
        <v>1</v>
      </c>
      <c r="B93" s="2" t="s">
        <v>80</v>
      </c>
      <c r="C93" s="2" t="s">
        <v>153</v>
      </c>
    </row>
    <row r="94" spans="1:3" x14ac:dyDescent="0.3">
      <c r="A94" s="2" t="s">
        <v>1</v>
      </c>
      <c r="B94" s="2" t="s">
        <v>81</v>
      </c>
      <c r="C94" s="2" t="s">
        <v>153</v>
      </c>
    </row>
    <row r="95" spans="1:3" x14ac:dyDescent="0.3">
      <c r="A95" s="2" t="s">
        <v>1</v>
      </c>
      <c r="B95" s="2" t="s">
        <v>97</v>
      </c>
      <c r="C95" s="2" t="s">
        <v>153</v>
      </c>
    </row>
    <row r="96" spans="1:3" x14ac:dyDescent="0.3">
      <c r="A96" s="2" t="s">
        <v>1</v>
      </c>
      <c r="B96" s="2" t="s">
        <v>107</v>
      </c>
      <c r="C96" s="2" t="s">
        <v>153</v>
      </c>
    </row>
    <row r="97" spans="1:3" x14ac:dyDescent="0.3">
      <c r="A97" s="2" t="s">
        <v>1</v>
      </c>
      <c r="B97" s="2" t="s">
        <v>34</v>
      </c>
      <c r="C97" s="2" t="s">
        <v>33</v>
      </c>
    </row>
    <row r="98" spans="1:3" x14ac:dyDescent="0.3">
      <c r="A98" s="2" t="s">
        <v>1</v>
      </c>
      <c r="B98" s="2" t="s">
        <v>35</v>
      </c>
      <c r="C98" s="2" t="s">
        <v>33</v>
      </c>
    </row>
    <row r="99" spans="1:3" x14ac:dyDescent="0.3">
      <c r="A99" s="2" t="s">
        <v>1</v>
      </c>
      <c r="B99" s="2" t="s">
        <v>36</v>
      </c>
      <c r="C99" s="2" t="s">
        <v>33</v>
      </c>
    </row>
    <row r="100" spans="1:3" x14ac:dyDescent="0.3">
      <c r="A100" s="2" t="s">
        <v>1</v>
      </c>
      <c r="B100" s="2" t="s">
        <v>37</v>
      </c>
      <c r="C100" s="2" t="s">
        <v>33</v>
      </c>
    </row>
    <row r="101" spans="1:3" x14ac:dyDescent="0.3">
      <c r="A101" s="2" t="s">
        <v>1</v>
      </c>
      <c r="B101" s="2" t="s">
        <v>38</v>
      </c>
      <c r="C101" s="2" t="s">
        <v>33</v>
      </c>
    </row>
    <row r="102" spans="1:3" x14ac:dyDescent="0.3">
      <c r="A102" s="2" t="s">
        <v>1</v>
      </c>
      <c r="B102" s="2" t="s">
        <v>39</v>
      </c>
      <c r="C102" s="2" t="s">
        <v>33</v>
      </c>
    </row>
    <row r="103" spans="1:3" x14ac:dyDescent="0.3">
      <c r="A103" s="2" t="s">
        <v>1</v>
      </c>
      <c r="B103" s="2" t="s">
        <v>40</v>
      </c>
      <c r="C103" s="2" t="s">
        <v>33</v>
      </c>
    </row>
    <row r="104" spans="1:3" x14ac:dyDescent="0.3">
      <c r="A104" s="2" t="s">
        <v>1</v>
      </c>
      <c r="B104" s="2" t="s">
        <v>41</v>
      </c>
      <c r="C104" s="2" t="s">
        <v>33</v>
      </c>
    </row>
    <row r="105" spans="1:3" x14ac:dyDescent="0.3">
      <c r="A105" s="2" t="s">
        <v>1</v>
      </c>
      <c r="B105" s="2" t="s">
        <v>42</v>
      </c>
      <c r="C105" s="2" t="s">
        <v>33</v>
      </c>
    </row>
    <row r="106" spans="1:3" x14ac:dyDescent="0.3">
      <c r="A106" s="2" t="s">
        <v>1</v>
      </c>
      <c r="B106" s="2" t="s">
        <v>43</v>
      </c>
      <c r="C106" s="2" t="s">
        <v>33</v>
      </c>
    </row>
    <row r="107" spans="1:3" x14ac:dyDescent="0.3">
      <c r="A107" s="2" t="s">
        <v>1</v>
      </c>
      <c r="B107" s="2" t="s">
        <v>44</v>
      </c>
      <c r="C107" s="2" t="s">
        <v>33</v>
      </c>
    </row>
    <row r="108" spans="1:3" x14ac:dyDescent="0.3">
      <c r="A108" s="2" t="s">
        <v>1</v>
      </c>
      <c r="B108" s="2" t="s">
        <v>45</v>
      </c>
      <c r="C108" s="2" t="s">
        <v>33</v>
      </c>
    </row>
    <row r="109" spans="1:3" x14ac:dyDescent="0.3">
      <c r="A109" s="2" t="s">
        <v>1</v>
      </c>
      <c r="B109" s="2" t="s">
        <v>46</v>
      </c>
      <c r="C109" s="2" t="s">
        <v>33</v>
      </c>
    </row>
    <row r="110" spans="1:3" x14ac:dyDescent="0.3">
      <c r="A110" s="2" t="s">
        <v>1</v>
      </c>
      <c r="B110" s="2" t="s">
        <v>47</v>
      </c>
      <c r="C110" s="2" t="s">
        <v>33</v>
      </c>
    </row>
    <row r="111" spans="1:3" x14ac:dyDescent="0.3">
      <c r="A111" s="2" t="s">
        <v>1</v>
      </c>
      <c r="B111" s="2" t="s">
        <v>48</v>
      </c>
      <c r="C111" s="2" t="s">
        <v>33</v>
      </c>
    </row>
    <row r="112" spans="1:3" x14ac:dyDescent="0.3">
      <c r="A112" s="2" t="s">
        <v>1</v>
      </c>
      <c r="B112" s="2" t="s">
        <v>49</v>
      </c>
      <c r="C112" s="2" t="s">
        <v>33</v>
      </c>
    </row>
    <row r="113" spans="1:3" x14ac:dyDescent="0.3">
      <c r="A113" s="2" t="s">
        <v>2</v>
      </c>
      <c r="B113" s="3" t="s">
        <v>140</v>
      </c>
      <c r="C113" s="2" t="s">
        <v>94</v>
      </c>
    </row>
    <row r="114" spans="1:3" x14ac:dyDescent="0.3">
      <c r="A114" s="2" t="s">
        <v>2</v>
      </c>
      <c r="B114" s="3" t="s">
        <v>141</v>
      </c>
      <c r="C114" s="2" t="s">
        <v>94</v>
      </c>
    </row>
    <row r="115" spans="1:3" x14ac:dyDescent="0.3">
      <c r="A115" s="2" t="s">
        <v>2</v>
      </c>
      <c r="B115" s="3" t="s">
        <v>142</v>
      </c>
      <c r="C115" s="2" t="s">
        <v>94</v>
      </c>
    </row>
    <row r="116" spans="1:3" x14ac:dyDescent="0.3">
      <c r="A116" s="2" t="s">
        <v>2</v>
      </c>
      <c r="B116" s="3" t="s">
        <v>99</v>
      </c>
      <c r="C116" s="2" t="s">
        <v>94</v>
      </c>
    </row>
    <row r="117" spans="1:3" x14ac:dyDescent="0.3">
      <c r="A117" s="2" t="s">
        <v>2</v>
      </c>
      <c r="B117" s="3" t="s">
        <v>95</v>
      </c>
      <c r="C117" s="2" t="s">
        <v>94</v>
      </c>
    </row>
    <row r="118" spans="1:3" x14ac:dyDescent="0.3">
      <c r="A118" s="2" t="s">
        <v>2</v>
      </c>
      <c r="B118" s="3" t="s">
        <v>103</v>
      </c>
      <c r="C118" s="2" t="s">
        <v>94</v>
      </c>
    </row>
    <row r="119" spans="1:3" x14ac:dyDescent="0.3">
      <c r="A119" s="2" t="s">
        <v>2</v>
      </c>
      <c r="B119" s="3" t="s">
        <v>143</v>
      </c>
      <c r="C119" s="2" t="s">
        <v>94</v>
      </c>
    </row>
    <row r="120" spans="1:3" x14ac:dyDescent="0.3">
      <c r="A120" s="2" t="s">
        <v>2</v>
      </c>
      <c r="B120" s="3" t="s">
        <v>144</v>
      </c>
      <c r="C120" s="2" t="s">
        <v>94</v>
      </c>
    </row>
    <row r="121" spans="1:3" x14ac:dyDescent="0.3">
      <c r="A121" s="2" t="s">
        <v>2</v>
      </c>
      <c r="B121" s="3" t="s">
        <v>93</v>
      </c>
      <c r="C121" s="3" t="s">
        <v>82</v>
      </c>
    </row>
    <row r="122" spans="1:3" x14ac:dyDescent="0.3">
      <c r="A122" s="2" t="s">
        <v>2</v>
      </c>
      <c r="B122" s="3" t="s">
        <v>145</v>
      </c>
      <c r="C122" s="3" t="s">
        <v>82</v>
      </c>
    </row>
    <row r="123" spans="1:3" x14ac:dyDescent="0.3">
      <c r="A123" s="2" t="s">
        <v>2</v>
      </c>
      <c r="B123" s="3" t="s">
        <v>146</v>
      </c>
      <c r="C123" s="3" t="s">
        <v>82</v>
      </c>
    </row>
    <row r="124" spans="1:3" x14ac:dyDescent="0.3">
      <c r="A124" s="2" t="s">
        <v>2</v>
      </c>
      <c r="B124" s="3" t="s">
        <v>88</v>
      </c>
      <c r="C124" s="3" t="s">
        <v>82</v>
      </c>
    </row>
    <row r="125" spans="1:3" x14ac:dyDescent="0.3">
      <c r="A125" s="2" t="s">
        <v>2</v>
      </c>
      <c r="B125" s="3" t="s">
        <v>147</v>
      </c>
      <c r="C125" s="3" t="s">
        <v>82</v>
      </c>
    </row>
    <row r="126" spans="1:3" x14ac:dyDescent="0.3">
      <c r="A126" s="2" t="s">
        <v>2</v>
      </c>
      <c r="B126" s="3" t="s">
        <v>84</v>
      </c>
      <c r="C126" s="3" t="s">
        <v>82</v>
      </c>
    </row>
    <row r="127" spans="1:3" x14ac:dyDescent="0.3">
      <c r="A127" s="2" t="s">
        <v>2</v>
      </c>
      <c r="B127" s="3" t="s">
        <v>90</v>
      </c>
      <c r="C127" s="3" t="s">
        <v>82</v>
      </c>
    </row>
    <row r="128" spans="1:3" x14ac:dyDescent="0.3">
      <c r="A128" s="2" t="s">
        <v>2</v>
      </c>
      <c r="B128" s="3" t="s">
        <v>111</v>
      </c>
      <c r="C128" s="3" t="s">
        <v>110</v>
      </c>
    </row>
    <row r="129" spans="1:3" x14ac:dyDescent="0.3">
      <c r="A129" s="2" t="s">
        <v>2</v>
      </c>
      <c r="B129" s="3" t="s">
        <v>148</v>
      </c>
      <c r="C129" s="3" t="s">
        <v>110</v>
      </c>
    </row>
    <row r="130" spans="1:3" x14ac:dyDescent="0.3">
      <c r="A130" s="2" t="s">
        <v>2</v>
      </c>
      <c r="B130" s="3" t="s">
        <v>123</v>
      </c>
      <c r="C130" s="3" t="s">
        <v>154</v>
      </c>
    </row>
    <row r="131" spans="1:3" x14ac:dyDescent="0.3">
      <c r="A131" s="2" t="s">
        <v>2</v>
      </c>
      <c r="B131" s="3" t="s">
        <v>124</v>
      </c>
      <c r="C131" s="3" t="s">
        <v>154</v>
      </c>
    </row>
    <row r="132" spans="1:3" x14ac:dyDescent="0.3">
      <c r="A132" s="2" t="s">
        <v>2</v>
      </c>
      <c r="B132" s="3" t="s">
        <v>65</v>
      </c>
      <c r="C132" s="3" t="s">
        <v>154</v>
      </c>
    </row>
    <row r="133" spans="1:3" x14ac:dyDescent="0.3">
      <c r="A133" s="2" t="s">
        <v>2</v>
      </c>
      <c r="B133" s="3" t="s">
        <v>125</v>
      </c>
      <c r="C133" s="3" t="s">
        <v>154</v>
      </c>
    </row>
    <row r="134" spans="1:3" x14ac:dyDescent="0.3">
      <c r="A134" s="2" t="s">
        <v>2</v>
      </c>
      <c r="B134" s="3" t="s">
        <v>64</v>
      </c>
      <c r="C134" s="3" t="s">
        <v>154</v>
      </c>
    </row>
    <row r="135" spans="1:3" x14ac:dyDescent="0.3">
      <c r="A135" s="2" t="s">
        <v>2</v>
      </c>
      <c r="B135" s="3" t="s">
        <v>126</v>
      </c>
      <c r="C135" s="3" t="s">
        <v>154</v>
      </c>
    </row>
    <row r="136" spans="1:3" x14ac:dyDescent="0.3">
      <c r="A136" s="2" t="s">
        <v>2</v>
      </c>
      <c r="B136" s="3" t="s">
        <v>127</v>
      </c>
      <c r="C136" s="3" t="s">
        <v>154</v>
      </c>
    </row>
    <row r="137" spans="1:3" x14ac:dyDescent="0.3">
      <c r="A137" s="2" t="s">
        <v>2</v>
      </c>
      <c r="B137" s="3" t="s">
        <v>72</v>
      </c>
      <c r="C137" s="3" t="s">
        <v>154</v>
      </c>
    </row>
    <row r="138" spans="1:3" x14ac:dyDescent="0.3">
      <c r="A138" s="2" t="s">
        <v>2</v>
      </c>
      <c r="B138" s="3" t="s">
        <v>79</v>
      </c>
      <c r="C138" s="3" t="s">
        <v>154</v>
      </c>
    </row>
    <row r="139" spans="1:3" x14ac:dyDescent="0.3">
      <c r="A139" s="2" t="s">
        <v>2</v>
      </c>
      <c r="B139" s="3" t="s">
        <v>128</v>
      </c>
      <c r="C139" s="3" t="s">
        <v>154</v>
      </c>
    </row>
    <row r="140" spans="1:3" x14ac:dyDescent="0.3">
      <c r="A140" s="2" t="s">
        <v>2</v>
      </c>
      <c r="B140" s="3" t="s">
        <v>129</v>
      </c>
      <c r="C140" s="3" t="s">
        <v>154</v>
      </c>
    </row>
    <row r="141" spans="1:3" x14ac:dyDescent="0.3">
      <c r="A141" s="2" t="s">
        <v>2</v>
      </c>
      <c r="B141" s="3" t="s">
        <v>130</v>
      </c>
      <c r="C141" s="3" t="s">
        <v>154</v>
      </c>
    </row>
    <row r="142" spans="1:3" x14ac:dyDescent="0.3">
      <c r="A142" s="2" t="s">
        <v>2</v>
      </c>
      <c r="B142" s="3" t="s">
        <v>131</v>
      </c>
      <c r="C142" s="3" t="s">
        <v>154</v>
      </c>
    </row>
    <row r="143" spans="1:3" x14ac:dyDescent="0.3">
      <c r="A143" s="2" t="s">
        <v>2</v>
      </c>
      <c r="B143" s="3" t="s">
        <v>55</v>
      </c>
      <c r="C143" s="3" t="s">
        <v>154</v>
      </c>
    </row>
    <row r="144" spans="1:3" x14ac:dyDescent="0.3">
      <c r="A144" s="2" t="s">
        <v>2</v>
      </c>
      <c r="B144" s="3" t="s">
        <v>132</v>
      </c>
      <c r="C144" s="3" t="s">
        <v>154</v>
      </c>
    </row>
    <row r="145" spans="1:3" x14ac:dyDescent="0.3">
      <c r="A145" s="2" t="s">
        <v>2</v>
      </c>
      <c r="B145" s="3" t="s">
        <v>133</v>
      </c>
      <c r="C145" s="3" t="s">
        <v>154</v>
      </c>
    </row>
    <row r="146" spans="1:3" x14ac:dyDescent="0.3">
      <c r="A146" s="2" t="s">
        <v>2</v>
      </c>
      <c r="B146" s="3" t="s">
        <v>80</v>
      </c>
      <c r="C146" s="3" t="s">
        <v>154</v>
      </c>
    </row>
    <row r="147" spans="1:3" x14ac:dyDescent="0.3">
      <c r="A147" s="2" t="s">
        <v>2</v>
      </c>
      <c r="B147" s="3" t="s">
        <v>134</v>
      </c>
      <c r="C147" s="3" t="s">
        <v>154</v>
      </c>
    </row>
    <row r="148" spans="1:3" x14ac:dyDescent="0.3">
      <c r="A148" s="2" t="s">
        <v>2</v>
      </c>
      <c r="B148" s="3" t="s">
        <v>135</v>
      </c>
      <c r="C148" s="3" t="s">
        <v>154</v>
      </c>
    </row>
    <row r="149" spans="1:3" x14ac:dyDescent="0.3">
      <c r="A149" s="2" t="s">
        <v>2</v>
      </c>
      <c r="B149" s="3" t="s">
        <v>56</v>
      </c>
      <c r="C149" s="3" t="s">
        <v>154</v>
      </c>
    </row>
    <row r="150" spans="1:3" x14ac:dyDescent="0.3">
      <c r="A150" s="2" t="s">
        <v>2</v>
      </c>
      <c r="B150" s="3" t="s">
        <v>136</v>
      </c>
      <c r="C150" s="3" t="s">
        <v>154</v>
      </c>
    </row>
    <row r="151" spans="1:3" x14ac:dyDescent="0.3">
      <c r="A151" s="2" t="s">
        <v>2</v>
      </c>
      <c r="B151" s="3" t="s">
        <v>63</v>
      </c>
      <c r="C151" s="3" t="s">
        <v>154</v>
      </c>
    </row>
    <row r="152" spans="1:3" x14ac:dyDescent="0.3">
      <c r="A152" s="2" t="s">
        <v>2</v>
      </c>
      <c r="B152" s="3" t="s">
        <v>137</v>
      </c>
      <c r="C152" s="3" t="s">
        <v>154</v>
      </c>
    </row>
    <row r="153" spans="1:3" x14ac:dyDescent="0.3">
      <c r="A153" s="2" t="s">
        <v>2</v>
      </c>
      <c r="B153" s="3" t="s">
        <v>138</v>
      </c>
      <c r="C153" s="3" t="s">
        <v>154</v>
      </c>
    </row>
    <row r="154" spans="1:3" x14ac:dyDescent="0.3">
      <c r="A154" s="2" t="s">
        <v>2</v>
      </c>
      <c r="B154" s="3" t="s">
        <v>139</v>
      </c>
      <c r="C154" s="3" t="s">
        <v>154</v>
      </c>
    </row>
  </sheetData>
  <autoFilter ref="B1:B154" xr:uid="{00000000-0009-0000-0000-000001000000}"/>
  <sortState xmlns:xlrd2="http://schemas.microsoft.com/office/spreadsheetml/2017/richdata2" ref="A2:C154">
    <sortCondition ref="A2:A154"/>
    <sortCondition ref="C2:C15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1" sqref="F1:F3"/>
    </sheetView>
  </sheetViews>
  <sheetFormatPr defaultColWidth="8.77734375" defaultRowHeight="14.4" x14ac:dyDescent="0.3"/>
  <sheetData>
    <row r="1" spans="1:7" x14ac:dyDescent="0.3">
      <c r="A1" t="s">
        <v>1</v>
      </c>
      <c r="B1" t="s">
        <v>157</v>
      </c>
      <c r="C1" t="s">
        <v>3</v>
      </c>
      <c r="D1" t="s">
        <v>5</v>
      </c>
      <c r="E1" t="s">
        <v>7</v>
      </c>
      <c r="F1" t="s">
        <v>159</v>
      </c>
      <c r="G1" t="s">
        <v>3</v>
      </c>
    </row>
    <row r="2" spans="1:7" x14ac:dyDescent="0.3">
      <c r="A2" t="s">
        <v>2</v>
      </c>
      <c r="B2" t="s">
        <v>156</v>
      </c>
      <c r="C2" t="s">
        <v>4</v>
      </c>
      <c r="D2" t="s">
        <v>6</v>
      </c>
      <c r="E2" t="s">
        <v>8</v>
      </c>
      <c r="F2" t="s">
        <v>152</v>
      </c>
      <c r="G2" t="s">
        <v>4</v>
      </c>
    </row>
    <row r="3" spans="1:7" x14ac:dyDescent="0.3">
      <c r="A3" t="s">
        <v>155</v>
      </c>
      <c r="F3" t="s">
        <v>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DOOH (March-April)</vt:lpstr>
      <vt:lpstr>регионы-города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olga.v.vasileva</dc:creator>
  <cp:lastModifiedBy>Angelina Sharipova</cp:lastModifiedBy>
  <dcterms:created xsi:type="dcterms:W3CDTF">2020-05-07T07:50:06Z</dcterms:created>
  <dcterms:modified xsi:type="dcterms:W3CDTF">2026-03-30T07:33:17Z</dcterms:modified>
</cp:coreProperties>
</file>