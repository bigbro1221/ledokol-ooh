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rustammusaev/Desktop/"/>
    </mc:Choice>
  </mc:AlternateContent>
  <xr:revisionPtr revIDLastSave="0" documentId="13_ncr:1_{03731A6D-07B5-FA42-9E53-608B84CA9978}" xr6:coauthVersionLast="47" xr6:coauthVersionMax="47" xr10:uidLastSave="{00000000-0000-0000-0000-000000000000}"/>
  <bookViews>
    <workbookView xWindow="0" yWindow="500" windowWidth="33600" windowHeight="18880" activeTab="2" xr2:uid="{00000000-000D-0000-FFFF-FFFF00000000}"/>
  </bookViews>
  <sheets>
    <sheet name="Flint июнь" sheetId="9" r:id="rId1"/>
    <sheet name="Flint сентябрь" sheetId="8" r:id="rId2"/>
    <sheet name="Flowchart" sheetId="11" r:id="rId3"/>
    <sheet name="регионы-города" sheetId="3" state="hidden" r:id="rId4"/>
    <sheet name="справочник" sheetId="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________MCV2">[1]Vehicles!$B$58:$O$58</definedName>
    <definedName name="_________dd1" hidden="1">{#N/A,#N/A,TRUE,"Пресса";#N/A,#N/A,TRUE,"Метро";#N/A,#N/A,TRUE,"Щиты";#N/A,#N/A,TRUE,"График";#N/A,#N/A,TRUE,"График"}</definedName>
    <definedName name="_________eh1" hidden="1">{#N/A,#N/A,TRUE,"Пресса";#N/A,#N/A,TRUE,"Метро";#N/A,#N/A,TRUE,"Щиты";#N/A,#N/A,TRUE,"График";#N/A,#N/A,TRUE,"График"}</definedName>
    <definedName name="_________fjk1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GK2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MCV2">[1]Vehicles!$B$58:$O$58</definedName>
    <definedName name="_________old1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wwe2" hidden="1">{#VALUE!,#N/A,TRUE,0;#N/A,#N/A,TRUE,0;#N/A,#N/A,TRUE,0;#N/A,#N/A,TRUE,0;#N/A,#N/A,TRUE,0}</definedName>
    <definedName name="________erw2" hidden="1">27</definedName>
    <definedName name="________MCV2">[1]Vehicles!$B$58:$O$58</definedName>
    <definedName name="_______dd1" hidden="1">{#N/A,#N/A,TRUE,"Пресса";#N/A,#N/A,TRUE,"Метро";#N/A,#N/A,TRUE,"Щиты";#N/A,#N/A,TRUE,"График";#N/A,#N/A,TRUE,"График"}</definedName>
    <definedName name="_______eh1" hidden="1">{#N/A,#N/A,TRUE,"Пресса";#N/A,#N/A,TRUE,"Метро";#N/A,#N/A,TRUE,"Щиты";#N/A,#N/A,TRUE,"График";#N/A,#N/A,TRUE,"График"}</definedName>
    <definedName name="_______erw2" hidden="1">27</definedName>
    <definedName name="_______fjk1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GK2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MCV2">[1]Vehicles!$B$58:$O$58</definedName>
    <definedName name="_______old1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wwe2" hidden="1">{#VALUE!,#N/A,TRUE,0;#N/A,#N/A,TRUE,0;#N/A,#N/A,TRUE,0;#N/A,#N/A,TRUE,0;#N/A,#N/A,TRUE,0}</definedName>
    <definedName name="______1solver_rh¤" hidden="1">4</definedName>
    <definedName name="______2solver_va" hidden="1">27</definedName>
    <definedName name="______dd1" hidden="1">{#N/A,#N/A,TRUE,"Пресса";#N/A,#N/A,TRUE,"Метро";#N/A,#N/A,TRUE,"Щиты";#N/A,#N/A,TRUE,"График";#N/A,#N/A,TRUE,"График"}</definedName>
    <definedName name="______eh1" hidden="1">{#N/A,#N/A,TRUE,"Пресса";#N/A,#N/A,TRUE,"Метро";#N/A,#N/A,TRUE,"Щиты";#N/A,#N/A,TRUE,"График";#N/A,#N/A,TRUE,"График"}</definedName>
    <definedName name="______erw2" hidden="1">27</definedName>
    <definedName name="______fjk1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GK2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MCV2">[1]Vehicles!$B$58:$O$58</definedName>
    <definedName name="______old1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wwe2" hidden="1">{#VALUE!,#N/A,TRUE,0;#N/A,#N/A,TRUE,0;#N/A,#N/A,TRUE,0;#N/A,#N/A,TRUE,0;#N/A,#N/A,TRUE,0}</definedName>
    <definedName name="_____1solver_rh¤" hidden="1">4</definedName>
    <definedName name="_____2solver_va" hidden="1">27</definedName>
    <definedName name="_____dd1" hidden="1">{#N/A,#N/A,TRUE,"Пресса";#N/A,#N/A,TRUE,"Метро";#N/A,#N/A,TRUE,"Щиты";#N/A,#N/A,TRUE,"График";#N/A,#N/A,TRUE,"График"}</definedName>
    <definedName name="_____eh1" hidden="1">{#N/A,#N/A,TRUE,"Пресса";#N/A,#N/A,TRUE,"Метро";#N/A,#N/A,TRUE,"Щиты";#N/A,#N/A,TRUE,"График";#N/A,#N/A,TRUE,"График"}</definedName>
    <definedName name="_____erw2" hidden="1">27</definedName>
    <definedName name="_____fjk1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GK2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MCV2">[1]Vehicles!$B$58:$O$58</definedName>
    <definedName name="_____old1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wwe2" hidden="1">{#VALUE!,#N/A,TRUE,0;#N/A,#N/A,TRUE,0;#N/A,#N/A,TRUE,0;#N/A,#N/A,TRUE,0;#N/A,#N/A,TRUE,0}</definedName>
    <definedName name="____1solver_rh¤" hidden="1">4</definedName>
    <definedName name="____2solver_va" hidden="1">27</definedName>
    <definedName name="____dd1" hidden="1">{#N/A,#N/A,TRUE,"Пресса";#N/A,#N/A,TRUE,"Метро";#N/A,#N/A,TRUE,"Щиты";#N/A,#N/A,TRUE,"График";#N/A,#N/A,TRUE,"График"}</definedName>
    <definedName name="____eh1" hidden="1">{#N/A,#N/A,TRUE,"Пресса";#N/A,#N/A,TRUE,"Метро";#N/A,#N/A,TRUE,"Щиты";#N/A,#N/A,TRUE,"График";#N/A,#N/A,TRUE,"График"}</definedName>
    <definedName name="____erw2" hidden="1">27</definedName>
    <definedName name="____fjk1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GK2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MCV2">[1]Vehicles!$B$58:$O$58</definedName>
    <definedName name="____old1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wwe2" hidden="1">{#VALUE!,#N/A,TRUE,0;#N/A,#N/A,TRUE,0;#N/A,#N/A,TRUE,0;#N/A,#N/A,TRUE,0;#N/A,#N/A,TRUE,0}</definedName>
    <definedName name="___1solver_rh¤" hidden="1">4</definedName>
    <definedName name="___2solver_va" hidden="1">27</definedName>
    <definedName name="___dd1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rw2" hidden="1">27</definedName>
    <definedName name="___fjk1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LL100">#REF!</definedName>
    <definedName name="___MCV2">[1]Vehicles!$B$58:$O$58</definedName>
    <definedName name="___old1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wwe2" hidden="1">{#VALUE!,#N/A,TRUE,0;#N/A,#N/A,TRUE,0;#N/A,#N/A,TRUE,0;#N/A,#N/A,TRUE,0;#N/A,#N/A,TRUE,0}</definedName>
    <definedName name="__1solver_rh¤" hidden="1">4</definedName>
    <definedName name="__2solver_rh¤" hidden="1">4</definedName>
    <definedName name="__2solver_va" hidden="1">27</definedName>
    <definedName name="__3solver_va" hidden="1">27</definedName>
    <definedName name="__dd1" hidden="1">{#N/A,#N/A,TRUE,"Пресса";#N/A,#N/A,TRUE,"Метро";#N/A,#N/A,TRUE,"Щиты";#N/A,#N/A,TRUE,"График";#N/A,#N/A,TRUE,"График"}</definedName>
    <definedName name="__eh1" hidden="1">{#N/A,#N/A,TRUE,"Пресса";#N/A,#N/A,TRUE,"Метро";#N/A,#N/A,TRUE,"Щиты";#N/A,#N/A,TRUE,"График";#N/A,#N/A,TRUE,"График"}</definedName>
    <definedName name="__erw2" hidden="1">27</definedName>
    <definedName name="__fjk1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GK2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MCV2">[1]Vehicles!$B$58:$O$58</definedName>
    <definedName name="__old1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wwe2" hidden="1">{#VALUE!,#N/A,TRUE,0;#N/A,#N/A,TRUE,0;#N/A,#N/A,TRUE,0;#N/A,#N/A,TRUE,0;#N/A,#N/A,TRUE,0}</definedName>
    <definedName name="__xlfn.BAHTTEXT" hidden="1">#NAME?</definedName>
    <definedName name="_1_solver_rh¤" hidden="1">4</definedName>
    <definedName name="_1solver_rh¤" hidden="1">4</definedName>
    <definedName name="_2">#REF!</definedName>
    <definedName name="_2_solver_va" hidden="1">27</definedName>
    <definedName name="_2_US_Fixed_TV_Pricing_W25_49">#REF!</definedName>
    <definedName name="_2solver_rh¤" hidden="1">4</definedName>
    <definedName name="_2solver_va" hidden="1">27</definedName>
    <definedName name="_3">#REF!</definedName>
    <definedName name="_3solver_va" hidden="1">27</definedName>
    <definedName name="_4solver_rh¤" hidden="1">4</definedName>
    <definedName name="_5solver_va" hidden="1">27</definedName>
    <definedName name="_xlnm._FilterDatabase" localSheetId="3" hidden="1">'регионы-города'!$B$1:$B$154</definedName>
    <definedName name="_xlnm._FilterDatabase" localSheetId="0" hidden="1">'Flint июнь'!$A$8:$S$8</definedName>
    <definedName name="_xlnm._FilterDatabase" localSheetId="1" hidden="1">'Flint сентябрь'!$A$8:$R$8</definedName>
    <definedName name="_ьщт55" hidden="1">#REF!</definedName>
    <definedName name="_clb07">#REF!</definedName>
    <definedName name="_clp07">#REF!</definedName>
    <definedName name="_dd1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rw2" hidden="1">27</definedName>
    <definedName name="_fjk1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LL100">#REF!</definedName>
    <definedName name="_MCV2">[1]Vehicles!$B$58:$O$58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on88" hidden="1">#REF!</definedName>
    <definedName name="_old1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Pos1">'[2]Data CpGRP'!$A$41</definedName>
    <definedName name="_Pos2">'[2]Data CpGRP'!$A$42</definedName>
    <definedName name="_Pos3">'[2]Data CpGRP'!$A$43</definedName>
    <definedName name="_Pos4">'[2]Data CpGRP'!$A$44</definedName>
    <definedName name="_Pos5">'[2]Data CpGRP'!$A$45</definedName>
    <definedName name="_Pos6">'[2]Data CpGRP'!$A$46</definedName>
    <definedName name="_Pos7">'[2]Data CpGRP'!$A$47</definedName>
    <definedName name="_Pos8">'[2]Data CpGRP'!$A$48</definedName>
    <definedName name="_wwe2" hidden="1">{#VALUE!,#N/A,TRUE,0;#N/A,#N/A,TRUE,0;#N/A,#N/A,TRUE,0;#N/A,#N/A,TRUE,0;#N/A,#N/A,TRUE,0}</definedName>
    <definedName name="\e">#REF!</definedName>
    <definedName name="\l">#REF!</definedName>
    <definedName name="АААФ">#REF!</definedName>
    <definedName name="арапр" localSheetId="0" hidden="1">OFFSET(Anch,MATCH("Amedia.ru",resList,0),3,COUNTIF(resList,"Amedia.ru")-1,1)</definedName>
    <definedName name="арапр" localSheetId="1" hidden="1">OFFSET(Anch,MATCH("Amedia.ru",resList,0),3,COUNTIF(resList,"Amedia.ru")-1,1)</definedName>
    <definedName name="арапр" hidden="1">OFFSET(Anch,MATCH("Amedia.ru",resList,0),3,COUNTIF(resList,"Amedia.ru")-1,1)</definedName>
    <definedName name="б" hidden="1">{#N/A,#N/A,TRUE,"Пресса";#N/A,#N/A,TRUE,"Метро";#N/A,#N/A,TRUE,"Щиты";#N/A,#N/A,TRUE,"График";#N/A,#N/A,TRUE,"График"}</definedName>
    <definedName name="_xlnm.Database">#REF!</definedName>
    <definedName name="ввв" hidden="1">{#N/A,#N/A,TRUE,"Пресса";#N/A,#N/A,TRUE,"Метро";#N/A,#N/A,TRUE,"Щиты";#N/A,#N/A,TRUE,"График";#N/A,#N/A,TRUE,"График"}</definedName>
    <definedName name="днп" hidden="1">#REF!</definedName>
    <definedName name="_xlnm.Print_Titles">#REF!</definedName>
    <definedName name="зщд" hidden="1">4</definedName>
    <definedName name="_xlnm.Extract">#REF!</definedName>
    <definedName name="йф" hidden="1">#REF!</definedName>
    <definedName name="йцйцыычмии">#REF!</definedName>
    <definedName name="йцццй" hidden="1">{#N/A,#N/A,TRUE,"Пресса";#N/A,#N/A,TRUE,"Метро";#N/A,#N/A,TRUE,"Щиты";#N/A,#N/A,TRUE,"График";#N/A,#N/A,TRUE,"График"}</definedName>
    <definedName name="комб">#REF!</definedName>
    <definedName name="_xlnm.Criteria">[3]Kostenplan!#REF!</definedName>
    <definedName name="куукку" localSheetId="0" hidden="1">OFFSET(Anch,MATCH("Expert.ru",resList,0),3,COUNTIF(resList,"Expert.ru")-1,1)</definedName>
    <definedName name="куукку" localSheetId="1" hidden="1">OFFSET(Anch,MATCH("Expert.ru",resList,0),3,COUNTIF(resList,"Expert.ru")-1,1)</definedName>
    <definedName name="куукку" hidden="1">OFFSET(Anch,MATCH("Expert.ru",resList,0),3,COUNTIF(resList,"Expert.ru")-1,1)</definedName>
    <definedName name="Кууку" localSheetId="0" hidden="1">OFFSET(Anch,MATCH("Expert.ru",resList,0),3,COUNTIF(resList,"Expert.ru")-1,1)</definedName>
    <definedName name="Кууку" localSheetId="1" hidden="1">OFFSET(Anch,MATCH("Expert.ru",resList,0),3,COUNTIF(resList,"Expert.ru")-1,1)</definedName>
    <definedName name="Кууку" hidden="1">OFFSET(Anch,MATCH("Expert.ru",resList,0),3,COUNTIF(resList,"Expert.ru")-1,1)</definedName>
    <definedName name="л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ж" localSheetId="0" hidden="1">OFFSET(Anch,MATCH("Echo.Msk.ru",resList,0),3,COUNTIF(resList,"Echo.Msk.ru")-1,1)</definedName>
    <definedName name="лж" localSheetId="1" hidden="1">OFFSET(Anch,MATCH("Echo.Msk.ru",resList,0),3,COUNTIF(resList,"Echo.Msk.ru")-1,1)</definedName>
    <definedName name="лж" hidden="1">OFFSET(Anch,MATCH("Echo.Msk.ru",resList,0),3,COUNTIF(resList,"Echo.Msk.ru")-1,1)</definedName>
    <definedName name="лars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о" hidden="1">[4]XLR_NoRangeSheet!$A$5</definedName>
    <definedName name="олд" hidden="1">27</definedName>
    <definedName name="ор" hidden="1">[4]XLR_NoRangeSheet!$A$5</definedName>
    <definedName name="пифдлу" hidden="1">#REF!</definedName>
    <definedName name="погода" localSheetId="0" hidden="1">OFFSET(Anch,MATCH("Auto.ru",resList,0),3,COUNTIF(resList,"Auto.ru")-1,1)</definedName>
    <definedName name="погода" localSheetId="1" hidden="1">OFFSET(Anch,MATCH("Auto.ru",resList,0),3,COUNTIF(resList,"Auto.ru")-1,1)</definedName>
    <definedName name="погода" hidden="1">OFFSET(Anch,MATCH("Auto.ru",resList,0),3,COUNTIF(resList,"Auto.ru")-1,1)</definedName>
    <definedName name="про" hidden="1">4</definedName>
    <definedName name="прп" hidden="1">{"'siets LAT'!$J$95","'siets LAT'!$J$95"}</definedName>
    <definedName name="_xlnm.Recorder">#REF!</definedName>
    <definedName name="свааао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ук" localSheetId="0" hidden="1">OFFSET(Anch,MATCH("Echo.Msk.ru",resList,0),3,COUNTIF(resList,"Echo.Msk.ru")-1,1)</definedName>
    <definedName name="ук" localSheetId="1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0" hidden="1">OFFSET(Anch,MATCH("Amedia.ru",resList,0),3,COUNTIF(resList,"Amedia.ru")-1,1)</definedName>
    <definedName name="укаука" localSheetId="1" hidden="1">OFFSET(Anch,MATCH("Amedia.ru",resList,0),3,COUNTIF(resList,"Amedia.ru")-1,1)</definedName>
    <definedName name="укаука" hidden="1">OFFSET(Anch,MATCH("Amedia.ru",resList,0),3,COUNTIF(resList,"Amedia.ru")-1,1)</definedName>
    <definedName name="Фары">#REF!</definedName>
    <definedName name="фвфыв" hidden="1">MAX((100%-[0]!splitDisc)*(100%-[0]!avtoDisc)*(100%-sasa)*(100%-[0]!discReach),[0]!maxAvto)</definedName>
    <definedName name="ФлоучартСтарый" hidden="1">{#N/A,#N/A,TRUE,"Пресса";#N/A,#N/A,TRUE,"Метро";#N/A,#N/A,TRUE,"Щиты";#N/A,#N/A,TRUE,"График";#N/A,#N/A,TRUE,"График"}</definedName>
    <definedName name="ффффййц">#REF!</definedName>
    <definedName name="фыфцйцу">#REF!</definedName>
    <definedName name="цыв" hidden="1">#N/A</definedName>
    <definedName name="щкуж" localSheetId="0" hidden="1">OFFSET(Anch,MATCH("Expert.ru",resList,0),3,COUNTIF(resList,"Expert.ru")-1,1)</definedName>
    <definedName name="щкуж" localSheetId="1" hidden="1">OFFSET(Anch,MATCH("Expert.ru",resList,0),3,COUNTIF(resList,"Expert.ru")-1,1)</definedName>
    <definedName name="щкуж" hidden="1">OFFSET(Anch,MATCH("Expert.ru",resList,0),3,COUNTIF(resList,"Expert.ru")-1,1)</definedName>
    <definedName name="ываыв" hidden="1">MAX((100%-splitDisc)*(100%-[0]!avtoDisc)*(100%-agencyDisc)*(100%-[0]!discReach),[0]!maxAvto)</definedName>
    <definedName name="a" hidden="1">{"'siets LAT'!$J$95","'siets LAT'!$J$95"}</definedName>
    <definedName name="aa">#REF!</definedName>
    <definedName name="aaa" hidden="1">{#N/A,#N/A,TRUE,"Пресса";#N/A,#N/A,TRUE,"Метро";#N/A,#N/A,TRUE,"Щиты";#N/A,#N/A,TRUE,"График";#N/A,#N/A,TRUE,"График"}</definedName>
    <definedName name="ab">#REF!</definedName>
    <definedName name="Abfrage_KW18">#REF!</definedName>
    <definedName name="ac">#REF!</definedName>
    <definedName name="ad">'[5]cic 22-9 - 26-10'!$D$11</definedName>
    <definedName name="Adformat">[6]FormatSpecs!$B$1:$B$71</definedName>
    <definedName name="adresse1Vermarkter">[7]SitesVermarkter!#REF!</definedName>
    <definedName name="Adserverimplementierung">[6]Basisdaten!$H$8:$H$18</definedName>
    <definedName name="afishaDisc" hidden="1">[8]AFISHA.RU!$E$44</definedName>
    <definedName name="afishaDiscTotal" hidden="1">MAX((100%-splitDisc)*(100%-[0]!afishaDisc)*(100%-agencyDisc)*(100%-[0]!discReach),[0]!maxAfisha)</definedName>
    <definedName name="agencyDisc" hidden="1">#REF!</definedName>
    <definedName name="aggregate_tag">#REF!</definedName>
    <definedName name="Aggregated_spec">#REF!</definedName>
    <definedName name="Alti" localSheetId="0">[9]!Alti</definedName>
    <definedName name="Alti" localSheetId="1">[9]!Alti</definedName>
    <definedName name="Alti">[9]!Alti</definedName>
    <definedName name="amediaDisc" hidden="1">[8]AMEDIA.RU!$E$49</definedName>
    <definedName name="amediaDiscTotal" hidden="1">MAX((100%-splitDisc)*(100%-[0]!amediaDisc)*(100%-agencyDisc)*(100%-[0]!discReach),[0]!maxAmedia)</definedName>
    <definedName name="anscount" hidden="1">2</definedName>
    <definedName name="apr">#REF!</definedName>
    <definedName name="area">#REF!,#REF!,#REF!,#REF!,#REF!,#REF!,#REF!,#REF!,#REF!,#REF!,#REF!,#REF!,#REF!,#REF!,#REF!,#REF!,#REF!,#REF!,#REF!,#REF!,#REF!,#REF!,#REF!,#REF!</definedName>
    <definedName name="AS2DocOpenMode" hidden="1">"AS2DocumentEdit"</definedName>
    <definedName name="asd.xlc" hidden="1">27</definedName>
    <definedName name="asda">#REF!</definedName>
    <definedName name="asdad">#REF!</definedName>
    <definedName name="asdafasf">#REF!</definedName>
    <definedName name="asdda111">#REF!</definedName>
    <definedName name="asddsad">#REF!</definedName>
    <definedName name="asdfakafs.">[7]SitesVermarkter!#REF!</definedName>
    <definedName name="asdlls">#REF!</definedName>
    <definedName name="asdq111d">#REF!</definedName>
    <definedName name="assss" hidden="1">#REF!</definedName>
    <definedName name="astek" hidden="1">{#N/A,#N/A,TRUE,"Пресса";#N/A,#N/A,TRUE,"Метро";#N/A,#N/A,TRUE,"Щиты";#N/A,#N/A,TRUE,"График";#N/A,#N/A,TRUE,"График"}</definedName>
    <definedName name="AUDI">#REF!</definedName>
    <definedName name="AUDITLISTE">#REF!</definedName>
    <definedName name="aug">#REF!</definedName>
    <definedName name="autoDisc" hidden="1">[8]AUTO.RU!$E$46</definedName>
    <definedName name="autoDiscTotal" hidden="1">MAX((100%-splitDisc)*(100%-[0]!autoDisc)*(100%-agencyDisc)*(100%-[0]!discReach),[0]!maxAuto)</definedName>
    <definedName name="avtoDisc" hidden="1">[8]AVTO.RU!$E$48</definedName>
    <definedName name="avtoDiscTotal" hidden="1">MAX((100%-splitDisc)*(100%-[0]!avtoDisc)*(100%-agencyDisc)*(100%-[0]!discReach),[0]!maxAvto)</definedName>
    <definedName name="azer">#REF!</definedName>
    <definedName name="b" hidden="1">{"'siets LAT'!$J$95","'siets LAT'!$J$95"}</definedName>
    <definedName name="ba">#REF!</definedName>
    <definedName name="banner">#REF!</definedName>
    <definedName name="basia" hidden="1">{"'siets LAT'!$J$95","'siets LAT'!$J$95"}</definedName>
    <definedName name="BB">#REF!</definedName>
    <definedName name="bdgcin">'[10]CINEMA RMB'!#REF!</definedName>
    <definedName name="BDGMTV">#REF!</definedName>
    <definedName name="BDGPBL">'[11]Conto Sipra'!#REF!</definedName>
    <definedName name="BDGPER">#REF!</definedName>
    <definedName name="BDGPRS">#REF!</definedName>
    <definedName name="BDGQUO">#REF!</definedName>
    <definedName name="BDGSIPRA">#REF!</definedName>
    <definedName name="Beschreibung">#REF!</definedName>
    <definedName name="bla" hidden="1">{"'siets LAT'!$J$95","'siets LAT'!$J$95"}</definedName>
    <definedName name="blabla" hidden="1">{"'siets LAT'!$J$95","'siets LAT'!$J$95"}</definedName>
    <definedName name="bn">#REF!</definedName>
    <definedName name="Brand">#REF!</definedName>
    <definedName name="Brutto">'[2]Data CpGRP'!$B$4</definedName>
    <definedName name="budAfisha" localSheetId="0" hidden="1">OFFSET(Anch,MATCH("Afisha.ru",resList,0),3,COUNTIF(resList,"Afisha.ru")-1,1)</definedName>
    <definedName name="budAfisha" localSheetId="1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0" hidden="1">OFFSET(Anch,MATCH("Amedia.ru",resList,0),3,COUNTIF(resList,"Amedia.ru")-1,1)</definedName>
    <definedName name="budAmedia" localSheetId="1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0" hidden="1">OFFSET(Anch,MATCH("Auto.ru",resList,0),3,COUNTIF(resList,"Auto.ru")-1,1)</definedName>
    <definedName name="budAuto" localSheetId="1" hidden="1">OFFSET(Anch,MATCH("Auto.ru",resList,0),3,COUNTIF(resList,"Auto.ru")-1,1)</definedName>
    <definedName name="budAuto" hidden="1">OFFSET(Anch,MATCH("Auto.ru",resList,0),3,COUNTIF(resList,"Auto.ru")-1,1)</definedName>
    <definedName name="budAvto" localSheetId="0" hidden="1">OFFSET(Anch,MATCH("Avto.ru",resList,0),3,COUNTIF(resList,"Avto.ru")-1,1)</definedName>
    <definedName name="budAvto" localSheetId="1" hidden="1">OFFSET(Anch,MATCH("Avto.ru",resList,0),3,COUNTIF(resList,"Avto.ru")-1,1)</definedName>
    <definedName name="budAvto" hidden="1">OFFSET(Anch,MATCH("Avto.ru",resList,0),3,COUNTIF(resList,"Avto.ru")-1,1)</definedName>
    <definedName name="budd3" localSheetId="0" hidden="1">OFFSET(Anch,MATCH("3dnews.ru",resList,0),3,COUNTIF(resList,"3dnews.ru")-1,1)</definedName>
    <definedName name="budd3" localSheetId="1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0" hidden="1">OFFSET(Anch,MATCH("Echo.Msk.ru",resList,0),3,COUNTIF(resList,"Echo.Msk.ru")-1,1)</definedName>
    <definedName name="budEcho" localSheetId="1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0" hidden="1">OFFSET(Anch,MATCH("Expert.ru",resList,0),3,COUNTIF(resList,"Expert.ru")-1,1)</definedName>
    <definedName name="budExpert" localSheetId="1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0" hidden="1">OFFSET(Anch,MATCH("Fashiontime.ru",resList,0),3,COUNTIF(resList,"Fashiontime.ru")-1,1)</definedName>
    <definedName name="budFt" localSheetId="1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">#REF!</definedName>
    <definedName name="budGazeta" localSheetId="0" hidden="1">OFFSET(Anch,MATCH("Gazeta.ru",resList,0),3,COUNTIF(resList,"Gazeta.ru")-1,1)</definedName>
    <definedName name="budGazeta" localSheetId="1" hidden="1">OFFSET(Anch,MATCH("Gazeta.ru",resList,0),3,COUNTIF(resList,"Gazeta.ru")-1,1)</definedName>
    <definedName name="budGazeta" hidden="1">OFFSET(Anch,MATCH("Gazeta.ru",resList,0),3,COUNTIF(resList,"Gazeta.ru")-1,1)</definedName>
    <definedName name="budIno" localSheetId="0" hidden="1">OFFSET(Anch,MATCH("Inopressa.ru",resList,0),3,COUNTIF(resList,"Inopressa.ru")-1,1)</definedName>
    <definedName name="budIno" localSheetId="1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0" hidden="1">OFFSET(Anch,MATCH("Kommersant.ru",resList,0),3,COUNTIF(resList,"Kommersant.ru")-1,1)</definedName>
    <definedName name="budKomm" localSheetId="1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0" hidden="1">OFFSET(Anch,MATCH("Liveinternet.ru",resList,0),3,COUNTIF(resList,"Liveinternet.ru")-1,1)</definedName>
    <definedName name="budLive" localSheetId="1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0" hidden="1">OFFSET(Anch,MATCH("Mail.ru",resList,0),3,COUNTIF(resList,"Mail.ru")-1,1)</definedName>
    <definedName name="budMail" localSheetId="1" hidden="1">OFFSET(Anch,MATCH("Mail.ru",resList,0),3,COUNTIF(resList,"Mail.ru")-1,1)</definedName>
    <definedName name="budMail" hidden="1">OFFSET(Anch,MATCH("Mail.ru",resList,0),3,COUNTIF(resList,"Mail.ru")-1,1)</definedName>
    <definedName name="budMtv" localSheetId="0" hidden="1">OFFSET(Anch,MATCH("MTV.ru",resList,0),3,COUNTIF(resList,"MTV.ru")-1,1)</definedName>
    <definedName name="budMtv" localSheetId="1" hidden="1">OFFSET(Anch,MATCH("MTV.ru",resList,0),3,COUNTIF(resList,"MTV.ru")-1,1)</definedName>
    <definedName name="budMtv" hidden="1">OFFSET(Anch,MATCH("MTV.ru",resList,0),3,COUNTIF(resList,"MTV.ru")-1,1)</definedName>
    <definedName name="budNewsru" localSheetId="0" hidden="1">OFFSET(Anch,MATCH("Newsru.com",resList,0),3,COUNTIF(resList,"Newsru.com")-1,1)</definedName>
    <definedName name="budNewsru" localSheetId="1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0" hidden="1">OFFSET(Anch,MATCH("24open.ru",resList,0),3,COUNTIF(resList,"24open.ru")-1,1)</definedName>
    <definedName name="budo24" localSheetId="1" hidden="1">OFFSET(Anch,MATCH("24open.ru",resList,0),3,COUNTIF(resList,"24open.ru")-1,1)</definedName>
    <definedName name="budo24" hidden="1">OFFSET(Anch,MATCH("24open.ru",resList,0),3,COUNTIF(resList,"24open.ru")-1,1)</definedName>
    <definedName name="budRian" localSheetId="0" hidden="1">OFFSET(Anch,MATCH("RIAN.ru",resList,0),3,COUNTIF(resList,"RIAN.ru")-1,1)</definedName>
    <definedName name="budRian" localSheetId="1" hidden="1">OFFSET(Anch,MATCH("RIAN.ru",resList,0),3,COUNTIF(resList,"RIAN.ru")-1,1)</definedName>
    <definedName name="budRian" hidden="1">OFFSET(Anch,MATCH("RIAN.ru",resList,0),3,COUNTIF(resList,"RIAN.ru")-1,1)</definedName>
    <definedName name="budSp" localSheetId="0" hidden="1">OFFSET(Anch,MATCH("Sports.ru",resList,0),3,COUNTIF(resList,"Sports.ru")-1,1)</definedName>
    <definedName name="budSp" localSheetId="1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0" hidden="1">OFFSET(Anch,MATCH("Superstyle.ru",resList,0),3,COUNTIF(resList,"Superstyle.ru")-1,1)</definedName>
    <definedName name="budStyle" localSheetId="1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0" hidden="1">OFFSET(Anch,MATCH("Subscribe.ru",resList,0),3,COUNTIF(resList,"Subscribe.ru")-1,1)</definedName>
    <definedName name="budSubscribe" localSheetId="1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okrug" localSheetId="0" hidden="1">OFFSET(Anch,MATCH("Vokrugsveta.ru",resList,0),3,COUNTIF(resList,"Vokrugsveta.ru")-1,1)</definedName>
    <definedName name="budVokrug" localSheetId="1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0" hidden="1">OFFSET(Anch,MATCH("Vzglyad.ru",resList,0),3,COUNTIF(resList,"Vzglyad.ru")-1,1)</definedName>
    <definedName name="budVzglyad" localSheetId="1" hidden="1">OFFSET(Anch,MATCH("Vzglyad.ru",resList,0),3,COUNTIF(resList,"Vzglyad.ru")-1,1)</definedName>
    <definedName name="budVzglyad" hidden="1">OFFSET(Anch,MATCH("Vzglyad.ru",resList,0),3,COUNTIF(resList,"Vzglyad.ru")-1,1)</definedName>
    <definedName name="budYa" localSheetId="0" hidden="1">OFFSET(Anch,MATCH("Yandex.ru",resList,0),3,COUNTIF(resList,"Yandex.ru")-1,1)</definedName>
    <definedName name="budYa" localSheetId="1" hidden="1">OFFSET(Anch,MATCH("Yandex.ru",resList,0),3,COUNTIF(resList,"Yandex.ru")-1,1)</definedName>
    <definedName name="budYa" hidden="1">OFFSET(Anch,MATCH("Yandex.ru",resList,0),3,COUNTIF(resList,"Yandex.ru")-1,1)</definedName>
    <definedName name="ca">#REF!</definedName>
    <definedName name="cad" hidden="1">[4]XLR_NoRangeSheet!$B$5</definedName>
    <definedName name="CAL">#REF!</definedName>
    <definedName name="calcola_indice">[12]GRP!#REF!</definedName>
    <definedName name="calmedia">#REF!</definedName>
    <definedName name="calmedia2">#REF!</definedName>
    <definedName name="calprod2">#REF!</definedName>
    <definedName name="CALPROD3">#REF!</definedName>
    <definedName name="Calproduit">#REF!</definedName>
    <definedName name="canale5">#REF!,#REF!,#REF!,#REF!,#REF!,#REF!,#REF!,#REF!,#REF!,#REF!</definedName>
    <definedName name="canali">#REF!</definedName>
    <definedName name="cat">#REF!</definedName>
    <definedName name="cc">#REF!</definedName>
    <definedName name="Cēsu" hidden="1">{"'siets LAT'!$J$95","'siets LAT'!$J$95"}</definedName>
    <definedName name="Cha">#REF!</definedName>
    <definedName name="ci">'[13]PIANO GENERALE'!#REF!</definedName>
    <definedName name="clb">#REF!</definedName>
    <definedName name="CLP">#REF!</definedName>
    <definedName name="CMERCE">#REF!</definedName>
    <definedName name="CN" hidden="1">{#N/A,#N/A,TRUE,"Пресса";#N/A,#N/A,TRUE,"Метро";#N/A,#N/A,TRUE,"Щиты";#N/A,#N/A,TRUE,"График";#N/A,#N/A,TRUE,"График"}</definedName>
    <definedName name="coco">#REF!</definedName>
    <definedName name="coco_1">#REF!</definedName>
    <definedName name="coco_2">#REF!</definedName>
    <definedName name="coco_3">#REF!</definedName>
    <definedName name="COMPBL">#REF!</definedName>
    <definedName name="COMPER">#REF!</definedName>
    <definedName name="COMPRS">#REF!</definedName>
    <definedName name="COMQUO">#REF!</definedName>
    <definedName name="cost">#REF!</definedName>
    <definedName name="CPP">#REF!</definedName>
    <definedName name="CSMEZ">#REF!</definedName>
    <definedName name="d3Disc" hidden="1">'[8]3DNEWS.RU'!$E$48</definedName>
    <definedName name="d3DiscTotal" hidden="1">MAX((100%-splitDisc)*(100%-[0]!d3Disc)*(100%-agencyDisc)*(100%-[0]!discReach),[0]!maxd3)</definedName>
    <definedName name="daimler">#REF!</definedName>
    <definedName name="Dandy_new" hidden="1">{"'siets LAT'!$J$95","'siets LAT'!$J$95"}</definedName>
    <definedName name="dd">'[14]MP 2007'!#REF!</definedName>
    <definedName name="ddd">#REF!</definedName>
    <definedName name="de">[15]Spee!$A$63</definedName>
    <definedName name="debby">#REF!</definedName>
    <definedName name="DEBORA">#REF!</definedName>
    <definedName name="description">#REF!</definedName>
    <definedName name="dez">#REF!</definedName>
    <definedName name="dfg" hidden="1">[4]XLR_NoRangeSheet!$A$5</definedName>
    <definedName name="dgdg" hidden="1">[4]XLR_NoRangeSheet!$A$5</definedName>
    <definedName name="discMax" hidden="1">'[8]##'!$Q$20:$Q$42</definedName>
    <definedName name="discReach" hidden="1">#N/A</definedName>
    <definedName name="dolzina">#REF!</definedName>
    <definedName name="dolzina_1">#REF!</definedName>
    <definedName name="dqsqqs">#REF!</definedName>
    <definedName name="Druckbereich_MI">#REF!</definedName>
    <definedName name="Drucktitel2">#REF!</definedName>
    <definedName name="dsdasadsfsf" hidden="1">4</definedName>
    <definedName name="echoDisc" hidden="1">'[8]ECHO.MSK.RU'!$E$49</definedName>
    <definedName name="echoDiscTotal" hidden="1">MAX((100%-splitDisc)*(100%-[0]!echoDisc)*(100%-agencyDisc)*(100%-[0]!discReach),[0]!maxEcho)</definedName>
    <definedName name="EDITION">#REF!</definedName>
    <definedName name="eeeeeee" hidden="1">4</definedName>
    <definedName name="eeeeeeeeeee" hidden="1">27</definedName>
    <definedName name="eh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qwqeq">#REF!</definedName>
    <definedName name="Estimacion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Criteria">[16]LODI!#REF!</definedName>
    <definedName name="Excel_BuiltIn_Extract">[16]LODI!#REF!</definedName>
    <definedName name="expertDisc" hidden="1">[8]EXPERT.RU!$E$50</definedName>
    <definedName name="expertDiscTotal" hidden="1">MAX((100%-splitDisc)*(100%-[0]!expertDisc)*(100%-agencyDisc)*(100%-[0]!discReach),[0]!maxExpert)</definedName>
    <definedName name="extraDelay" hidden="1">IF([0]!fixDelay,10%,0)</definedName>
    <definedName name="f">#REF!</definedName>
    <definedName name="FA">#REF!,#REF!,#REF!,#REF!,#REF!,#REF!,#REF!,#REF!,#REF!,#REF!,#REF!,#REF!,#REF!,#REF!,#REF!,#REF!,#REF!,#REF!,#REF!,#REF!,#REF!,#REF!,#REF!</definedName>
    <definedName name="FactsCount">1</definedName>
    <definedName name="FASCIA1">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B">#REF!</definedName>
    <definedName name="FD">#REF!</definedName>
    <definedName name="Feb" hidden="1">{#N/A,#N/A,TRUE,"Пресса";#N/A,#N/A,TRUE,"Метро";#N/A,#N/A,TRUE,"Щиты";#N/A,#N/A,TRUE,"График";#N/A,#N/A,TRUE,"График"}</definedName>
    <definedName name="Fehl1">'[2]Data CpGRP'!$A$60</definedName>
    <definedName name="Fehl2">'[2]Data CpGRP'!$A$61</definedName>
    <definedName name="Fehl3">'[2]Data CpGRP'!$A$62</definedName>
    <definedName name="ffdffdf" hidden="1">27</definedName>
    <definedName name="fff">'[17]MP NEON 2008'!#REF!</definedName>
    <definedName name="fg" hidden="1">{#N/A,#N/A,TRUE,"Пресса";#N/A,#N/A,TRUE,"Метро";#N/A,#N/A,TRUE,"Щиты";#N/A,#N/A,TRUE,"График";#N/A,#N/A,TRUE,"График"}</definedName>
    <definedName name="fixAfisha" hidden="1">'[18]##'!$I$24</definedName>
    <definedName name="fixAmedia" hidden="1">'[18]##'!$I$35</definedName>
    <definedName name="fixAuto" hidden="1">'[18]##'!$I$29</definedName>
    <definedName name="fixAvto" hidden="1">'[18]##'!$I$30</definedName>
    <definedName name="fixd3" hidden="1">'[18]##'!$I$39</definedName>
    <definedName name="fixDelay" hidden="1">'[8]##'!$F$6</definedName>
    <definedName name="fixEcho" hidden="1">'[18]##'!$I$33</definedName>
    <definedName name="fixExpert" hidden="1">'[18]##'!$I$26</definedName>
    <definedName name="fixFt" hidden="1">'[18]##'!$I$40</definedName>
    <definedName name="fixGazeta" hidden="1">'[18]##'!$I$23</definedName>
    <definedName name="fixIno" hidden="1">'[18]##'!$I$31</definedName>
    <definedName name="fixKomm" hidden="1">'[18]##'!$I$27</definedName>
    <definedName name="fixLive" hidden="1">'[18]##'!$I$38</definedName>
    <definedName name="fixMail" hidden="1">'[18]##'!$I$21</definedName>
    <definedName name="fixMtv" hidden="1">'[18]##'!$I$37</definedName>
    <definedName name="fixN" hidden="1">'[8]##'!$I$43</definedName>
    <definedName name="fixNewsru" hidden="1">'[18]##'!$I$25</definedName>
    <definedName name="fixo24" hidden="1">'[18]##'!$I$42</definedName>
    <definedName name="fixPlan" hidden="1">'[8]##'!$H$3</definedName>
    <definedName name="fixReach" hidden="1">'[8]##'!$F$3</definedName>
    <definedName name="fixRian" hidden="1">'[18]##'!$I$34</definedName>
    <definedName name="fixSp" hidden="1">'[18]##'!$I$41</definedName>
    <definedName name="fixStyle" hidden="1">'[18]##'!$I$32</definedName>
    <definedName name="fixSubscribe" hidden="1">'[18]##'!$I$28</definedName>
    <definedName name="fixVokrug" hidden="1">'[18]##'!$I$36</definedName>
    <definedName name="fixVzglyad" hidden="1">'[18]##'!$I$22</definedName>
    <definedName name="fixYa" hidden="1">'[18]##'!$I$20</definedName>
    <definedName name="fjk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reiplindex">#REF!</definedName>
    <definedName name="ftDisc" hidden="1">[8]FASHIONTIME.RU!$E$46</definedName>
    <definedName name="ftDiscTotal" hidden="1">MAX((100%-splitDisc)*(100%-[0]!ftDisc)*(100%-agencyDisc)*(100%-[0]!discReach),[0]!maxFt)</definedName>
    <definedName name="Full">#REF!</definedName>
    <definedName name="FX">#REF!</definedName>
    <definedName name="G_F0" hidden="1">[19]XLRpt_TempSheet!$B$6</definedName>
    <definedName name="gazetaDisc" hidden="1">[8]GAZETA.RU!$E$53</definedName>
    <definedName name="gazetaDiscTotal" hidden="1">MAX((100%-splitDisc)*(100%-[0]!gazetaDisc)*(100%-agencyDisc)*(100%-[0]!discReach),[0]!maxGazeta)</definedName>
    <definedName name="gflisa">#REF!</definedName>
    <definedName name="gg">#REF!</definedName>
    <definedName name="gh">#REF!</definedName>
    <definedName name="ghh" hidden="1">[4]XLR_NoRangeSheet!$B$5</definedName>
    <definedName name="ghjk">#REF!</definedName>
    <definedName name="ghvggg">#REF!</definedName>
    <definedName name="ghvggg_1">#REF!</definedName>
    <definedName name="ghvggg_2">#REF!</definedName>
    <definedName name="gio">#REF!</definedName>
    <definedName name="gjhfg" hidden="1">[19]XLRpt_TempSheet!$B$6</definedName>
    <definedName name="gkfy" hidden="1">{#N/A,#N/A,TRUE,"Пресса";#N/A,#N/A,TRUE,"Метро";#N/A,#N/A,TRUE,"Щиты";#N/A,#N/A,TRUE,"График";#N/A,#N/A,TRUE,"График"}</definedName>
    <definedName name="gwer">#REF!</definedName>
    <definedName name="haa">#REF!</definedName>
    <definedName name="HeaderCols">2</definedName>
    <definedName name="HeaderRows">3</definedName>
    <definedName name="hen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gth">#REF!</definedName>
    <definedName name="hhhhhhh">#REF!</definedName>
    <definedName name="HQLogo_1">#REF!</definedName>
    <definedName name="HTML_CodePage" hidden="1">1257</definedName>
    <definedName name="HTML_Control" hidden="1">{"'siets LAT'!$J$95","'siets LAT'!$J$95"}</definedName>
    <definedName name="HTML_Description" hidden="1">""</definedName>
    <definedName name="HTML_Email" hidden="1">""</definedName>
    <definedName name="HTML_Header" hidden="1">"siets LAT"</definedName>
    <definedName name="HTML_LastUpdate" hidden="1">"98.04.24."</definedName>
    <definedName name="HTML_LineAfter" hidden="1">FALSE</definedName>
    <definedName name="HTML_LineBefore" hidden="1">FALSE</definedName>
    <definedName name="HTML_Name" hidden="1">"Guru"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"5 CENU LISTES 1998A"</definedName>
    <definedName name="IL">#REF!,#REF!,#REF!,#REF!,#REF!,#REF!,#REF!,#REF!,#REF!,#REF!,#REF!,#REF!,#REF!</definedName>
    <definedName name="import">#REF!</definedName>
    <definedName name="Indoor">#REF!</definedName>
    <definedName name="inoDisc" hidden="1">[8]INOPRESSA.RU!$E$49</definedName>
    <definedName name="inoDiscTotal" hidden="1">MAX((100%-splitDisc)*(100%-[0]!inoDisc)*(100%-agencyDisc)*(100%-[0]!discReach),[0]!maxIno)</definedName>
    <definedName name="Internet">#REF!</definedName>
    <definedName name="io" hidden="1">{#N/A,#N/A,TRUE,"Пресса";#N/A,#N/A,TRUE,"Метро";#N/A,#N/A,TRUE,"Щиты";#N/A,#N/A,TRUE,"График";#N/A,#N/A,TRUE,"График"}</definedName>
    <definedName name="ir">#REF!</definedName>
    <definedName name="italia1">#REF!,#REF!,#REF!,#REF!,#REF!,#REF!,#REF!,#REF!,#REF!,#REF!,#REF!,#REF!,#REF!</definedName>
    <definedName name="ITCCBDG">#REF!</definedName>
    <definedName name="ITCCCOM">#REF!</definedName>
    <definedName name="ITCCLIST">#REF!</definedName>
    <definedName name="j">'[20]MP NEON 2007'!#REF!</definedName>
    <definedName name="jan">#REF!</definedName>
    <definedName name="jhgjgg" hidden="1">{#N/A,#N/A,TRUE,"Пресса";#N/A,#N/A,TRUE,"Метро";#N/A,#N/A,TRUE,"Щиты";#N/A,#N/A,TRUE,"График";#N/A,#N/A,TRUE,"График"}</definedName>
    <definedName name="jul">#REF!</definedName>
    <definedName name="jun">#REF!</definedName>
    <definedName name="k">[16]LODI!#REF!</definedName>
    <definedName name="katja">'[2]Data CpGRP'!#REF!</definedName>
    <definedName name="Kino">#REF!</definedName>
    <definedName name="km">#REF!</definedName>
    <definedName name="kommDisc" hidden="1">[8]KOMMERSANT.RU!$E$44</definedName>
    <definedName name="kommDiscTotal" hidden="1">MAX((100%-splitDisc)*(100%-[0]!kommDisc)*(100%-agencyDisc)*(100%-[0]!discReach),[0]!maxKomm)</definedName>
    <definedName name="KOSIA" hidden="1">{"'siets LAT'!$J$95","'siets LAT'!$J$95"}</definedName>
    <definedName name="KostProz_1">'[2]Data Sender-ZS'!$C$15,'[2]Data Sender-ZS'!$C$29,'[2]Data Sender-ZS'!$C$43,'[2]Data Sender-ZS'!$C$57,'[2]Data Sender-ZS'!$C$71,'[2]Data Sender-ZS'!$C$99,'[2]Data Sender-ZS'!$C$113,'[2]Data Sender-ZS'!$C$85</definedName>
    <definedName name="KostProz_10">'[2]Data Sender-ZS'!$L$15,'[2]Data Sender-ZS'!$L$29,'[2]Data Sender-ZS'!$L$43,'[2]Data Sender-ZS'!$L$57,'[2]Data Sender-ZS'!$L$71,'[2]Data Sender-ZS'!$L$85,'[2]Data Sender-ZS'!$L$99,'[2]Data Sender-ZS'!$L$113</definedName>
    <definedName name="KostProz_11">'[2]Data Sender-ZS'!$M$15,'[2]Data Sender-ZS'!$M$29,'[2]Data Sender-ZS'!$M$43,'[2]Data Sender-ZS'!$M$57,'[2]Data Sender-ZS'!$M$71,'[2]Data Sender-ZS'!$M$85,'[2]Data Sender-ZS'!$M$99,'[2]Data Sender-ZS'!$M$113</definedName>
    <definedName name="KostProz_12">'[2]Data Sender-ZS'!$N$15,'[2]Data Sender-ZS'!$N$29,'[2]Data Sender-ZS'!$N$43,'[2]Data Sender-ZS'!$N$57,'[2]Data Sender-ZS'!$N$71,'[2]Data Sender-ZS'!$N$85,'[2]Data Sender-ZS'!$N$99,'[2]Data Sender-ZS'!$N$113</definedName>
    <definedName name="KostProz_2">'[2]Data Sender-ZS'!$D$15,'[2]Data Sender-ZS'!$D$29,'[2]Data Sender-ZS'!$D$43,'[2]Data Sender-ZS'!$D$57,'[2]Data Sender-ZS'!$D$71,'[2]Data Sender-ZS'!$D$85,'[2]Data Sender-ZS'!$D$99,'[2]Data Sender-ZS'!$D$113</definedName>
    <definedName name="KostProz_3">'[2]Data Sender-ZS'!$E$15,'[2]Data Sender-ZS'!$E$29,'[2]Data Sender-ZS'!$E$43,'[2]Data Sender-ZS'!$E$57,'[2]Data Sender-ZS'!$E$71,'[2]Data Sender-ZS'!$E$85,'[2]Data Sender-ZS'!$E$99,'[2]Data Sender-ZS'!$E$113</definedName>
    <definedName name="KostProz_4">'[2]Data Sender-ZS'!$F$15,'[2]Data Sender-ZS'!$F$29,'[2]Data Sender-ZS'!$F$43,'[2]Data Sender-ZS'!$F$57,'[2]Data Sender-ZS'!$F$71,'[2]Data Sender-ZS'!$F$85,'[2]Data Sender-ZS'!$F$99,'[2]Data Sender-ZS'!$F$113</definedName>
    <definedName name="KostProz_5">'[2]Data Sender-ZS'!$G$15,'[2]Data Sender-ZS'!$G$29,'[2]Data Sender-ZS'!$G$43,'[2]Data Sender-ZS'!$G$57,'[2]Data Sender-ZS'!$G$71,'[2]Data Sender-ZS'!$G$85,'[2]Data Sender-ZS'!$G$99,'[2]Data Sender-ZS'!$G$113</definedName>
    <definedName name="KostProz_6">'[2]Data Sender-ZS'!$H$15,'[2]Data Sender-ZS'!$H$29,'[2]Data Sender-ZS'!$H$43,'[2]Data Sender-ZS'!$H$57,'[2]Data Sender-ZS'!$H$71,'[2]Data Sender-ZS'!$H$85,'[2]Data Sender-ZS'!$H$99,'[2]Data Sender-ZS'!$H$113</definedName>
    <definedName name="KostProz_7">'[2]Data Sender-ZS'!$I$15,'[2]Data Sender-ZS'!$I$29,'[2]Data Sender-ZS'!$I$43,'[2]Data Sender-ZS'!$I$57,'[2]Data Sender-ZS'!$I$71,'[2]Data Sender-ZS'!$I$85,'[2]Data Sender-ZS'!$I$99,'[2]Data Sender-ZS'!$I$113</definedName>
    <definedName name="KostProz_8">'[2]Data Sender-ZS'!$J$15,'[2]Data Sender-ZS'!$J$29,'[2]Data Sender-ZS'!$J$43,'[2]Data Sender-ZS'!$J$57,'[2]Data Sender-ZS'!$J$71,'[2]Data Sender-ZS'!$J$85,'[2]Data Sender-ZS'!$J$99,'[2]Data Sender-ZS'!$J$113</definedName>
    <definedName name="KostProz_9">'[2]Data Sender-ZS'!$K$15,'[2]Data Sender-ZS'!$K$29,'[2]Data Sender-ZS'!$K$43,'[2]Data Sender-ZS'!$K$57,'[2]Data Sender-ZS'!$K$71,'[2]Data Sender-ZS'!$K$85,'[2]Data Sender-ZS'!$K$99,'[2]Data Sender-ZS'!$K$113</definedName>
    <definedName name="Kunde">'[2]Data CpGRP'!$B$2</definedName>
    <definedName name="LCV">[1]Vehicles!$B$63:$O$71</definedName>
    <definedName name="Lieferant">#REF!</definedName>
    <definedName name="linkedAfisha" hidden="1">'[8]##'!$C$24</definedName>
    <definedName name="linkedAll" hidden="1">'[8]##'!$C$20:$C$42</definedName>
    <definedName name="linkedAmedia" hidden="1">'[8]##'!$C$35</definedName>
    <definedName name="linkedAuto" hidden="1">'[8]##'!$C$29</definedName>
    <definedName name="linkedAvto" hidden="1">'[8]##'!$C$30</definedName>
    <definedName name="linkedd3" hidden="1">'[8]##'!$C$39</definedName>
    <definedName name="linkedEcho" hidden="1">'[8]##'!$C$33</definedName>
    <definedName name="linkedExpert" hidden="1">'[8]##'!$C$26</definedName>
    <definedName name="linkedFt" hidden="1">'[8]##'!$C$40</definedName>
    <definedName name="linkedGazeta" hidden="1">'[8]##'!$C$23</definedName>
    <definedName name="linkedIno" hidden="1">'[8]##'!$C$31</definedName>
    <definedName name="linkedKomm" hidden="1">'[8]##'!$C$27</definedName>
    <definedName name="linkedLive" hidden="1">'[8]##'!$C$38</definedName>
    <definedName name="linkedMail" hidden="1">'[8]##'!$C$21</definedName>
    <definedName name="linkedMtv" hidden="1">'[8]##'!$C$37</definedName>
    <definedName name="linkedNewsru" hidden="1">'[8]##'!$C$25</definedName>
    <definedName name="linkedo24" hidden="1">'[8]##'!$C$42</definedName>
    <definedName name="linkedRian" hidden="1">'[8]##'!$C$34</definedName>
    <definedName name="linkedSp" hidden="1">'[8]##'!$C$41</definedName>
    <definedName name="linkedStyle" hidden="1">'[8]##'!$C$32</definedName>
    <definedName name="linkedSubscribe" hidden="1">'[8]##'!$C$28</definedName>
    <definedName name="linkedVokrug" hidden="1">'[8]##'!$C$36</definedName>
    <definedName name="linkedVzglyad" hidden="1">'[8]##'!$C$22</definedName>
    <definedName name="linkedYa" hidden="1">'[8]##'!$C$20</definedName>
    <definedName name="lisa">#REF!</definedName>
    <definedName name="lisquo">#REF!</definedName>
    <definedName name="LISTMTV">#REF!</definedName>
    <definedName name="LISTPBL">#REF!</definedName>
    <definedName name="LISTPER">#REF!</definedName>
    <definedName name="LISTPRS">#REF!</definedName>
    <definedName name="LISTQUO">#REF!</definedName>
    <definedName name="LISTTMC">#REF!</definedName>
    <definedName name="liveDisc" hidden="1">[8]LIVEINTERNET.RU!$E$55</definedName>
    <definedName name="liveDiscTotal" hidden="1">MAX((100%-splitDisc)*(100%-[0]!liveDisc)*(100%-agencyDisc)*(100%-[0]!discReach),[0]!maxLive)</definedName>
    <definedName name="lm">#REF!</definedName>
    <definedName name="LTV_6MONTHNEW" hidden="1">{"'siets LAT'!$J$95","'siets LAT'!$J$95"}</definedName>
    <definedName name="m_plan" hidden="1">{#N/A,#N/A,TRUE,"Пресса";#N/A,#N/A,TRUE,"Метро";#N/A,#N/A,TRUE,"Щиты";#N/A,#N/A,TRUE,"График";#N/A,#N/A,TRUE,"График"}</definedName>
    <definedName name="Magazyny">#REF!</definedName>
    <definedName name="mai">#REF!</definedName>
    <definedName name="mailDisc" hidden="1">[8]MAIL.RU!$E$59</definedName>
    <definedName name="mailDiscTotal" hidden="1">MAX((100%-splitDisc)*(100%-[0]!mailDisc)*(100%-agencyDisc)*(100%-[0]!discReach),[0]!maxMail)</definedName>
    <definedName name="Martini" hidden="1">{"'siets LAT'!$J$95","'siets LAT'!$J$95"}</definedName>
    <definedName name="material_number">#REF!</definedName>
    <definedName name="maxAfisha" hidden="1">'[8]##'!$O$24</definedName>
    <definedName name="maxAmedia" hidden="1">'[8]##'!$O$35</definedName>
    <definedName name="maxAuto" hidden="1">'[8]##'!$O$29</definedName>
    <definedName name="maxAvto" hidden="1">'[8]##'!$O$30</definedName>
    <definedName name="maxd3" hidden="1">'[8]##'!$O$39</definedName>
    <definedName name="maxEcho" hidden="1">'[8]##'!$O$33</definedName>
    <definedName name="maxExpert" hidden="1">'[8]##'!$O$26</definedName>
    <definedName name="maxFt" hidden="1">'[8]##'!$O$40</definedName>
    <definedName name="maxGazeta" hidden="1">'[8]##'!$O$23</definedName>
    <definedName name="maxIno" hidden="1">'[8]##'!$O$31</definedName>
    <definedName name="maxKomm" hidden="1">'[8]##'!$O$27</definedName>
    <definedName name="maxLive" hidden="1">'[8]##'!$O$38</definedName>
    <definedName name="maxMail" hidden="1">'[8]##'!$O$21</definedName>
    <definedName name="maxMtv" hidden="1">'[8]##'!$O$37</definedName>
    <definedName name="maxNewsru" hidden="1">'[8]##'!$O$25</definedName>
    <definedName name="maxo24" hidden="1">'[8]##'!$O$42</definedName>
    <definedName name="MaxRange">'[21]MA-BL'!#REF!</definedName>
    <definedName name="maxRian" hidden="1">'[8]##'!$O$34</definedName>
    <definedName name="maxSp" hidden="1">'[8]##'!$O$41</definedName>
    <definedName name="maxStyle" hidden="1">'[8]##'!$O$32</definedName>
    <definedName name="maxSubscribe" hidden="1">'[8]##'!$O$28</definedName>
    <definedName name="maxVokrug" hidden="1">'[8]##'!$O$36</definedName>
    <definedName name="maxVzglyad" hidden="1">'[8]##'!$O$22</definedName>
    <definedName name="maxYa" hidden="1">'[8]##'!$O$20</definedName>
    <definedName name="MC">[1]Vehicles!$B$91:$O$99</definedName>
    <definedName name="MCV">[1]Vehicles!$B$49:$O$57</definedName>
    <definedName name="Mfc">#REF!</definedName>
    <definedName name="mmmm">#REF!</definedName>
    <definedName name="monthCol" hidden="1">#REF!</definedName>
    <definedName name="monthFinish" hidden="1">#REF!</definedName>
    <definedName name="months" hidden="1">'[8]##'!$B$3:$B$14</definedName>
    <definedName name="monthSel" hidden="1">#REF!</definedName>
    <definedName name="monthStart" hidden="1">#REF!</definedName>
    <definedName name="mrz">#REF!</definedName>
    <definedName name="mtvDisc" hidden="1">[8]MTV.RU!$E$48</definedName>
    <definedName name="mtvDiscTotal" hidden="1">MAX((100%-splitDisc)*(100%-[0]!mtvDisc)*(100%-agencyDisc)*(100%-[0]!discReach),[0]!maxMtv)</definedName>
    <definedName name="nameSites">[6]SitesVermarkter!$C:$C</definedName>
    <definedName name="NETMTV">#REF!</definedName>
    <definedName name="NETPBL">#REF!</definedName>
    <definedName name="NETPER">#REF!</definedName>
    <definedName name="NETQUO">#REF!</definedName>
    <definedName name="NETTOMTV">#REF!</definedName>
    <definedName name="NETTOSIPRA">#REF!</definedName>
    <definedName name="NETWORK">#REF!,#REF!,#REF!,#REF!,#REF!,#REF!,#REF!,#REF!,#REF!,#REF!,#REF!,#REF!,#REF!,#REF!,#REF!</definedName>
    <definedName name="newsruDisc" hidden="1">[8]NEWSRU.COM!$E$49</definedName>
    <definedName name="newsruDiscTotal" hidden="1">MAX((100%-splitDisc)*(100%-[0]!newsruDisc)*(100%-agencyDisc)*(100%-[0]!discReach),[0]!maxNewsru)</definedName>
    <definedName name="normal" localSheetId="0">[9]OT97QUAR!normal</definedName>
    <definedName name="normal" localSheetId="1">[9]OT97QUAR!normal</definedName>
    <definedName name="normal">[9]OT97QUAR!normal</definedName>
    <definedName name="nov">#REF!</definedName>
    <definedName name="NTSSPRS">#REF!</definedName>
    <definedName name="NZ">#REF!</definedName>
    <definedName name="o24Disc" hidden="1">'[8]24OPEN.RU'!$E$52</definedName>
    <definedName name="o24DiscTotal" hidden="1">MAX((100%-splitDisc)*(100%-[0]!o24Disc)*(100%-agencyDisc)*(100%-[0]!discReach),[0]!maxo24)</definedName>
    <definedName name="obla" hidden="1">{"'siets LAT'!$J$95","'siets LAT'!$J$95"}</definedName>
    <definedName name="okt">#REF!</definedName>
    <definedName name="old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nl">#REF!</definedName>
    <definedName name="OOG" localSheetId="0" hidden="1">OFFSET(Anch,MATCH("Amedia.ru",resList,0),3,COUNTIF(resList,"Amedia.ru")-1,1)</definedName>
    <definedName name="OOG" hidden="1">OFFSET(Anch,MATCH("Amedia.ru",resList,0),3,COUNTIF(resList,"Amedia.ru")-1,1)</definedName>
    <definedName name="OOh" localSheetId="0" hidden="1">OFFSET(Anch,MATCH("Expert.ru",resList,0),3,COUNTIF(resList,"Expert.ru")-1,1)</definedName>
    <definedName name="OOh" hidden="1">OFFSET(Anch,MATCH("Expert.ru",resList,0),3,COUNTIF(resList,"Expert.ru")-1,1)</definedName>
    <definedName name="op">#REF!</definedName>
    <definedName name="Opti">'[2]Data CpGRP'!#REF!</definedName>
    <definedName name="Outdoor">#REF!</definedName>
    <definedName name="PA">#REF!</definedName>
    <definedName name="pathfinder" hidden="1">[4]XLR_NoRangeSheet!$A$5</definedName>
    <definedName name="PB">#REF!</definedName>
    <definedName name="PC">#REF!</definedName>
    <definedName name="PD">#REF!</definedName>
    <definedName name="Pemolux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IANO">#REF!</definedName>
    <definedName name="pippo">#REF!</definedName>
    <definedName name="Platform">#REF!</definedName>
    <definedName name="pluto">#REF!</definedName>
    <definedName name="poiugt" hidden="1">[4]XLR_NoRangeSheet!$A$5</definedName>
    <definedName name="Pos1_Clicks">#REF!</definedName>
    <definedName name="Pos1_CostClick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rint_BE">#REF!</definedName>
    <definedName name="Print_DE">#REF!</definedName>
    <definedName name="Print_FR">#REF!</definedName>
    <definedName name="Print_main">#REF!</definedName>
    <definedName name="Print_NL">#REF!</definedName>
    <definedName name="Print_SE">#REF!</definedName>
    <definedName name="Print_UK">#REF!</definedName>
    <definedName name="Prod">'[2]Data CpGRP'!$B$3</definedName>
    <definedName name="Product">#REF!</definedName>
    <definedName name="PVariant">'[2]Data CpGRP'!$B$6</definedName>
    <definedName name="PX">#REF!</definedName>
    <definedName name="qduua" hidden="1">#REF!</definedName>
    <definedName name="qff">#REF!</definedName>
    <definedName name="qq" hidden="1">4</definedName>
    <definedName name="qqqqqqq" hidden="1">4</definedName>
    <definedName name="qqqqqqqq" hidden="1">27</definedName>
    <definedName name="qsdf">#REF!</definedName>
    <definedName name="Radio">#REF!</definedName>
    <definedName name="RAI">#REF!,#REF!,#REF!,#REF!,#REF!,#REF!,#REF!,#REF!,#REF!,#REF!,#REF!,#REF!,#REF!,#REF!,#REF!,#REF!,#REF!,#REF!,#REF!,#REF!,#REF!,#REF!,#REF!</definedName>
    <definedName name="Range_1">#REF!</definedName>
    <definedName name="Range_2">#REF!</definedName>
    <definedName name="Range_3">#REF!</definedName>
    <definedName name="Range_4">#REF!</definedName>
    <definedName name="Range_5">#REF!</definedName>
    <definedName name="Report_1_Range_1">#REF!</definedName>
    <definedName name="Report_1_Range_2">#REF!</definedName>
    <definedName name="Report_1_Range_3">#REF!</definedName>
    <definedName name="Report_1_Range_4">#REF!</definedName>
    <definedName name="Report_1_Range_5">#REF!</definedName>
    <definedName name="Report_2_Range_1">#REF!</definedName>
    <definedName name="rete4">#REF!,#REF!,#REF!,#REF!,#REF!,#REF!,#REF!,#REF!,#REF!,#REF!,#REF!,#REF!</definedName>
    <definedName name="rianDisc" hidden="1">'[8]RIAN.RU'!$E$46</definedName>
    <definedName name="rianDiscTotal" hidden="1">MAX((100%-splitDisc)*(100%-[0]!rianDisc)*(100%-agencyDisc)*(100%-[0]!discReach),[0]!maxRian)</definedName>
    <definedName name="rMain">'[22]Teleport FIX'!#REF!</definedName>
    <definedName name="rngCommentsBlank">#REF!</definedName>
    <definedName name="rngDescription">#REF!</definedName>
    <definedName name="rngIOyourcontact">#REF!</definedName>
    <definedName name="rngTitle">#REF!</definedName>
    <definedName name="Rollton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sadfedfr">#REF!</definedName>
    <definedName name="SAPBEXrevision" hidden="1">6</definedName>
    <definedName name="SAPBEXsysID" hidden="1">"HBP"</definedName>
    <definedName name="SAPBEXwbID" hidden="1">"3ZIPRQHC3J68QW4YD9OZ5AYYW"</definedName>
    <definedName name="sasa" hidden="1">#REF!</definedName>
    <definedName name="SC">[1]Vehicles!$B$77:$O$85</definedName>
    <definedName name="Schaltzeitraum">'[23]12'!$D$13</definedName>
    <definedName name="SCHEDA">[16]LODI!#REF!</definedName>
    <definedName name="SCV">[1]Vehicles!$B$34:$O$42</definedName>
    <definedName name="sd" hidden="1">{#N/A,#N/A,TRUE,"Пресса";#N/A,#N/A,TRUE,"Метро";#N/A,#N/A,TRUE,"Щиты";#N/A,#N/A,TRUE,"График";#N/A,#N/A,TRUE,"График"}</definedName>
    <definedName name="sep">#REF!</definedName>
    <definedName name="solver_rh" hidden="1">4</definedName>
    <definedName name="solver_tmК" hidden="1">0</definedName>
    <definedName name="solver_tmE" hidden="1">0</definedName>
    <definedName name="solver_tmÊ" hidden="1">0</definedName>
    <definedName name="solver_ty?" hidden="1">3</definedName>
    <definedName name="solver_tyр" hidden="1">3</definedName>
    <definedName name="solver_tyð" hidden="1">3</definedName>
    <definedName name="solver_va" hidden="1">27</definedName>
    <definedName name="spDisc" hidden="1">[8]SPORTS.RU!$E$46</definedName>
    <definedName name="spDiscTotal" hidden="1">MAX((100%-splitDisc)*(100%-[0]!spDisc)*(100%-agencyDisc)*(100%-[0]!discReach),[0]!maxSp)</definedName>
    <definedName name="SPESE">#REF!</definedName>
    <definedName name="splitDisc" hidden="1">#REF!</definedName>
    <definedName name="SpotForm">'[2]Data CpGRP'!$B$5</definedName>
    <definedName name="Spotl1">'[2]Data CpGRP'!$B$30</definedName>
    <definedName name="Spotl2">'[2]Data CpGRP'!$B$31</definedName>
    <definedName name="Spotl3">'[2]Data CpGRP'!$B$32</definedName>
    <definedName name="Spotl4">'[2]Data CpGRP'!$B$33</definedName>
    <definedName name="Spotl5">'[2]Data CpGRP'!$B$34</definedName>
    <definedName name="Spotl6">'[2]Data CpGRP'!$B$35</definedName>
    <definedName name="Spotl7">'[2]Data CpGRP'!$B$36</definedName>
    <definedName name="Spotl8">'[2]Data CpGRP'!$B$37</definedName>
    <definedName name="status12_6">#REF!</definedName>
    <definedName name="status12_6_1">#REF!</definedName>
    <definedName name="status12_6_2">#REF!</definedName>
    <definedName name="STIMA">[12]GRP!#REF!</definedName>
    <definedName name="StudiaforTNK" hidden="1">{#N/A,#N/A,TRUE,"Пресса";#N/A,#N/A,TRUE,"Метро";#N/A,#N/A,TRUE,"Щиты";#N/A,#N/A,TRUE,"График";#N/A,#N/A,TRUE,"График"}</definedName>
    <definedName name="styleDisc" hidden="1">[8]SUPERSTYLE.RU!$E$48</definedName>
    <definedName name="styleDiscTotal" hidden="1">MAX((100%-splitDisc)*(100%-[0]!styleDisc)*(100%-agencyDisc)*(100%-[0]!discReach),[0]!maxStyle)</definedName>
    <definedName name="subscribeDisc" hidden="1">[8]SUBSCRIBE.RU!$E$63</definedName>
    <definedName name="subscribeDiscTotal" hidden="1">MAX((100%-splitDisc)*(100%-[0]!subscribeDisc)*(100%-agencyDisc)*(100%-[0]!discReach),[0]!maxSubscribe)</definedName>
    <definedName name="supplier">#REF!</definedName>
    <definedName name="t">#REF!</definedName>
    <definedName name="ta">#REF!</definedName>
    <definedName name="TABELLE">#REF!</definedName>
    <definedName name="TABLE1">#REF!</definedName>
    <definedName name="TABLE1_1">#REF!</definedName>
    <definedName name="taft1" hidden="1">{#N/A,#N/A,TRUE,"Пресса";#N/A,#N/A,TRUE,"Метро";#N/A,#N/A,TRUE,"Щиты";#N/A,#N/A,TRUE,"График";#N/A,#N/A,TRUE,"График"}</definedName>
    <definedName name="tc">#REF!</definedName>
    <definedName name="td">#REF!</definedName>
    <definedName name="tecaj">#REF!</definedName>
    <definedName name="tecaj_1">#REF!</definedName>
    <definedName name="tecaj_frf">#REF!</definedName>
    <definedName name="tecaj_frf_1">#REF!</definedName>
    <definedName name="TelePlan">'[2]Data CpGRP'!$B$11</definedName>
    <definedName name="Telewizja">#REF!</definedName>
    <definedName name="temp.xls">#REF!</definedName>
    <definedName name="term">#REF!</definedName>
    <definedName name="test">#REF!</definedName>
    <definedName name="Titolo">#REF!</definedName>
    <definedName name="titre">"Texte 1"</definedName>
    <definedName name="total">#REF!</definedName>
    <definedName name="TOTCOM">#REF!</definedName>
    <definedName name="totquo">#REF!</definedName>
    <definedName name="tt">#REF!</definedName>
    <definedName name="TV" hidden="1">{#N/A,#N/A,TRUE,"Пресса";#N/A,#N/A,TRUE,"Метро";#N/A,#N/A,TRUE,"Щиты";#N/A,#N/A,TRUE,"График";#N/A,#N/A,TRUE,"График"}</definedName>
    <definedName name="ty" hidden="1">[4]XLR_NoRangeSheet!$A$5</definedName>
    <definedName name="tyui">#REF!</definedName>
    <definedName name="u" hidden="1">{#N/A,#N/A,TRUE,"Пресса";#N/A,#N/A,TRUE,"Метро";#N/A,#N/A,TRUE,"Щиты";#N/A,#N/A,TRUE,"График";#N/A,#N/A,TRUE,"График"}</definedName>
    <definedName name="USIA" hidden="1">{"'siets LAT'!$J$95","'siets LAT'!$J$95"}</definedName>
    <definedName name="uu">#REF!</definedName>
    <definedName name="V_F0" hidden="1">[24]XLR_NoRangeSheet!$B$6</definedName>
    <definedName name="V_F1" hidden="1">[24]XLR_NoRangeSheet!$C$6</definedName>
    <definedName name="V_F10" hidden="1">[24]XLR_NoRangeSheet!$L$6</definedName>
    <definedName name="V_F11" hidden="1">[24]XLR_NoRangeSheet!$M$6</definedName>
    <definedName name="V_F12" hidden="1">[24]XLR_NoRangeSheet!$N$6</definedName>
    <definedName name="V_F13" hidden="1">[24]XLR_NoRangeSheet!$O$6</definedName>
    <definedName name="V_F14" hidden="1">[25]XLR_NoRangeSheet!$P$6</definedName>
    <definedName name="V_F15" hidden="1">[25]XLR_NoRangeSheet!$Q$6</definedName>
    <definedName name="V_F2" hidden="1">[24]XLR_NoRangeSheet!$D$6</definedName>
    <definedName name="V_F3" hidden="1">[24]XLR_NoRangeSheet!$E$6</definedName>
    <definedName name="V_F4" hidden="1">[24]XLR_NoRangeSheet!$F$6</definedName>
    <definedName name="V_F5" hidden="1">[24]XLR_NoRangeSheet!$G$6</definedName>
    <definedName name="V_F6" hidden="1">[24]XLR_NoRangeSheet!$H$6</definedName>
    <definedName name="V_F7" hidden="1">[24]XLR_NoRangeSheet!$I$6</definedName>
    <definedName name="V_F8" hidden="1">[24]XLR_NoRangeSheet!$J$6</definedName>
    <definedName name="V_F9" hidden="1">[24]XLR_NoRangeSheet!$K$6</definedName>
    <definedName name="va" hidden="1">27</definedName>
    <definedName name="vaffanculo">#REF!</definedName>
    <definedName name="vasia" hidden="1">{"'siets LAT'!$J$95","'siets LAT'!$J$95"}</definedName>
    <definedName name="vdsydv" hidden="1">{#N/A,#N/A,FALSE,"Kostenplan"}</definedName>
    <definedName name="ver" hidden="1">{#N/A,#N/A,TRUE,"Пресса";#N/A,#N/A,TRUE,"Метро";#N/A,#N/A,TRUE,"Щиты";#N/A,#N/A,TRUE,"График";#N/A,#N/A,TRUE,"График"}</definedName>
    <definedName name="vg">#REF!</definedName>
    <definedName name="vokrugDisc" hidden="1">[8]VOKRUGSVETA.RU!$E$46</definedName>
    <definedName name="vokrugDiscTotal" hidden="1">MAX((100%-splitDisc)*(100%-[0]!vokrugDisc)*(100%-agencyDisc)*(100%-[0]!discReach),[0]!maxVokrug)</definedName>
    <definedName name="volume">#REF!</definedName>
    <definedName name="Volumen">#REF!</definedName>
    <definedName name="Vorspalte_1">#REF!</definedName>
    <definedName name="Vorspalte_3">#REF!</definedName>
    <definedName name="VP" hidden="1">{"'siets LAT'!$J$95","'siets LAT'!$J$95"}</definedName>
    <definedName name="VW_SKODA">#REF!</definedName>
    <definedName name="vzglyadDisc" hidden="1">[8]VZGLYAD.RU!$E$51</definedName>
    <definedName name="vzglyadDiscTotal" hidden="1">MAX((100%-splitDisc)*(100%-[0]!vzglyadDisc)*(100%-agencyDisc)*(100%-[0]!discReach),[0]!maxVzglyad)</definedName>
    <definedName name="w" hidden="1">{"'siets LAT'!$J$95","'siets LAT'!$J$95"}</definedName>
    <definedName name="wege">#REF!</definedName>
    <definedName name="weger">#REF!</definedName>
    <definedName name="wger">#REF!</definedName>
    <definedName name="wgw">#REF!</definedName>
    <definedName name="wree2" hidden="1">4</definedName>
    <definedName name="wrn.astek.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Kostenplan._.national." hidden="1">{#N/A,#N/A,FALSE,"Kostenplan"}</definedName>
    <definedName name="wrn.test." hidden="1">{"Valuation_Common",#N/A,FALSE,"Valuation"}</definedName>
    <definedName name="wxcv">#REF!</definedName>
    <definedName name="x">#REF!</definedName>
    <definedName name="XLR_ERRNAMESTR" hidden="1">[4]XLR_NoRangeSheet!$B$5</definedName>
    <definedName name="XLR_VERSION" hidden="1">[4]XLR_NoRangeSheet!$A$5</definedName>
    <definedName name="XX">#REF!</definedName>
    <definedName name="XXX">'[26]MP 2008'!#REF!</definedName>
    <definedName name="y" hidden="1">{#N/A,#N/A,TRUE,"Пресса";#N/A,#N/A,TRUE,"Метро";#N/A,#N/A,TRUE,"Щиты";#N/A,#N/A,TRUE,"График";#N/A,#N/A,TRUE,"График"}</definedName>
    <definedName name="yaDisc" hidden="1">[8]YANDEX.RU!$E$58</definedName>
    <definedName name="yaDiscTotal" hidden="1">MAX((100%-splitDisc)*(100%-[0]!yaDisc)*(100%-agencyDisc)*(100%-[0]!discReach),[0]!maxYa)</definedName>
    <definedName name="Z_6C8421F6_CFBF_4FDF_B4DC_68139B9CA901_.wvu.Cols" hidden="1">#REF!,#REF!</definedName>
    <definedName name="Z_EE74EB5D_6A9A_434D_951C_A4EF7F3B129B_.wvu.FilterData" hidden="1">#REF!</definedName>
    <definedName name="zd" hidden="1">#N/A</definedName>
    <definedName name="Zielgruppe">'[2]Data CpGRP'!$B$10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1" l="1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R89" i="8" s="1"/>
  <c r="P90" i="8"/>
  <c r="R90" i="8" s="1"/>
  <c r="P91" i="8"/>
  <c r="R91" i="8" s="1"/>
  <c r="P92" i="8"/>
  <c r="R92" i="8" s="1"/>
  <c r="P93" i="8"/>
  <c r="R93" i="8" s="1"/>
  <c r="P94" i="8"/>
  <c r="P95" i="8"/>
  <c r="P96" i="8"/>
  <c r="P97" i="8"/>
  <c r="R97" i="8" s="1"/>
  <c r="P98" i="8"/>
  <c r="P99" i="8"/>
  <c r="R99" i="8" s="1"/>
  <c r="P100" i="8"/>
  <c r="P101" i="8"/>
  <c r="R101" i="8" s="1"/>
  <c r="P102" i="8"/>
  <c r="R102" i="8" s="1"/>
  <c r="P9" i="8"/>
  <c r="R87" i="8"/>
  <c r="R88" i="8"/>
  <c r="R100" i="8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S86" i="9" s="1"/>
  <c r="P87" i="9"/>
  <c r="P88" i="9"/>
  <c r="P89" i="9"/>
  <c r="P90" i="9"/>
  <c r="P91" i="9"/>
  <c r="S91" i="9" s="1"/>
  <c r="P92" i="9"/>
  <c r="S92" i="9" s="1"/>
  <c r="P93" i="9"/>
  <c r="S93" i="9" s="1"/>
  <c r="P94" i="9"/>
  <c r="P95" i="9"/>
  <c r="P96" i="9"/>
  <c r="P97" i="9"/>
  <c r="P98" i="9"/>
  <c r="P99" i="9"/>
  <c r="P100" i="9"/>
  <c r="S100" i="9" s="1"/>
  <c r="P101" i="9"/>
  <c r="S101" i="9" s="1"/>
  <c r="P102" i="9"/>
  <c r="S102" i="9" s="1"/>
  <c r="P103" i="9"/>
  <c r="S103" i="9" s="1"/>
  <c r="P9" i="9"/>
  <c r="S85" i="9"/>
  <c r="S94" i="9"/>
  <c r="S97" i="9"/>
  <c r="S105" i="9"/>
  <c r="R98" i="8"/>
  <c r="R96" i="8"/>
  <c r="R95" i="8"/>
  <c r="R94" i="8"/>
  <c r="R86" i="8"/>
  <c r="R85" i="8"/>
  <c r="R84" i="8"/>
  <c r="S99" i="9"/>
  <c r="S98" i="9"/>
  <c r="S96" i="9"/>
  <c r="S95" i="9"/>
  <c r="S90" i="9"/>
  <c r="S89" i="9"/>
  <c r="S88" i="9"/>
  <c r="S87" i="9"/>
  <c r="N15" i="11" l="1"/>
  <c r="O119" i="8"/>
  <c r="O121" i="9"/>
  <c r="S54" i="9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S106" i="9"/>
  <c r="P119" i="8" l="1"/>
  <c r="S49" i="9"/>
  <c r="S50" i="9"/>
  <c r="S51" i="9"/>
  <c r="S52" i="9"/>
  <c r="S53" i="9"/>
  <c r="R118" i="8"/>
  <c r="R117" i="8"/>
  <c r="R116" i="8"/>
  <c r="P121" i="9"/>
  <c r="S117" i="9"/>
  <c r="S118" i="9"/>
  <c r="S119" i="9"/>
  <c r="S120" i="9"/>
  <c r="S43" i="9"/>
  <c r="S44" i="9"/>
  <c r="S45" i="9"/>
  <c r="S46" i="9"/>
  <c r="S47" i="9"/>
  <c r="S48" i="9"/>
  <c r="S55" i="9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62" i="9"/>
  <c r="S63" i="9"/>
  <c r="S64" i="9"/>
  <c r="S65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R115" i="8"/>
  <c r="R114" i="8"/>
  <c r="R113" i="8"/>
  <c r="R112" i="8"/>
  <c r="R111" i="8"/>
  <c r="R110" i="8"/>
  <c r="R109" i="8"/>
  <c r="R108" i="8"/>
  <c r="R107" i="8"/>
  <c r="R106" i="8"/>
  <c r="R105" i="8"/>
  <c r="R104" i="8"/>
  <c r="S107" i="9"/>
  <c r="S108" i="9"/>
  <c r="S109" i="9"/>
  <c r="S110" i="9"/>
  <c r="S111" i="9"/>
  <c r="S112" i="9"/>
  <c r="S113" i="9"/>
  <c r="S114" i="9"/>
  <c r="S115" i="9"/>
  <c r="S116" i="9"/>
  <c r="S56" i="9"/>
  <c r="S57" i="9"/>
  <c r="S58" i="9"/>
  <c r="S59" i="9"/>
  <c r="S60" i="9"/>
  <c r="S61" i="9"/>
  <c r="S66" i="9"/>
  <c r="S67" i="9"/>
  <c r="S68" i="9"/>
  <c r="S69" i="9"/>
  <c r="S70" i="9"/>
  <c r="S71" i="9"/>
  <c r="S121" i="9" l="1"/>
  <c r="S124" i="9" s="1"/>
  <c r="S125" i="9" s="1"/>
  <c r="R119" i="8"/>
  <c r="R122" i="8" s="1"/>
  <c r="R123" i="8" s="1"/>
  <c r="N16" i="11" l="1"/>
  <c r="R124" i="8"/>
  <c r="S126" i="9"/>
</calcChain>
</file>

<file path=xl/sharedStrings.xml><?xml version="1.0" encoding="utf-8"?>
<sst xmlns="http://schemas.openxmlformats.org/spreadsheetml/2006/main" count="2887" uniqueCount="374">
  <si>
    <t>Город присутствия Ленты</t>
  </si>
  <si>
    <t>ГМ</t>
  </si>
  <si>
    <t>СМ</t>
  </si>
  <si>
    <t>статика</t>
  </si>
  <si>
    <t>динамика</t>
  </si>
  <si>
    <t>да</t>
  </si>
  <si>
    <t>нет</t>
  </si>
  <si>
    <t>тендер</t>
  </si>
  <si>
    <t>добор</t>
  </si>
  <si>
    <t>Волга</t>
  </si>
  <si>
    <t>Самара</t>
  </si>
  <si>
    <t>ГМ/СМ</t>
  </si>
  <si>
    <t>Дивизион</t>
  </si>
  <si>
    <t>Тольятти</t>
  </si>
  <si>
    <t>Димитровград</t>
  </si>
  <si>
    <t>Ульяновск</t>
  </si>
  <si>
    <t>Нижний Новгород</t>
  </si>
  <si>
    <t>Саранск</t>
  </si>
  <si>
    <t>Чебоксары</t>
  </si>
  <si>
    <t>Йошкар-Ола</t>
  </si>
  <si>
    <t>Казань</t>
  </si>
  <si>
    <t>Альметьевск</t>
  </si>
  <si>
    <t>Набережные Челны</t>
  </si>
  <si>
    <t>Нижнекамск</t>
  </si>
  <si>
    <t>Оренбург</t>
  </si>
  <si>
    <t>Орск</t>
  </si>
  <si>
    <t>Саратов</t>
  </si>
  <si>
    <t>Энгельс</t>
  </si>
  <si>
    <t>Пенза</t>
  </si>
  <si>
    <t>Балаково</t>
  </si>
  <si>
    <t>Уфа</t>
  </si>
  <si>
    <t>Стерлитамак</t>
  </si>
  <si>
    <t>Ижевск</t>
  </si>
  <si>
    <t>Юг</t>
  </si>
  <si>
    <t>Ростов-на-Дону</t>
  </si>
  <si>
    <t>Таганрог</t>
  </si>
  <si>
    <t>Новочеркасск</t>
  </si>
  <si>
    <t>Новошахтинск</t>
  </si>
  <si>
    <t>Шахты</t>
  </si>
  <si>
    <t>Краснодар</t>
  </si>
  <si>
    <t>Новороссийск</t>
  </si>
  <si>
    <t>Майкоп</t>
  </si>
  <si>
    <t>Грозный</t>
  </si>
  <si>
    <t>Волгоград</t>
  </si>
  <si>
    <t>Волжский</t>
  </si>
  <si>
    <t>Астрахань</t>
  </si>
  <si>
    <t>Старополь</t>
  </si>
  <si>
    <t>Железноволдск</t>
  </si>
  <si>
    <t>Армавир</t>
  </si>
  <si>
    <t>Черкесск</t>
  </si>
  <si>
    <t>Воронеж</t>
  </si>
  <si>
    <t>Белгород</t>
  </si>
  <si>
    <t>Липецк</t>
  </si>
  <si>
    <t>Орел</t>
  </si>
  <si>
    <t>Курск</t>
  </si>
  <si>
    <t>Москва</t>
  </si>
  <si>
    <t>Реутов</t>
  </si>
  <si>
    <t>Елино</t>
  </si>
  <si>
    <t>Балашиха</t>
  </si>
  <si>
    <t>Серигиев-Посад</t>
  </si>
  <si>
    <t>Троицк</t>
  </si>
  <si>
    <t>Тарасовка</t>
  </si>
  <si>
    <t>Истра</t>
  </si>
  <si>
    <t>Серпухов</t>
  </si>
  <si>
    <t>Домодедово</t>
  </si>
  <si>
    <t>Видное</t>
  </si>
  <si>
    <t>Наро-Фоминск</t>
  </si>
  <si>
    <t>Луховицы</t>
  </si>
  <si>
    <t>Коломна</t>
  </si>
  <si>
    <t>Череповец</t>
  </si>
  <si>
    <t>Вологда</t>
  </si>
  <si>
    <t>Рязань</t>
  </si>
  <si>
    <t>Иваново</t>
  </si>
  <si>
    <t>Тверь</t>
  </si>
  <si>
    <t>Брянск</t>
  </si>
  <si>
    <t>Ярославль</t>
  </si>
  <si>
    <t>Смоленск</t>
  </si>
  <si>
    <t>Владимир</t>
  </si>
  <si>
    <t>Тула</t>
  </si>
  <si>
    <t>Калуга</t>
  </si>
  <si>
    <t>Обнинск</t>
  </si>
  <si>
    <t>Кострома</t>
  </si>
  <si>
    <t>Сибирь</t>
  </si>
  <si>
    <t>Братск</t>
  </si>
  <si>
    <t>Новосибирск</t>
  </si>
  <si>
    <t>Красноярск</t>
  </si>
  <si>
    <t>Иркутск</t>
  </si>
  <si>
    <t>Ачинск</t>
  </si>
  <si>
    <t>Кемерово</t>
  </si>
  <si>
    <t>Прокопьевск</t>
  </si>
  <si>
    <t>Томск</t>
  </si>
  <si>
    <t>Юрга</t>
  </si>
  <si>
    <t>Омск</t>
  </si>
  <si>
    <t>Барнаул</t>
  </si>
  <si>
    <t>Северо-Запад</t>
  </si>
  <si>
    <t>Санкт-Петербург</t>
  </si>
  <si>
    <t>Волхов</t>
  </si>
  <si>
    <t>Сыктывкар</t>
  </si>
  <si>
    <t>Великий Новгород</t>
  </si>
  <si>
    <t>Петергоф</t>
  </si>
  <si>
    <t>Красное Село</t>
  </si>
  <si>
    <t>Псков</t>
  </si>
  <si>
    <t>Кингисепп</t>
  </si>
  <si>
    <t>Сосновый Бор</t>
  </si>
  <si>
    <t>Петрозаводск</t>
  </si>
  <si>
    <t>Всеволожск</t>
  </si>
  <si>
    <t>Колпино</t>
  </si>
  <si>
    <t>Архангельск</t>
  </si>
  <si>
    <t>Выборг</t>
  </si>
  <si>
    <t>Мурманск</t>
  </si>
  <si>
    <t>Урал</t>
  </si>
  <si>
    <t>Екатеринбург</t>
  </si>
  <si>
    <t>Нижний Тагил</t>
  </si>
  <si>
    <t>Каменск-Уральский</t>
  </si>
  <si>
    <t>Челябинск</t>
  </si>
  <si>
    <t>Магнитогорск</t>
  </si>
  <si>
    <t>Тюмень</t>
  </si>
  <si>
    <t>Тобольск</t>
  </si>
  <si>
    <t>Курган</t>
  </si>
  <si>
    <t>Пермь</t>
  </si>
  <si>
    <t>Сургут</t>
  </si>
  <si>
    <t>Ноябрьск</t>
  </si>
  <si>
    <t>Ханты-Манскийск</t>
  </si>
  <si>
    <t>Апрелевка</t>
  </si>
  <si>
    <t xml:space="preserve">Балашиха </t>
  </si>
  <si>
    <t>Долгопрудный</t>
  </si>
  <si>
    <t>Егорьевск</t>
  </si>
  <si>
    <t>Зеленоград</t>
  </si>
  <si>
    <t>Королев</t>
  </si>
  <si>
    <t>Красногорск</t>
  </si>
  <si>
    <t>Люберцы</t>
  </si>
  <si>
    <t>Малоярославец</t>
  </si>
  <si>
    <t>Мытищи</t>
  </si>
  <si>
    <t>Ногинск</t>
  </si>
  <si>
    <t>Одинцово</t>
  </si>
  <si>
    <t>Орехово-Зуево</t>
  </si>
  <si>
    <t>Селятино</t>
  </si>
  <si>
    <t>Тучково</t>
  </si>
  <si>
    <t>Фрязино</t>
  </si>
  <si>
    <t>Химки (Сходня)</t>
  </si>
  <si>
    <t>Кириши</t>
  </si>
  <si>
    <t>Ломоносов</t>
  </si>
  <si>
    <t>Луга</t>
  </si>
  <si>
    <t>Шлиссельбург</t>
  </si>
  <si>
    <t>Шушары</t>
  </si>
  <si>
    <t>Бердск</t>
  </si>
  <si>
    <t>Искитим</t>
  </si>
  <si>
    <t>Новокузнецк</t>
  </si>
  <si>
    <t>Первоуральск</t>
  </si>
  <si>
    <t>Парголово</t>
  </si>
  <si>
    <t>Кудрово</t>
  </si>
  <si>
    <t>Бугры</t>
  </si>
  <si>
    <t>indoor</t>
  </si>
  <si>
    <t>Центр</t>
  </si>
  <si>
    <t>Центр_ДМФ</t>
  </si>
  <si>
    <t>Мини</t>
  </si>
  <si>
    <t>охват</t>
  </si>
  <si>
    <t>навигация</t>
  </si>
  <si>
    <t>транспорт</t>
  </si>
  <si>
    <t>навигационные знаки</t>
  </si>
  <si>
    <t>Город</t>
  </si>
  <si>
    <t>Кол-во носителей</t>
  </si>
  <si>
    <t>Разрешение</t>
  </si>
  <si>
    <t>Кол-во выходов в блоке</t>
  </si>
  <si>
    <t>Кол-во выходов в сутки</t>
  </si>
  <si>
    <t>Ташкент</t>
  </si>
  <si>
    <t xml:space="preserve">Время работы </t>
  </si>
  <si>
    <t>Стоимость за 1 единицу ( без НДС)</t>
  </si>
  <si>
    <t xml:space="preserve">Период размещения </t>
  </si>
  <si>
    <t>Общая сумма (без  АК и НДС)</t>
  </si>
  <si>
    <t>Total без  АК и НДС</t>
  </si>
  <si>
    <t xml:space="preserve">Итоговая сумма </t>
  </si>
  <si>
    <t>Фото конструкции</t>
  </si>
  <si>
    <t xml:space="preserve">Адрес расположения </t>
  </si>
  <si>
    <t>Тип конструкции</t>
  </si>
  <si>
    <t>Размер конструкции</t>
  </si>
  <si>
    <t>Длительность ролика</t>
  </si>
  <si>
    <t>Клиент</t>
  </si>
  <si>
    <t>Проект</t>
  </si>
  <si>
    <t>Контактное лицо</t>
  </si>
  <si>
    <t>Дата</t>
  </si>
  <si>
    <t>Тип Внешней Рекламы</t>
  </si>
  <si>
    <t>Экраны</t>
  </si>
  <si>
    <t xml:space="preserve">Размещение наружной рекламы в Узбекистане </t>
  </si>
  <si>
    <t>экран</t>
  </si>
  <si>
    <t>07.00-23.00</t>
  </si>
  <si>
    <t>250-300</t>
  </si>
  <si>
    <t>Фото</t>
  </si>
  <si>
    <t>8х4</t>
  </si>
  <si>
    <t>6x3</t>
  </si>
  <si>
    <t>6х3</t>
  </si>
  <si>
    <t>х</t>
  </si>
  <si>
    <t xml:space="preserve">Стоимость за 1 единицу ( без НДС) со скидкой </t>
  </si>
  <si>
    <t>Метро</t>
  </si>
  <si>
    <t>Flint</t>
  </si>
  <si>
    <t xml:space="preserve">Ташкент </t>
  </si>
  <si>
    <t>Лакокраска (Кази Махалла) ул. Малая Кольцевая и Аккурганская</t>
  </si>
  <si>
    <t>(Алгоритм) ул. Заргарлик и Согалли Ота</t>
  </si>
  <si>
    <t>М.Улугбека" и "Паркентский" Шастри 2</t>
  </si>
  <si>
    <t>1920х1080</t>
  </si>
  <si>
    <t>ул. Сагбан, перекресток Чорсу, в сторону базара( Зайкарнар )</t>
  </si>
  <si>
    <t>7х4</t>
  </si>
  <si>
    <t>Ул. Янги Сергели и ул.Мехригие</t>
  </si>
  <si>
    <t>7х3</t>
  </si>
  <si>
    <t>(ГУМ) район пресечение улиц Самарканд Дарвоза и Беруний</t>
  </si>
  <si>
    <t>Андижан</t>
  </si>
  <si>
    <t>Фергана</t>
  </si>
  <si>
    <t>ул. Лермонтова и Машраб Ориентир Поликлиника N5</t>
  </si>
  <si>
    <t>Проспект Бобура и ул.Машраб Ориентир СЭС, Макро</t>
  </si>
  <si>
    <t>проспект Амир Темура и ул.Турон Ориентир Корзинка</t>
  </si>
  <si>
    <t>ул. Узбекистанская и Бобуршох Ориентир Центр Диагностики</t>
  </si>
  <si>
    <t>проспект Бабура и ул.Олтинкул Ориентир Кафе Владивасток</t>
  </si>
  <si>
    <t>ул. Машраб Ориентир ТЦ Навруз Малл</t>
  </si>
  <si>
    <t>5х5</t>
  </si>
  <si>
    <t>ул. Бухарская и Анниси Ориентир УЗТЕЛЕКОМ</t>
  </si>
  <si>
    <t>ул. Мустакиллик и Малая кольцевая дорога Ориентир ТАТУ</t>
  </si>
  <si>
    <t>ул. Ахмада Яссавий и Узбекистон овози Ориентир Давр Банк</t>
  </si>
  <si>
    <t>ул. Сайлох и Аль Фергани Ориентир Mobiuz</t>
  </si>
  <si>
    <t>ул. Мураббийлар и Ватан Равнаки Ориентир рынок Алишерка</t>
  </si>
  <si>
    <t>ул. А. Навои и Сохибкирон Тимура Ориентир Кинотеатр Нурхан</t>
  </si>
  <si>
    <t>ул. Ватан Равнаки и У.Юсупова Ориентир Центральный Рынок</t>
  </si>
  <si>
    <t>ул. А. Навои и Юксалиш Ориентир Асака Банк</t>
  </si>
  <si>
    <t>Малая кольцева дорога Ориентир Полвон шашлык</t>
  </si>
  <si>
    <t>Самарканд Дарвоза</t>
  </si>
  <si>
    <t>6х4</t>
  </si>
  <si>
    <t>(РЕСТОРАН PAUL) Юнусабадский район проспект Амира Темура</t>
  </si>
  <si>
    <t>(Метро Чиланзар) МКАД</t>
  </si>
  <si>
    <t>ул. Нукусская и Авлиё Ота (Госпитальный рынок)</t>
  </si>
  <si>
    <t>ул. Фурката, площадь Бешагач, Magic City</t>
  </si>
  <si>
    <t>16х6</t>
  </si>
  <si>
    <t>пр. А. Тимура, рядом с офисом Ucell и MobiUz</t>
  </si>
  <si>
    <t>ул. А. Тимура, ор. ТУИТ, напротив «Ташкентлэнд»</t>
  </si>
  <si>
    <t>960х480</t>
  </si>
  <si>
    <t>Остановки</t>
  </si>
  <si>
    <t xml:space="preserve">ул. Бешарыкская, Кадышева </t>
  </si>
  <si>
    <t>Ул. С. Азимова и Махтумкули ор. Divan by Demir</t>
  </si>
  <si>
    <t>720х360</t>
  </si>
  <si>
    <t xml:space="preserve">Мкад и ул Ш. Рашидова  , Мечеть Минор </t>
  </si>
  <si>
    <t>Перекресток Чимган, ор. ЭкоБазар</t>
  </si>
  <si>
    <t>ул. Паркентская и ул. Олтин тепа, возле новостройки</t>
  </si>
  <si>
    <t xml:space="preserve"> ул. ТКАД и ул. Хамрокула Турсункулова . Рынок Урикзор</t>
  </si>
  <si>
    <t xml:space="preserve"> ул. Буюк ипак йули и ул. Хирмонтепа Ор-р: станция метро "Буюк Ипак Йули"</t>
  </si>
  <si>
    <t xml:space="preserve">Наманган </t>
  </si>
  <si>
    <t>ул.имени Каримова, ориентир: Микрорайон</t>
  </si>
  <si>
    <t>ул. И. Каримова и Хотира Ориентир Траст банк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</si>
  <si>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</si>
  <si>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</si>
  <si>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</si>
  <si>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ул.А.Навои и Маргиланская Ориентир Асака Банк</t>
  </si>
  <si>
    <t>ул. А.Навои и проспект Бабура Ориентир Молодежный центр</t>
  </si>
  <si>
    <t xml:space="preserve">Чиланзарская, Юнусабадская, Узбекистанская линии </t>
  </si>
  <si>
    <t>ул. Айбека и Шахрисабз, на стороне Angels food</t>
  </si>
  <si>
    <t>ул. Тараккиет, ор. старый ТАШМИ</t>
  </si>
  <si>
    <t>ул. Нукусская и Т. Шевченко, рядом с 94-школой</t>
  </si>
  <si>
    <t>ул. А. Навои, напротив БЦ Poytaxt ц4</t>
  </si>
  <si>
    <t>4х7</t>
  </si>
  <si>
    <t>НБУ Старт ул. ул Аккурган</t>
  </si>
  <si>
    <t>512х896</t>
  </si>
  <si>
    <t>1920х720</t>
  </si>
  <si>
    <t>Формат размещения</t>
  </si>
  <si>
    <t>Наманган</t>
  </si>
  <si>
    <t>ЦА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</si>
  <si>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</si>
  <si>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</si>
  <si>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</si>
  <si>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</si>
  <si>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</si>
  <si>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</si>
  <si>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</si>
  <si>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</si>
  <si>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Сентрябь</t>
  </si>
  <si>
    <t>Октябрь</t>
  </si>
  <si>
    <t>Ноябрь</t>
  </si>
  <si>
    <t>Декабрь</t>
  </si>
  <si>
    <t>Flint 2026</t>
  </si>
  <si>
    <t>10-40 / 8-25 all</t>
  </si>
  <si>
    <t>LED экраны Ташкент</t>
  </si>
  <si>
    <t>LED экраны Регионы</t>
  </si>
  <si>
    <t>Led остановки</t>
  </si>
  <si>
    <t>ул. Янгишахар: Ориентир: Mega Planet</t>
  </si>
  <si>
    <t>ул. Зиелилар: Ориентир: Crafers</t>
  </si>
  <si>
    <t>проспект Амира Темура: Ориентир: офис Beeline</t>
  </si>
  <si>
    <t>ул. Истикбол: Ориентир: ЖК Infinity</t>
  </si>
  <si>
    <t>ул. Фидокор: Ориентир: Санаторий им. Федоровича</t>
  </si>
  <si>
    <t>ул. Мукими: Ориентир: Аксу</t>
  </si>
  <si>
    <t>Малая кольцевая дорога, Квартал-Ц: ор-р: KFC Чиланзар</t>
  </si>
  <si>
    <t>ул. Гулистон: Ориентир: Axmad Oltin Jo‘ja</t>
  </si>
  <si>
    <t>проспект Бунёдкор: Ориентир: Ипподром</t>
  </si>
  <si>
    <t>ул. Мирзо Улугбека, ор-р Шастри (в сторону М. Горький)</t>
  </si>
  <si>
    <t>ул. Коратош: Ориентир: Медиапарк</t>
  </si>
  <si>
    <t>ул. Мирзо Улугбека: Ориентир: Экобазар Чимган</t>
  </si>
  <si>
    <t xml:space="preserve">остановки </t>
  </si>
  <si>
    <t>ул. Бобура , 1-нотариальная</t>
  </si>
  <si>
    <t>41х10</t>
  </si>
  <si>
    <t>4920х1200</t>
  </si>
  <si>
    <t>ул. Мустакиллик, возле площади Х. Алимджана</t>
  </si>
  <si>
    <t>12х6x2</t>
  </si>
  <si>
    <t>1440х720</t>
  </si>
  <si>
    <t>ул. А. Дониша, фасад ТРЦ Mega Planet</t>
  </si>
  <si>
    <t>43х12</t>
  </si>
  <si>
    <t>2064х768</t>
  </si>
  <si>
    <t>ул. Нукусская и ул. Эльбек, перекресток Винзавода</t>
  </si>
  <si>
    <t>15х5</t>
  </si>
  <si>
    <t>1900х600</t>
  </si>
  <si>
    <t>Новза , ор- р Мечеть</t>
  </si>
  <si>
    <t>12х5х2</t>
  </si>
  <si>
    <t>14400х600</t>
  </si>
  <si>
    <t>ул. А. Даниш и Юнусабад , Петушок</t>
  </si>
  <si>
    <t>(БЕРУНИЙ) пересечение проспекта Беруний и ул. Фараб</t>
  </si>
  <si>
    <t>13х5</t>
  </si>
  <si>
    <t>1800х700</t>
  </si>
  <si>
    <t>ул. Айбека и Шахрисабз, напротив Angels food на стороне Восточки</t>
  </si>
  <si>
    <t>ул. С. Азимова, рядом 145 школа, Efendi ресторан</t>
  </si>
  <si>
    <t>ул.Шабнам Ориентир: Сакура</t>
  </si>
  <si>
    <t>ул.Миллий Тикланиш Ориентир: Гостиница Богишамол</t>
  </si>
  <si>
    <t>Проспект Бабура Ориентир: янги базар (3х сторонка )</t>
  </si>
  <si>
    <t>ул. А.Навои и Узбекистанская Ориентир Областной Хакимият</t>
  </si>
  <si>
    <t>28х4</t>
  </si>
  <si>
    <t>перекрёсток ул.Галаба и Хотира, ориентир Макро</t>
  </si>
  <si>
    <t>ул. И.Каримова и Оромгох Ориентир Рынок Дустлик</t>
  </si>
  <si>
    <t>перекрёсток ул.Дж.Мангуберди и имени Каримова, ориентир Автовокзал</t>
  </si>
  <si>
    <t>ул. Сайлох Ориентир Ресторан Трактир (Taj Mahal)</t>
  </si>
  <si>
    <t>ул. Хуршида, перекресток Ц5, рядом с Gentlemen pub</t>
  </si>
  <si>
    <t>ул. Мукими , Спорт товары</t>
  </si>
  <si>
    <t>Шахристанская, Корзинка</t>
  </si>
  <si>
    <t>МКАД, ориентир Малика</t>
  </si>
  <si>
    <t>ул Нурафшан и Беркни , метро Тинчлик</t>
  </si>
  <si>
    <t>(ОРЗУ) пересечение проспекта Фараби и ул Малая Кольцевая</t>
  </si>
  <si>
    <t>ор-р Рынок Чорсу</t>
  </si>
  <si>
    <t>Чиланзар, площадь Гагарина</t>
  </si>
  <si>
    <t>ор-р Фархадский рынок</t>
  </si>
  <si>
    <t>ул. Шахризабз и ул. Мирабад, ор. Mirabad Plaza</t>
  </si>
  <si>
    <t>21x8</t>
  </si>
  <si>
    <t>ул. Ахангаранское шоссе и ТКАД, ор. Круг Рохат</t>
  </si>
  <si>
    <t>6х40</t>
  </si>
  <si>
    <t>1680х720</t>
  </si>
  <si>
    <t>2520х960</t>
  </si>
  <si>
    <t>пр. Буньедкор, ор. Дворец дружбы народов</t>
  </si>
  <si>
    <t>18х7</t>
  </si>
  <si>
    <t>пр. Амира Тимура, главный вход на Алайский рынок</t>
  </si>
  <si>
    <t>12х5</t>
  </si>
  <si>
    <t>ул. Себзар, перекресток рядом с ТРЦ Riviera</t>
  </si>
  <si>
    <t>10х4</t>
  </si>
  <si>
    <t>ул. Буюк Ипак Йули, перекресток возле метро</t>
  </si>
  <si>
    <t>19х8</t>
  </si>
  <si>
    <t>2432х1024</t>
  </si>
  <si>
    <t>LED остановка</t>
  </si>
  <si>
    <t>LED экран</t>
  </si>
  <si>
    <t>путевые стены</t>
  </si>
  <si>
    <t>Стоимость производства ( без НДС)</t>
  </si>
  <si>
    <t>2,4х1,2</t>
  </si>
  <si>
    <t>АК 2%</t>
  </si>
  <si>
    <t>Самарканд</t>
  </si>
  <si>
    <t>ул. Дагбитская и Ибн Сино Ориентир Быв Завод ГЕЛИОН</t>
  </si>
  <si>
    <t>ул. Буюк ипак юли Ориентир №1 Остановка Микрорайон</t>
  </si>
  <si>
    <t>ул.Регистанская и ул.Дагбитская, ориентир: бывший ликёро-водочный завод</t>
  </si>
  <si>
    <t>ул. Туркестанская Ориентир Эркин Базар</t>
  </si>
  <si>
    <t>ул. Беруний и ул. Рудакий Ориентир ТЦ Железнодорожный вокзал</t>
  </si>
  <si>
    <t>ул. Туркестанская Ориентир Колледж Туризма</t>
  </si>
  <si>
    <t>ул.Катта Узбек тракт Ориентир: Ресторан Diyora</t>
  </si>
  <si>
    <t>ул. Гагарина и М. Улугбека Ориентир УЗИ №1</t>
  </si>
  <si>
    <t>8х5</t>
  </si>
  <si>
    <t>ул.Рудаки и ул.Бустонсарой Ориентир: Рес.Больница</t>
  </si>
  <si>
    <t>Ул. Мирзо Улугбека Ор Well Supermarket </t>
  </si>
  <si>
    <t>Бухара</t>
  </si>
  <si>
    <t>Проспект Навои и ул. Пиридастгир Ориентир МЕГА МАРКЕТ</t>
  </si>
  <si>
    <t>ул Б. Накшбанд и Файзобод, ориентир: Моника</t>
  </si>
  <si>
    <t>ул Ибн Сино, ориентир: парк СИТОРА</t>
  </si>
  <si>
    <t>ул.Сулеймана Мурадова, ориентир: кафе Borжуй</t>
  </si>
  <si>
    <t>ул.Академика Ибрагима Муминова, ориентир: Elite Посуда</t>
  </si>
  <si>
    <t>ул .А.Наваи, ориентир: Мегамаркет, ресторан Сардоба</t>
  </si>
  <si>
    <t>ул. А. Наваи и К. Муртазаева, ориентир: Технологический институт</t>
  </si>
  <si>
    <t>ул.Гиждуван, ориентир: Карван Базар</t>
  </si>
  <si>
    <t>Мухаммада Икбола и А.Навои, ориентир- быв. гостиница Варахша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</si>
</sst>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-* #,##0\ [$UZS]_-;\-* #,##0\ [$UZS]_-;_-* &quot;-&quot;??\ [$UZS]_-;_-@_-"/>
    <numFmt numFmtId="165" formatCode="#,##0\ [$UZS]"/>
    <numFmt numFmtId="166" formatCode="_-* #,##0\ _U_Z_S_-;\-* #,##0\ _U_Z_S_-;_-* &quot;-&quot;\ _U_Z_S_-;_-@_-"/>
    <numFmt numFmtId="167" formatCode="#,##0\ [$UZS];[Red]#,##0\ [$UZS]"/>
    <numFmt numFmtId="168" formatCode="#,##0\ &quot;UZS&quot;"/>
    <numFmt numFmtId="169" formatCode="#,##0.00\ [$UZS];[Red]#,##0.00\ [$UZS]"/>
    <numFmt numFmtId="170" formatCode="_-* #,##0.00\ _U_Z_S_-;\-* #,##0.00\ _U_Z_S_-;_-* &quot;-&quot;??\ _U_Z_S_-;_-@_-"/>
    <numFmt numFmtId="171" formatCode="#,##0.00\ &quot;UZS&quot;"/>
    <numFmt numFmtId="172" formatCode="#,##0\ [$USD]"/>
  </numFmts>
  <fonts count="30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8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(Основной текст)"/>
      <charset val="204"/>
    </font>
    <font>
      <u/>
      <sz val="11"/>
      <color theme="4" tint="-0.249977111117893"/>
      <name val="Calibri"/>
      <family val="2"/>
      <charset val="204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1" fontId="9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1" fontId="9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</cellStyleXfs>
  <cellXfs count="166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/>
    <xf numFmtId="0" fontId="11" fillId="5" borderId="0" xfId="0" applyFont="1" applyFill="1"/>
    <xf numFmtId="0" fontId="1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0" xfId="7" applyFill="1" applyAlignment="1">
      <alignment horizontal="center" vertical="center"/>
    </xf>
    <xf numFmtId="14" fontId="3" fillId="5" borderId="0" xfId="7" applyNumberForma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4" fillId="5" borderId="8" xfId="7" applyFont="1" applyFill="1" applyBorder="1" applyAlignment="1">
      <alignment horizontal="left" vertical="center"/>
    </xf>
    <xf numFmtId="14" fontId="14" fillId="5" borderId="8" xfId="7" applyNumberFormat="1" applyFont="1" applyFill="1" applyBorder="1" applyAlignment="1">
      <alignment horizontal="left" vertical="center"/>
    </xf>
    <xf numFmtId="0" fontId="13" fillId="4" borderId="8" xfId="7" applyFont="1" applyFill="1" applyBorder="1" applyAlignment="1">
      <alignment horizontal="left" vertical="center"/>
    </xf>
    <xf numFmtId="3" fontId="3" fillId="5" borderId="0" xfId="0" applyNumberFormat="1" applyFont="1" applyFill="1" applyAlignment="1">
      <alignment horizontal="center" vertical="center"/>
    </xf>
    <xf numFmtId="0" fontId="16" fillId="4" borderId="2" xfId="0" applyFont="1" applyFill="1" applyBorder="1" applyAlignment="1" applyProtection="1">
      <alignment horizontal="left" vertical="center" wrapText="1"/>
      <protection locked="0"/>
    </xf>
    <xf numFmtId="165" fontId="0" fillId="5" borderId="3" xfId="0" applyNumberFormat="1" applyFill="1" applyBorder="1" applyAlignment="1" applyProtection="1">
      <alignment horizontal="left" vertical="center"/>
      <protection locked="0"/>
    </xf>
    <xf numFmtId="0" fontId="16" fillId="4" borderId="4" xfId="0" applyFont="1" applyFill="1" applyBorder="1" applyAlignment="1" applyProtection="1">
      <alignment horizontal="left" vertical="center"/>
      <protection locked="0"/>
    </xf>
    <xf numFmtId="165" fontId="0" fillId="5" borderId="5" xfId="4" applyNumberFormat="1" applyFont="1" applyFill="1" applyBorder="1" applyAlignment="1" applyProtection="1">
      <alignment horizontal="left" vertical="center"/>
    </xf>
    <xf numFmtId="0" fontId="16" fillId="4" borderId="6" xfId="0" applyFont="1" applyFill="1" applyBorder="1" applyAlignment="1">
      <alignment horizontal="left" vertical="center" wrapText="1"/>
    </xf>
    <xf numFmtId="165" fontId="0" fillId="5" borderId="7" xfId="0" applyNumberFormat="1" applyFill="1" applyBorder="1" applyAlignment="1">
      <alignment horizontal="left" vertical="center"/>
    </xf>
    <xf numFmtId="0" fontId="17" fillId="5" borderId="8" xfId="5" applyFont="1" applyFill="1" applyBorder="1" applyAlignment="1">
      <alignment horizontal="left" vertical="center" wrapText="1"/>
    </xf>
    <xf numFmtId="0" fontId="19" fillId="5" borderId="0" xfId="0" applyFont="1" applyFill="1" applyAlignment="1">
      <alignment horizontal="left"/>
    </xf>
    <xf numFmtId="0" fontId="15" fillId="4" borderId="8" xfId="0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Alignment="1" applyProtection="1">
      <alignment horizontal="left" vertical="center"/>
      <protection locked="0"/>
    </xf>
    <xf numFmtId="0" fontId="16" fillId="4" borderId="8" xfId="1" applyFont="1" applyFill="1" applyBorder="1" applyAlignment="1" applyProtection="1">
      <alignment horizontal="center" vertical="center" wrapText="1"/>
      <protection locked="0"/>
    </xf>
    <xf numFmtId="17" fontId="16" fillId="4" borderId="8" xfId="0" applyNumberFormat="1" applyFont="1" applyFill="1" applyBorder="1" applyAlignment="1" applyProtection="1">
      <alignment horizontal="center" vertical="center" wrapText="1"/>
      <protection locked="0"/>
    </xf>
    <xf numFmtId="17" fontId="16" fillId="4" borderId="8" xfId="0" applyNumberFormat="1" applyFont="1" applyFill="1" applyBorder="1" applyAlignment="1">
      <alignment horizontal="center" vertical="center" wrapText="1"/>
    </xf>
    <xf numFmtId="0" fontId="15" fillId="5" borderId="8" xfId="0" applyFont="1" applyFill="1" applyBorder="1" applyAlignment="1" applyProtection="1">
      <alignment horizontal="left" vertical="center"/>
      <protection locked="0"/>
    </xf>
    <xf numFmtId="0" fontId="9" fillId="0" borderId="8" xfId="0" applyFont="1" applyBorder="1" applyAlignment="1">
      <alignment horizontal="left"/>
    </xf>
    <xf numFmtId="0" fontId="9" fillId="5" borderId="8" xfId="0" applyFont="1" applyFill="1" applyBorder="1" applyAlignment="1">
      <alignment horizontal="left" vertical="center" wrapText="1" shrinkToFit="1"/>
    </xf>
    <xf numFmtId="164" fontId="9" fillId="5" borderId="8" xfId="6" applyNumberFormat="1" applyFont="1" applyFill="1" applyBorder="1" applyAlignment="1">
      <alignment horizontal="left" wrapText="1" shrinkToFit="1"/>
    </xf>
    <xf numFmtId="165" fontId="15" fillId="5" borderId="8" xfId="0" applyNumberFormat="1" applyFont="1" applyFill="1" applyBorder="1" applyAlignment="1">
      <alignment horizontal="left" vertical="center"/>
    </xf>
    <xf numFmtId="164" fontId="9" fillId="5" borderId="8" xfId="6" applyNumberFormat="1" applyFont="1" applyFill="1" applyBorder="1" applyAlignment="1">
      <alignment horizontal="left" vertical="center" wrapText="1" shrinkToFit="1"/>
    </xf>
    <xf numFmtId="0" fontId="9" fillId="5" borderId="8" xfId="0" applyFont="1" applyFill="1" applyBorder="1" applyAlignment="1">
      <alignment horizontal="left" vertical="center"/>
    </xf>
    <xf numFmtId="0" fontId="20" fillId="6" borderId="8" xfId="0" applyFont="1" applyFill="1" applyBorder="1" applyAlignment="1">
      <alignment horizontal="left" wrapText="1"/>
    </xf>
    <xf numFmtId="0" fontId="9" fillId="6" borderId="8" xfId="0" applyFont="1" applyFill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20" fillId="6" borderId="8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/>
    </xf>
    <xf numFmtId="164" fontId="21" fillId="4" borderId="8" xfId="1" applyNumberFormat="1" applyFont="1" applyFill="1" applyBorder="1" applyAlignment="1" applyProtection="1">
      <alignment horizontal="center" vertical="center" wrapText="1"/>
      <protection locked="0"/>
    </xf>
    <xf numFmtId="164" fontId="22" fillId="4" borderId="8" xfId="1" applyNumberFormat="1" applyFont="1" applyFill="1" applyBorder="1" applyAlignment="1" applyProtection="1">
      <alignment horizontal="center" vertical="center" wrapText="1"/>
      <protection locked="0"/>
    </xf>
    <xf numFmtId="164" fontId="16" fillId="4" borderId="8" xfId="1" applyNumberFormat="1" applyFont="1" applyFill="1" applyBorder="1" applyAlignment="1" applyProtection="1">
      <alignment horizontal="center" vertical="center" wrapText="1"/>
      <protection locked="0"/>
    </xf>
    <xf numFmtId="164" fontId="16" fillId="4" borderId="8" xfId="0" applyNumberFormat="1" applyFont="1" applyFill="1" applyBorder="1"/>
    <xf numFmtId="165" fontId="16" fillId="4" borderId="8" xfId="0" applyNumberFormat="1" applyFont="1" applyFill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19" fillId="5" borderId="0" xfId="0" applyFont="1" applyFill="1" applyAlignment="1">
      <alignment horizontal="left" vertical="center"/>
    </xf>
    <xf numFmtId="0" fontId="15" fillId="5" borderId="8" xfId="0" applyFont="1" applyFill="1" applyBorder="1" applyAlignment="1" applyProtection="1">
      <alignment horizontal="left" vertical="center" wrapText="1"/>
      <protection locked="0"/>
    </xf>
    <xf numFmtId="0" fontId="9" fillId="5" borderId="8" xfId="0" applyFont="1" applyFill="1" applyBorder="1" applyAlignment="1">
      <alignment horizontal="left" vertical="center" wrapText="1"/>
    </xf>
    <xf numFmtId="165" fontId="9" fillId="5" borderId="3" xfId="0" applyNumberFormat="1" applyFont="1" applyFill="1" applyBorder="1" applyAlignment="1" applyProtection="1">
      <alignment horizontal="left" vertical="center"/>
      <protection locked="0"/>
    </xf>
    <xf numFmtId="165" fontId="9" fillId="5" borderId="5" xfId="4" applyNumberFormat="1" applyFont="1" applyFill="1" applyBorder="1" applyAlignment="1" applyProtection="1">
      <alignment horizontal="left" vertical="center"/>
    </xf>
    <xf numFmtId="165" fontId="9" fillId="5" borderId="7" xfId="0" applyNumberFormat="1" applyFont="1" applyFill="1" applyBorder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17" fontId="16" fillId="4" borderId="11" xfId="0" applyNumberFormat="1" applyFont="1" applyFill="1" applyBorder="1" applyAlignment="1" applyProtection="1">
      <alignment horizontal="center" vertical="center" wrapText="1"/>
      <protection locked="0"/>
    </xf>
    <xf numFmtId="167" fontId="9" fillId="5" borderId="11" xfId="0" applyNumberFormat="1" applyFont="1" applyFill="1" applyBorder="1" applyAlignment="1">
      <alignment horizontal="left" vertical="center"/>
    </xf>
    <xf numFmtId="168" fontId="20" fillId="5" borderId="11" xfId="0" applyNumberFormat="1" applyFont="1" applyFill="1" applyBorder="1" applyAlignment="1">
      <alignment horizontal="left" vertical="center" wrapText="1" shrinkToFit="1"/>
    </xf>
    <xf numFmtId="167" fontId="9" fillId="5" borderId="11" xfId="6" applyNumberFormat="1" applyFont="1" applyFill="1" applyBorder="1" applyAlignment="1">
      <alignment horizontal="left" vertical="center" shrinkToFit="1"/>
    </xf>
    <xf numFmtId="0" fontId="15" fillId="5" borderId="9" xfId="0" applyFont="1" applyFill="1" applyBorder="1" applyAlignment="1" applyProtection="1">
      <alignment horizontal="left" vertical="center"/>
      <protection locked="0"/>
    </xf>
    <xf numFmtId="168" fontId="20" fillId="6" borderId="11" xfId="0" applyNumberFormat="1" applyFont="1" applyFill="1" applyBorder="1" applyAlignment="1">
      <alignment horizontal="left" vertical="center"/>
    </xf>
    <xf numFmtId="0" fontId="24" fillId="8" borderId="12" xfId="15" applyFont="1" applyFill="1" applyBorder="1" applyAlignment="1">
      <alignment horizontal="left" vertical="center"/>
    </xf>
    <xf numFmtId="0" fontId="11" fillId="5" borderId="0" xfId="15" applyFont="1" applyFill="1" applyAlignment="1">
      <alignment horizontal="left"/>
    </xf>
    <xf numFmtId="169" fontId="11" fillId="5" borderId="0" xfId="15" applyNumberFormat="1" applyFont="1" applyFill="1" applyAlignment="1">
      <alignment horizontal="left"/>
    </xf>
    <xf numFmtId="0" fontId="23" fillId="5" borderId="0" xfId="15" applyFont="1" applyFill="1" applyAlignment="1">
      <alignment horizontal="center"/>
    </xf>
    <xf numFmtId="0" fontId="11" fillId="5" borderId="0" xfId="15" applyFont="1" applyFill="1" applyAlignment="1">
      <alignment horizontal="center" vertical="center"/>
    </xf>
    <xf numFmtId="0" fontId="11" fillId="5" borderId="0" xfId="15" applyFont="1" applyFill="1" applyAlignment="1">
      <alignment horizontal="left" vertical="center"/>
    </xf>
    <xf numFmtId="171" fontId="12" fillId="5" borderId="0" xfId="16" applyNumberFormat="1" applyFont="1" applyFill="1" applyBorder="1" applyAlignment="1">
      <alignment horizontal="center" vertical="center"/>
    </xf>
    <xf numFmtId="172" fontId="12" fillId="5" borderId="0" xfId="15" applyNumberFormat="1" applyFont="1" applyFill="1" applyAlignment="1">
      <alignment horizontal="center" vertical="center"/>
    </xf>
    <xf numFmtId="0" fontId="23" fillId="5" borderId="12" xfId="15" applyFont="1" applyFill="1" applyBorder="1" applyAlignment="1">
      <alignment vertical="center"/>
    </xf>
    <xf numFmtId="0" fontId="7" fillId="5" borderId="12" xfId="15" applyFont="1" applyFill="1" applyBorder="1" applyAlignment="1">
      <alignment vertical="center"/>
    </xf>
    <xf numFmtId="0" fontId="17" fillId="5" borderId="0" xfId="15" applyFont="1" applyFill="1" applyAlignment="1">
      <alignment horizontal="center"/>
    </xf>
    <xf numFmtId="0" fontId="26" fillId="5" borderId="0" xfId="15" applyFont="1" applyFill="1" applyAlignment="1">
      <alignment horizontal="center" vertical="center"/>
    </xf>
    <xf numFmtId="0" fontId="26" fillId="5" borderId="0" xfId="15" applyFont="1" applyFill="1" applyAlignment="1">
      <alignment horizontal="left"/>
    </xf>
    <xf numFmtId="168" fontId="17" fillId="5" borderId="0" xfId="15" applyNumberFormat="1" applyFont="1" applyFill="1" applyAlignment="1">
      <alignment horizontal="center" vertical="center"/>
    </xf>
    <xf numFmtId="0" fontId="26" fillId="5" borderId="0" xfId="15" applyFont="1" applyFill="1" applyAlignment="1">
      <alignment horizontal="left" vertical="center"/>
    </xf>
    <xf numFmtId="169" fontId="17" fillId="5" borderId="0" xfId="15" applyNumberFormat="1" applyFont="1" applyFill="1" applyAlignment="1">
      <alignment horizontal="center"/>
    </xf>
    <xf numFmtId="170" fontId="17" fillId="5" borderId="0" xfId="16" applyFont="1" applyFill="1" applyBorder="1" applyAlignment="1">
      <alignment horizontal="left"/>
    </xf>
    <xf numFmtId="0" fontId="17" fillId="5" borderId="0" xfId="15" applyFont="1" applyFill="1" applyAlignment="1">
      <alignment horizontal="left"/>
    </xf>
    <xf numFmtId="171" fontId="17" fillId="5" borderId="0" xfId="16" applyNumberFormat="1" applyFont="1" applyFill="1" applyBorder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27" fillId="5" borderId="0" xfId="0" applyFont="1" applyFill="1" applyAlignment="1">
      <alignment horizontal="left"/>
    </xf>
    <xf numFmtId="0" fontId="25" fillId="5" borderId="0" xfId="15" applyFont="1" applyFill="1" applyAlignment="1">
      <alignment horizontal="center" vertical="center"/>
    </xf>
    <xf numFmtId="0" fontId="25" fillId="8" borderId="8" xfId="15" applyFont="1" applyFill="1" applyBorder="1" applyAlignment="1">
      <alignment horizontal="left" vertical="center"/>
    </xf>
    <xf numFmtId="0" fontId="26" fillId="5" borderId="8" xfId="15" applyFont="1" applyFill="1" applyBorder="1" applyAlignment="1">
      <alignment horizontal="center"/>
    </xf>
    <xf numFmtId="0" fontId="26" fillId="5" borderId="8" xfId="15" applyFont="1" applyFill="1" applyBorder="1" applyAlignment="1">
      <alignment vertical="center"/>
    </xf>
    <xf numFmtId="1" fontId="9" fillId="5" borderId="8" xfId="15" applyNumberFormat="1" applyFont="1" applyFill="1" applyBorder="1" applyAlignment="1">
      <alignment horizontal="center" vertical="center"/>
    </xf>
    <xf numFmtId="0" fontId="26" fillId="5" borderId="8" xfId="15" applyFont="1" applyFill="1" applyBorder="1" applyAlignment="1">
      <alignment horizontal="center" vertical="center"/>
    </xf>
    <xf numFmtId="0" fontId="25" fillId="8" borderId="8" xfId="15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/>
    </xf>
    <xf numFmtId="0" fontId="9" fillId="7" borderId="8" xfId="0" applyFont="1" applyFill="1" applyBorder="1" applyAlignment="1">
      <alignment horizontal="left"/>
    </xf>
    <xf numFmtId="0" fontId="28" fillId="5" borderId="8" xfId="5" applyFont="1" applyFill="1" applyBorder="1" applyAlignment="1" applyProtection="1">
      <alignment horizontal="left"/>
      <protection locked="0"/>
    </xf>
    <xf numFmtId="0" fontId="20" fillId="5" borderId="8" xfId="0" applyFont="1" applyFill="1" applyBorder="1" applyAlignment="1">
      <alignment horizontal="left" vertical="center" readingOrder="1"/>
    </xf>
    <xf numFmtId="0" fontId="9" fillId="5" borderId="8" xfId="11" applyFont="1" applyFill="1" applyBorder="1" applyAlignment="1">
      <alignment horizontal="left" vertical="center"/>
    </xf>
    <xf numFmtId="0" fontId="28" fillId="7" borderId="8" xfId="0" applyFont="1" applyFill="1" applyBorder="1" applyAlignment="1">
      <alignment horizontal="left" readingOrder="1"/>
    </xf>
    <xf numFmtId="0" fontId="20" fillId="7" borderId="8" xfId="0" applyFont="1" applyFill="1" applyBorder="1" applyAlignment="1">
      <alignment horizontal="left" vertical="center" readingOrder="1"/>
    </xf>
    <xf numFmtId="0" fontId="28" fillId="7" borderId="8" xfId="0" applyFont="1" applyFill="1" applyBorder="1" applyAlignment="1">
      <alignment horizontal="left" wrapText="1" readingOrder="1"/>
    </xf>
    <xf numFmtId="0" fontId="20" fillId="6" borderId="8" xfId="0" applyFont="1" applyFill="1" applyBorder="1" applyAlignment="1">
      <alignment wrapText="1"/>
    </xf>
    <xf numFmtId="0" fontId="20" fillId="0" borderId="8" xfId="0" applyFont="1" applyBorder="1" applyAlignment="1">
      <alignment horizontal="left" vertical="center" wrapText="1" readingOrder="1"/>
    </xf>
    <xf numFmtId="0" fontId="20" fillId="6" borderId="8" xfId="0" applyFont="1" applyFill="1" applyBorder="1" applyAlignment="1">
      <alignment horizontal="left"/>
    </xf>
    <xf numFmtId="0" fontId="28" fillId="6" borderId="8" xfId="0" applyFont="1" applyFill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8" fillId="0" borderId="8" xfId="5" applyFont="1" applyBorder="1" applyAlignment="1">
      <alignment horizontal="left"/>
    </xf>
    <xf numFmtId="0" fontId="9" fillId="0" borderId="8" xfId="0" applyFont="1" applyBorder="1"/>
    <xf numFmtId="0" fontId="10" fillId="0" borderId="8" xfId="5" applyBorder="1"/>
    <xf numFmtId="0" fontId="20" fillId="0" borderId="8" xfId="0" applyFont="1" applyBorder="1"/>
    <xf numFmtId="0" fontId="28" fillId="0" borderId="8" xfId="0" applyFont="1" applyBorder="1" applyAlignment="1">
      <alignment wrapText="1"/>
    </xf>
    <xf numFmtId="0" fontId="28" fillId="0" borderId="8" xfId="5" applyFont="1" applyBorder="1" applyAlignment="1"/>
    <xf numFmtId="0" fontId="10" fillId="0" borderId="0" xfId="5"/>
    <xf numFmtId="0" fontId="9" fillId="0" borderId="0" xfId="0" applyFont="1"/>
    <xf numFmtId="0" fontId="20" fillId="0" borderId="0" xfId="0" applyFont="1"/>
    <xf numFmtId="0" fontId="28" fillId="0" borderId="8" xfId="0" applyFont="1" applyBorder="1" applyAlignment="1">
      <alignment horizontal="left" wrapText="1"/>
    </xf>
    <xf numFmtId="0" fontId="9" fillId="0" borderId="0" xfId="0" applyFont="1" applyAlignment="1">
      <alignment vertical="center"/>
    </xf>
    <xf numFmtId="0" fontId="15" fillId="5" borderId="0" xfId="0" applyFont="1" applyFill="1" applyAlignment="1" applyProtection="1">
      <alignment vertical="center"/>
      <protection locked="0"/>
    </xf>
    <xf numFmtId="0" fontId="15" fillId="5" borderId="13" xfId="0" applyFont="1" applyFill="1" applyBorder="1" applyAlignment="1" applyProtection="1">
      <alignment horizontal="left" vertical="center"/>
      <protection locked="0"/>
    </xf>
    <xf numFmtId="0" fontId="28" fillId="0" borderId="13" xfId="5" applyFont="1" applyBorder="1" applyAlignment="1">
      <alignment horizontal="left"/>
    </xf>
    <xf numFmtId="0" fontId="9" fillId="0" borderId="13" xfId="0" applyFont="1" applyBorder="1"/>
    <xf numFmtId="0" fontId="9" fillId="5" borderId="13" xfId="0" applyFont="1" applyFill="1" applyBorder="1" applyAlignment="1">
      <alignment horizontal="left" vertical="center"/>
    </xf>
    <xf numFmtId="167" fontId="9" fillId="5" borderId="16" xfId="0" applyNumberFormat="1" applyFont="1" applyFill="1" applyBorder="1" applyAlignment="1">
      <alignment horizontal="left" vertical="center"/>
    </xf>
    <xf numFmtId="164" fontId="9" fillId="5" borderId="13" xfId="6" applyNumberFormat="1" applyFont="1" applyFill="1" applyBorder="1" applyAlignment="1">
      <alignment horizontal="left" wrapText="1" shrinkToFit="1"/>
    </xf>
    <xf numFmtId="165" fontId="15" fillId="5" borderId="13" xfId="0" applyNumberFormat="1" applyFont="1" applyFill="1" applyBorder="1" applyAlignment="1">
      <alignment horizontal="left" vertical="center"/>
    </xf>
    <xf numFmtId="0" fontId="15" fillId="5" borderId="15" xfId="0" applyFont="1" applyFill="1" applyBorder="1" applyAlignment="1" applyProtection="1">
      <alignment horizontal="left" vertical="center"/>
      <protection locked="0"/>
    </xf>
    <xf numFmtId="164" fontId="9" fillId="5" borderId="15" xfId="6" applyNumberFormat="1" applyFont="1" applyFill="1" applyBorder="1" applyAlignment="1">
      <alignment horizontal="left" vertical="center" wrapText="1" shrinkToFit="1"/>
    </xf>
    <xf numFmtId="165" fontId="15" fillId="5" borderId="15" xfId="0" applyNumberFormat="1" applyFont="1" applyFill="1" applyBorder="1" applyAlignment="1">
      <alignment horizontal="left" vertical="center"/>
    </xf>
    <xf numFmtId="0" fontId="15" fillId="4" borderId="8" xfId="0" applyFont="1" applyFill="1" applyBorder="1" applyAlignment="1" applyProtection="1">
      <alignment vertical="center"/>
      <protection locked="0"/>
    </xf>
    <xf numFmtId="167" fontId="9" fillId="5" borderId="17" xfId="0" applyNumberFormat="1" applyFont="1" applyFill="1" applyBorder="1" applyAlignment="1">
      <alignment horizontal="left" vertical="center"/>
    </xf>
    <xf numFmtId="0" fontId="15" fillId="4" borderId="13" xfId="0" applyFont="1" applyFill="1" applyBorder="1" applyAlignment="1" applyProtection="1">
      <alignment vertical="center"/>
      <protection locked="0"/>
    </xf>
    <xf numFmtId="0" fontId="15" fillId="5" borderId="18" xfId="0" applyFont="1" applyFill="1" applyBorder="1" applyAlignment="1" applyProtection="1">
      <alignment horizontal="left" vertical="center"/>
      <protection locked="0"/>
    </xf>
    <xf numFmtId="167" fontId="9" fillId="5" borderId="18" xfId="0" applyNumberFormat="1" applyFont="1" applyFill="1" applyBorder="1" applyAlignment="1">
      <alignment horizontal="left" vertical="center"/>
    </xf>
    <xf numFmtId="164" fontId="9" fillId="5" borderId="18" xfId="6" applyNumberFormat="1" applyFont="1" applyFill="1" applyBorder="1" applyAlignment="1">
      <alignment horizontal="left" vertical="center" wrapText="1" shrinkToFit="1"/>
    </xf>
    <xf numFmtId="165" fontId="15" fillId="5" borderId="18" xfId="0" applyNumberFormat="1" applyFont="1" applyFill="1" applyBorder="1" applyAlignment="1">
      <alignment horizontal="left" vertical="center"/>
    </xf>
    <xf numFmtId="164" fontId="9" fillId="5" borderId="11" xfId="6" applyNumberFormat="1" applyFont="1" applyFill="1" applyBorder="1" applyAlignment="1">
      <alignment horizontal="left" vertical="center" wrapText="1" shrinkToFit="1"/>
    </xf>
    <xf numFmtId="0" fontId="15" fillId="4" borderId="15" xfId="0" applyFont="1" applyFill="1" applyBorder="1" applyAlignment="1" applyProtection="1">
      <alignment horizontal="center" vertical="center"/>
      <protection locked="0"/>
    </xf>
    <xf numFmtId="165" fontId="16" fillId="4" borderId="15" xfId="0" applyNumberFormat="1" applyFont="1" applyFill="1" applyBorder="1" applyAlignment="1" applyProtection="1">
      <alignment horizontal="left" vertical="center" wrapText="1"/>
      <protection locked="0"/>
    </xf>
    <xf numFmtId="1" fontId="23" fillId="9" borderId="8" xfId="15" applyNumberFormat="1" applyFont="1" applyFill="1" applyBorder="1" applyAlignment="1">
      <alignment horizontal="center" vertical="center"/>
    </xf>
    <xf numFmtId="164" fontId="19" fillId="5" borderId="0" xfId="0" applyNumberFormat="1" applyFont="1" applyFill="1" applyAlignment="1">
      <alignment horizontal="left" vertical="center"/>
    </xf>
    <xf numFmtId="165" fontId="26" fillId="5" borderId="0" xfId="15" applyNumberFormat="1" applyFont="1" applyFill="1" applyAlignment="1">
      <alignment horizontal="center" vertical="center"/>
    </xf>
    <xf numFmtId="0" fontId="15" fillId="10" borderId="8" xfId="0" applyFont="1" applyFill="1" applyBorder="1" applyAlignment="1" applyProtection="1">
      <alignment horizontal="left" vertical="center"/>
      <protection locked="0"/>
    </xf>
    <xf numFmtId="0" fontId="10" fillId="10" borderId="0" xfId="5" applyFill="1" applyAlignment="1">
      <alignment horizontal="left" vertical="center"/>
    </xf>
    <xf numFmtId="0" fontId="9" fillId="10" borderId="8" xfId="0" applyFont="1" applyFill="1" applyBorder="1" applyAlignment="1">
      <alignment horizontal="left" vertical="center"/>
    </xf>
    <xf numFmtId="0" fontId="9" fillId="10" borderId="8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vertical="center"/>
    </xf>
    <xf numFmtId="0" fontId="15" fillId="10" borderId="9" xfId="0" applyFont="1" applyFill="1" applyBorder="1" applyAlignment="1" applyProtection="1">
      <alignment horizontal="left" vertical="center"/>
      <protection locked="0"/>
    </xf>
    <xf numFmtId="0" fontId="15" fillId="10" borderId="18" xfId="0" applyFont="1" applyFill="1" applyBorder="1" applyAlignment="1" applyProtection="1">
      <alignment horizontal="left" vertical="center"/>
      <protection locked="0"/>
    </xf>
    <xf numFmtId="167" fontId="9" fillId="10" borderId="18" xfId="0" applyNumberFormat="1" applyFont="1" applyFill="1" applyBorder="1" applyAlignment="1">
      <alignment horizontal="left" vertical="center"/>
    </xf>
    <xf numFmtId="164" fontId="9" fillId="10" borderId="18" xfId="6" applyNumberFormat="1" applyFont="1" applyFill="1" applyBorder="1" applyAlignment="1">
      <alignment horizontal="left" vertical="center" wrapText="1" shrinkToFit="1"/>
    </xf>
    <xf numFmtId="164" fontId="9" fillId="10" borderId="11" xfId="6" applyNumberFormat="1" applyFont="1" applyFill="1" applyBorder="1" applyAlignment="1">
      <alignment horizontal="left" vertical="center" wrapText="1" shrinkToFit="1"/>
    </xf>
    <xf numFmtId="165" fontId="15" fillId="10" borderId="8" xfId="0" applyNumberFormat="1" applyFont="1" applyFill="1" applyBorder="1" applyAlignment="1">
      <alignment horizontal="left" vertical="center"/>
    </xf>
    <xf numFmtId="1" fontId="23" fillId="10" borderId="8" xfId="15" applyNumberFormat="1" applyFont="1" applyFill="1" applyBorder="1" applyAlignment="1">
      <alignment horizontal="center" vertical="center"/>
    </xf>
    <xf numFmtId="0" fontId="10" fillId="5" borderId="8" xfId="5" applyFill="1" applyBorder="1"/>
    <xf numFmtId="0" fontId="29" fillId="5" borderId="8" xfId="0" applyFont="1" applyFill="1" applyBorder="1"/>
    <xf numFmtId="0" fontId="29" fillId="0" borderId="8" xfId="0" applyFont="1" applyBorder="1"/>
    <xf numFmtId="0" fontId="29" fillId="0" borderId="0" xfId="0" applyFont="1"/>
    <xf numFmtId="165" fontId="11" fillId="5" borderId="0" xfId="0" applyNumberFormat="1" applyFont="1" applyFill="1"/>
    <xf numFmtId="168" fontId="11" fillId="5" borderId="0" xfId="15" applyNumberFormat="1" applyFont="1" applyFill="1" applyAlignment="1">
      <alignment horizontal="left"/>
    </xf>
    <xf numFmtId="9" fontId="3" fillId="5" borderId="0" xfId="0" applyNumberFormat="1" applyFont="1" applyFill="1" applyAlignment="1">
      <alignment horizontal="center" vertical="center"/>
    </xf>
    <xf numFmtId="164" fontId="9" fillId="10" borderId="0" xfId="6" applyNumberFormat="1" applyFont="1" applyFill="1" applyBorder="1" applyAlignment="1">
      <alignment horizontal="left" vertical="center" wrapText="1" shrinkToFit="1"/>
    </xf>
    <xf numFmtId="164" fontId="9" fillId="5" borderId="0" xfId="6" applyNumberFormat="1" applyFont="1" applyFill="1" applyBorder="1" applyAlignment="1">
      <alignment horizontal="left" vertical="center" wrapText="1" shrinkToFit="1"/>
    </xf>
    <xf numFmtId="0" fontId="28" fillId="0" borderId="13" xfId="5" applyFont="1" applyBorder="1" applyAlignment="1">
      <alignment horizontal="left" vertical="center"/>
    </xf>
    <xf numFmtId="0" fontId="28" fillId="0" borderId="14" xfId="5" applyFont="1" applyBorder="1" applyAlignment="1">
      <alignment horizontal="left" vertical="center"/>
    </xf>
    <xf numFmtId="0" fontId="28" fillId="0" borderId="15" xfId="5" applyFont="1" applyBorder="1" applyAlignment="1">
      <alignment horizontal="left" vertical="center"/>
    </xf>
    <xf numFmtId="0" fontId="15" fillId="4" borderId="9" xfId="0" applyFont="1" applyFill="1" applyBorder="1" applyAlignment="1" applyProtection="1">
      <alignment horizontal="center" vertical="center"/>
      <protection locked="0"/>
    </xf>
    <xf numFmtId="0" fontId="15" fillId="4" borderId="10" xfId="0" applyFont="1" applyFill="1" applyBorder="1" applyAlignment="1" applyProtection="1">
      <alignment horizontal="center" vertical="center"/>
      <protection locked="0"/>
    </xf>
    <xf numFmtId="0" fontId="15" fillId="4" borderId="19" xfId="0" applyFont="1" applyFill="1" applyBorder="1" applyAlignment="1" applyProtection="1">
      <alignment horizontal="center" vertical="center"/>
      <protection locked="0"/>
    </xf>
    <xf numFmtId="0" fontId="28" fillId="0" borderId="8" xfId="5" applyFont="1" applyBorder="1" applyAlignment="1">
      <alignment horizontal="left" vertical="center"/>
    </xf>
    <xf numFmtId="0" fontId="11" fillId="5" borderId="0" xfId="15" applyFont="1" applyFill="1" applyAlignment="1">
      <alignment horizontal="center"/>
    </xf>
    <xf numFmtId="0" fontId="11" fillId="5" borderId="0" xfId="15" applyFont="1" applyFill="1" applyAlignment="1">
      <alignment horizontal="center" vertical="center"/>
    </xf>
    <xf numFmtId="165" fontId="7" fillId="11" borderId="8" xfId="0" applyNumberFormat="1" applyFont="1" applyFill="1" applyBorder="1" applyAlignment="1">
      <alignment horizontal="center" vertical="center"/>
    </xf>
  </cellXfs>
  <cellStyles count="17">
    <cellStyle name="Акцент1" xfId="1" builtinId="29"/>
    <cellStyle name="Гиперссылка" xfId="5" builtinId="8"/>
    <cellStyle name="Гиперссылка 3" xfId="2" xr:uid="{00000000-0005-0000-0000-000001000000}"/>
    <cellStyle name="Гиперссылка 4" xfId="3" xr:uid="{00000000-0005-0000-0000-000002000000}"/>
    <cellStyle name="Обычный" xfId="0" builtinId="0"/>
    <cellStyle name="Обычный 2" xfId="11" xr:uid="{FFB6C2D6-278B-4415-896D-1B15C4FC9CD4}"/>
    <cellStyle name="Обычный 2 2 3" xfId="9" xr:uid="{E1DEF377-7315-46CF-8962-24F07ABFDAEC}"/>
    <cellStyle name="Обычный 2 3" xfId="7" xr:uid="{F9C41704-2A24-2043-A3B7-D21FEA01350C}"/>
    <cellStyle name="Обычный 3" xfId="15" xr:uid="{197D9298-AEE6-1844-BB42-A44896D6F4A6}"/>
    <cellStyle name="Обычный 7" xfId="13" xr:uid="{D62B1681-83BB-5D4F-9B2F-112EE3EAC7CF}"/>
    <cellStyle name="Финансовый" xfId="4" builtinId="3"/>
    <cellStyle name="Финансовый [0]" xfId="6" builtinId="6"/>
    <cellStyle name="Финансовый [0] 2" xfId="12" xr:uid="{181AE8D7-78A4-4D5D-88BB-8508B07C2D48}"/>
    <cellStyle name="Финансовый [0] 2 2" xfId="8" xr:uid="{04CF16CA-716A-6A4F-BD7B-A94FE61C56CE}"/>
    <cellStyle name="Финансовый [0] 2 2 2" xfId="14" xr:uid="{F73B3748-D542-F341-AC64-8F8B1DD4D14A}"/>
    <cellStyle name="Финансовый [0] 3" xfId="10" xr:uid="{EDED5C3D-95E3-499A-A3E1-3F7CF977EB5A}"/>
    <cellStyle name="Финансовый 2 2" xfId="16" xr:uid="{7065E648-0723-5443-B49E-2286CD582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44659</xdr:rowOff>
    </xdr:from>
    <xdr:ext cx="2107660" cy="1158727"/>
    <xdr:pic>
      <xdr:nvPicPr>
        <xdr:cNvPr id="2" name="Рисунок 1">
          <a:extLst>
            <a:ext uri="{FF2B5EF4-FFF2-40B4-BE49-F238E27FC236}">
              <a16:creationId xmlns:a16="http://schemas.microsoft.com/office/drawing/2014/main" id="{B352D73F-3241-6940-8F46-8273E4D54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659"/>
          <a:ext cx="2107660" cy="115872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44659</xdr:rowOff>
    </xdr:from>
    <xdr:ext cx="2107660" cy="1158727"/>
    <xdr:pic>
      <xdr:nvPicPr>
        <xdr:cNvPr id="2" name="Рисунок 1">
          <a:extLst>
            <a:ext uri="{FF2B5EF4-FFF2-40B4-BE49-F238E27FC236}">
              <a16:creationId xmlns:a16="http://schemas.microsoft.com/office/drawing/2014/main" id="{924E60F3-98CE-E64D-9D44-56011E121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659"/>
          <a:ext cx="2107660" cy="115872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FP-Lease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GRP_V1_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Kostenplan%20Funk_0702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AAssovskaya/Local%20Settings/Temporary%20Internet%20Files/OLKE/&#1055;&#1080;&#1090;&#1077;&#1088;_&#1069;&#1089;&#1087;&#1072;&#1088;2_30-05_07_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GINI9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526_Enterprise%203.%20Flight%20Mediakostenplan_Vodafon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624_Enterprise%203.%20Flight%20Mediakostenplan_Vodafo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r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OT97QUA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o%20Economic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V%2021Gen-3Fe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S%20Hachet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ano%20excel%20BLU%2022.5%20SP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Inserenten_Plan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nkelgroup.sharepoint.com/Temp/C.Daten.NotesR5/Reachtables%2004_01_1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TTA%20piano2v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EON_Plan7_nc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unter%20(4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anislav/Desktop/&#1052;&#1055;/&#1052;&#1055;%202019/&#1053;&#1072;&#1088;&#1075;&#1080;&#1079;&#1072;%20&#1058;&#1042;%20&#1051;&#1072;&#1081;&#1085;/Clients/2003/Epson/PhotoPrinters/Map_May_94_FSU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NEON_Plan1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UB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0.98/Artur/Disk%20D/&#1057;&#1095;&#1080;&#1090;&#1072;&#1083;&#1082;&#1080;/2019/&#1064;&#1072;&#1073;&#1083;&#1086;&#1085;&#1099;%20&#1057;&#1090;&#1072;&#1089;&#1072;/&#1044;&#1077;&#1090;&#1072;&#1083;&#1080;&#1079;&#1072;&#1094;&#1080;&#1103;%20&#1070;&#1083;&#1072;&#1081;&#1079;&#1077;&#1088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%20Radio%20Planungsprogram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4/CIS/BORJOMI/PITCHES%202014/Baltics/buying%20templates/audit%20archiveUsers/DKuraev/Library/Caches/TemporaryItems/Outlook%20Temp/chart4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BRZ_Plan3_0602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s"/>
      <sheetName val="Print"/>
      <sheetName val="Instructions"/>
      <sheetName val="Main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TV spot_supplier"/>
      <sheetName val="Print-forms"/>
      <sheetName val="Outdoor St-Peter June"/>
      <sheetName val="TVP 2009"/>
      <sheetName val="Estimate"/>
      <sheetName val="XLRpt_TempSheet"/>
      <sheetName val="외주현황.wq1"/>
      <sheetName val="show of spot"/>
      <sheetName val="Outdoor_St-Peter_June"/>
      <sheetName val="TV_spot_supplier"/>
      <sheetName val="TVP_2009"/>
      <sheetName val="MP"/>
      <sheetName val="ORT"/>
      <sheetName val="XLR_NoRangeSheet"/>
      <sheetName val="FX Rates"/>
      <sheetName val="2.대외공문"/>
      <sheetName val="CAMPAIGN AVERAGE F"/>
      <sheetName val="Расчет"/>
      <sheetName val="Spend by Market"/>
      <sheetName val="Sheet2"/>
      <sheetName val="DATA"/>
      <sheetName val="Outdoor_St-Peter_June1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Look up info"/>
      <sheetName val="TV_spot_supplier1"/>
      <sheetName val="외주현황_wq1"/>
      <sheetName val="2_대외공문"/>
      <sheetName val="TVP_20091"/>
      <sheetName val="show_of_spot"/>
      <sheetName val="FX_Rates"/>
      <sheetName val="port97_p_atra"/>
      <sheetName val="FX-Rate"/>
      <sheetName val="OWNPROD EST"/>
      <sheetName val="OWNPROD LIT"/>
      <sheetName val="CAMPAIGN_AVERAGE_F"/>
      <sheetName val="Spend_by_Market"/>
      <sheetName val="Carat - Retourpercentages"/>
      <sheetName val="EXPRES BUSINESS"/>
      <sheetName val="Indices"/>
      <sheetName val="생산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Market Data"/>
      <sheetName val="Team Structure"/>
      <sheetName val="Base"/>
      <sheetName val="Commitments"/>
      <sheetName val="Budget"/>
      <sheetName val="Dictionnary"/>
      <sheetName val="TechSpecs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Adserving Definitions"/>
      <sheetName val="definitions"/>
      <sheetName val="List"/>
      <sheetName val="Brazil"/>
      <sheetName val="Category List"/>
      <sheetName val="July Master Pivot Data"/>
      <sheetName val="Basis_Master"/>
      <sheetName val="Lists"/>
      <sheetName val="segédtábla"/>
      <sheetName val="Aging Analysis"/>
      <sheetName val="Data Validation"/>
      <sheetName val="Списки"/>
      <sheetName val="Tables"/>
      <sheetName val="Drop down calculation"/>
      <sheetName val="Altro"/>
      <sheetName val="Tabelle2"/>
      <sheetName val="Print list"/>
      <sheetName val="OOH list"/>
      <sheetName val="Digital list"/>
      <sheetName val="BACK"/>
      <sheetName val="Back Print"/>
      <sheetName val="Desplegables"/>
      <sheetName val="Digital Site Categories"/>
      <sheetName val="Reference Picklist"/>
      <sheetName val="Look_up_info"/>
      <sheetName val="audiencias"/>
      <sheetName val="Media Job Descriptions"/>
      <sheetName val="1d - US Hourly staff benchmark"/>
      <sheetName val="PlatformLists"/>
      <sheetName val="port97_p_atra1"/>
      <sheetName val="Outdoor_St-Peter_June3"/>
      <sheetName val="Carat_-_Retourpercentages"/>
      <sheetName val="EXPRES_BUSINESS"/>
      <sheetName val="Market_Data"/>
      <sheetName val="Team_Structure"/>
      <sheetName val="TV_spot_supplier3"/>
      <sheetName val="외주현황_wq12"/>
      <sheetName val="2_대외공문2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Channel List"/>
      <sheetName val="x"/>
      <sheetName val="Buying Model "/>
      <sheetName val="Лист1"/>
      <sheetName val="RFP-Leaseplan"/>
      <sheetName val="Drop Downs"/>
      <sheetName val="Tendine"/>
      <sheetName val="Team Cost"/>
      <sheetName val="Dictionary"/>
      <sheetName val="port97_p_atra2"/>
      <sheetName val="Outdoor_St-Peter_June4"/>
      <sheetName val="Print list "/>
      <sheetName val="JOHN "/>
      <sheetName val="Key Figures YTD"/>
      <sheetName val="Vallas."/>
      <sheetName val="Auxiliar"/>
      <sheetName val="alapok"/>
      <sheetName val="FINAL"/>
      <sheetName val="Лист4"/>
      <sheetName val="TV_spot_supplier5"/>
      <sheetName val="Outdoor_St-Peter_June5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3"/>
      <sheetName val="Non_Analysed_Definitions3"/>
      <sheetName val="Overview_20133"/>
      <sheetName val="Look_up_info2"/>
      <sheetName val="OWNPROD_EST3"/>
      <sheetName val="OWNPROD_LIT3"/>
      <sheetName val="Carat_-_Retourpercentages2"/>
      <sheetName val="EXPRES_BUSINESS2"/>
      <sheetName val="Market_Data2"/>
      <sheetName val="Team_Structure2"/>
      <sheetName val="Adserving_Definitions2"/>
      <sheetName val="Category_List2"/>
      <sheetName val="July_Master_Pivot_Data2"/>
      <sheetName val="Data_Validation2"/>
      <sheetName val="Drop_down_calculation2"/>
      <sheetName val="Print_list2"/>
      <sheetName val="OOH_list2"/>
      <sheetName val="Digital_list2"/>
      <sheetName val="Back_Print2"/>
      <sheetName val="Digital_Site_Categories2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Market_Data1"/>
      <sheetName val="Team_Structure1"/>
      <sheetName val="Adserving_Definitions1"/>
      <sheetName val="Category_List1"/>
      <sheetName val="July_Master_Pivot_Data1"/>
      <sheetName val="Data_Validation1"/>
      <sheetName val="Drop_down_calculation1"/>
      <sheetName val="Print_list1"/>
      <sheetName val="OOH_list1"/>
      <sheetName val="Digital_list1"/>
      <sheetName val="Back_Print1"/>
      <sheetName val="Digital_Site_Categories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ing_Analysis"/>
      <sheetName val="Reference_Picklist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ging_Analysis1"/>
      <sheetName val="Channel_List1"/>
      <sheetName val="Arkusz1"/>
      <sheetName val="DIGITAL"/>
      <sheetName val="Dropdowns"/>
      <sheetName val="география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Brief"/>
      <sheetName val="Outdoor_St-Peter_June6"/>
      <sheetName val="port97_p_atra4"/>
      <sheetName val="Reference_Picklist1"/>
      <sheetName val="1d_-_US_Hourly_staff_benchmark1"/>
      <sheetName val="Media_Job_Descriptions1"/>
      <sheetName val="Drop_Downs1"/>
      <sheetName val="Buying_Model_1"/>
      <sheetName val="Team_Cost1"/>
      <sheetName val="Print_list_1"/>
      <sheetName val="JOHN_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DropDownList"/>
      <sheetName val="AGENCY DECLARATIONS"/>
      <sheetName val="Drop Down List"/>
      <sheetName val="비용정리"/>
      <sheetName val="TV 30&quot; BP"/>
      <sheetName val="Mediaplan"/>
      <sheetName val="SCO3"/>
      <sheetName val="17.7mln вар 1"/>
      <sheetName val="INTERNET TEASER"/>
      <sheetName val="odaplan_report"/>
      <sheetName val="Dane"/>
      <sheetName val="weight and spots 3 opt"/>
      <sheetName val="B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onthYear Lookup"/>
      <sheetName val="Calendar"/>
      <sheetName val="Country"/>
      <sheetName val="Creative"/>
      <sheetName val="Product"/>
      <sheetName val="Media"/>
      <sheetName val="##"/>
      <sheetName val="dati"/>
      <sheetName val="Discipline - do not edit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Market information"/>
      <sheetName val="Digital Dropdowns"/>
      <sheetName val="tv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TV_30&quot;_BP"/>
      <sheetName val="Drop_Down_List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INTERNET_TEASER"/>
      <sheetName val="17_7mln_вар_1"/>
      <sheetName val="GUINNESS_PM"/>
      <sheetName val="GUINNESS_GM"/>
      <sheetName val="к-нт_кон_x0000__x0000_Ԁ_x0000_瀀摎"/>
      <sheetName val="basis"/>
      <sheetName val="к-нт_кон_x0000__x0000_Ԁ_x0000_Ꮏ"/>
      <sheetName val="55% and 70%"/>
      <sheetName val="Control"/>
      <sheetName val="vendors_data"/>
      <sheetName val="vendor_calculator"/>
      <sheetName val="PQ data"/>
      <sheetName val="Data_Source"/>
      <sheetName val="weight_and_spots_3_opt"/>
      <sheetName val="Market_information"/>
      <sheetName val="all brands (all media)"/>
      <sheetName val="Жилищные (рубли, сумма)"/>
      <sheetName val="R CURVES"/>
      <sheetName val="DAILY  ACCUMULATED R AND F"/>
      <sheetName val="Input_weekly"/>
      <sheetName val="sanofi grp_2"/>
      <sheetName val="Тех_доп"/>
      <sheetName val="Assumptions"/>
      <sheetName val="к-нт_кон"/>
      <sheetName val="dimension data"/>
      <sheetName val="Расчет по Регионам"/>
      <sheetName val="Discipline_-_do_not_edit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Справочник"/>
      <sheetName val="input"/>
      <sheetName val="Summrize Detail"/>
      <sheetName val="чел европа+ от сми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bac4"/>
      <sheetName val="данные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details"/>
      <sheetName val="papers"/>
      <sheetName val="Value - Audio"/>
    </sheetNames>
    <sheetDataSet>
      <sheetData sheetId="0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1">
        <row r="34">
          <cell r="B34" t="str">
            <v>Berlingo</v>
          </cell>
        </row>
      </sheetData>
      <sheetData sheetId="2" refreshError="1"/>
      <sheetData sheetId="3">
        <row r="34">
          <cell r="B34" t="str">
            <v>Berlingo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pGRP"/>
      <sheetName val="Data Sender-ZS"/>
      <sheetName val="Briefing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ropdowns"/>
      <sheetName val="Data_Sender-ZS"/>
      <sheetName val="Data_CpGRP"/>
      <sheetName val="Planung_lt__S+P_(keine_Eingabe)"/>
      <sheetName val="Planung_Brutto_bez__"/>
      <sheetName val="MP_NEON_2007"/>
      <sheetName val="Data_Sender-ZS1"/>
      <sheetName val="apendix"/>
      <sheetName val="Lists"/>
      <sheetName val="MP NEON 2008"/>
      <sheetName val="Services"/>
      <sheetName val="Tabelle2"/>
      <sheetName val="MP 2007"/>
      <sheetName val="Drop Down"/>
      <sheetName val="Dropdown menu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A-BL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"/>
      <sheetName val="MP_NEON_20081"/>
      <sheetName val="Kostenplan"/>
      <sheetName val="PIANO GENERALE"/>
      <sheetName val="Drop_Down"/>
      <sheetName val="Dropdown_menu"/>
      <sheetName val="MP_2007"/>
      <sheetName val="Team"/>
      <sheetName val="paramètre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ownprod est"/>
      <sheetName val="FX-Rate"/>
      <sheetName val="ownprod lit"/>
      <sheetName val="Nastavení (Setting)"/>
      <sheetName val="Forecast Drivers"/>
      <sheetName val="Listes déroulantes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Growth"/>
      <sheetName val="3.2 - Digital Fixed 2014 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SW-TEO"/>
      <sheetName val="媒体"/>
      <sheetName val="TEMP"/>
      <sheetName val="PlanGRP_V1_2004"/>
      <sheetName val="Ярославль СТС прайс"/>
      <sheetName val="MP_NEON_20084"/>
      <sheetName val="Dropdown_menu3"/>
      <sheetName val="Drop_Down3"/>
      <sheetName val="MP_20073"/>
      <sheetName val="PIANO_GENERALE2"/>
      <sheetName val="MP_NEON_20085"/>
      <sheetName val="Dropdown_menu4"/>
      <sheetName val="Drop_Down4"/>
      <sheetName val="MP_20074"/>
      <sheetName val="PIANO_GENERALE3"/>
      <sheetName val="вводные_20_012"/>
      <sheetName val="Бюджет_100%_ТВ2"/>
      <sheetName val="Барни_Fem25-542"/>
      <sheetName val="Oreo_THin_18-392"/>
      <sheetName val="расчет_весов_2020_mdlz2"/>
      <sheetName val="for_flow_20202"/>
      <sheetName val="к-нт_конверсии2"/>
      <sheetName val="TUC_25-44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Data_Sender-ZS8"/>
      <sheetName val="Data_CpGRP7"/>
      <sheetName val="Planung_lt__S+P_(keine_Eingabe7"/>
      <sheetName val="Planung_Brutto_bez__7"/>
      <sheetName val="MP_NEON_20077"/>
      <sheetName val="DropDown_Listen6"/>
      <sheetName val="MP_NEON_20086"/>
      <sheetName val="Dropdown_menu5"/>
      <sheetName val="Drop_Down5"/>
      <sheetName val="MP_20075"/>
      <sheetName val="PIANO_GENERALE4"/>
      <sheetName val="вводные_20_013"/>
      <sheetName val="Бюджет_100%_ТВ3"/>
      <sheetName val="Барни_Fem25-543"/>
      <sheetName val="Oreo_THin_18-393"/>
      <sheetName val="расчет_весов_2020_mdlz3"/>
      <sheetName val="for_flow_20203"/>
      <sheetName val="к-нт_конверсии3"/>
      <sheetName val="TUC_25-443"/>
      <sheetName val="сравнение_2020vs_20193"/>
      <sheetName val="варианты_сплита3"/>
      <sheetName val="GRP_расчёт_USD_2019_20203"/>
      <sheetName val="ПРОВЕРКА_июнь_3"/>
      <sheetName val="Oreo_18-243"/>
      <sheetName val="for_flowchart3"/>
      <sheetName val="outdoor st-peter june"/>
      <sheetName val="campaign average f"/>
    </sheetNames>
    <sheetDataSet>
      <sheetData sheetId="0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2">
          <cell r="B2" t="str">
            <v>fehlt !</v>
          </cell>
        </row>
      </sheetData>
      <sheetData sheetId="2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>
        <row r="2">
          <cell r="B2" t="str">
            <v>fehlt !</v>
          </cell>
        </row>
      </sheetData>
      <sheetData sheetId="33">
        <row r="2">
          <cell r="B2" t="str">
            <v>fehlt !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2">
          <cell r="B2" t="str">
            <v>fehlt !</v>
          </cell>
        </row>
      </sheetData>
      <sheetData sheetId="40">
        <row r="2">
          <cell r="B2" t="str">
            <v>fehlt !</v>
          </cell>
        </row>
      </sheetData>
      <sheetData sheetId="4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2"/>
      <sheetData sheetId="4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4">
        <row r="2">
          <cell r="B2" t="str">
            <v>fehlt !</v>
          </cell>
        </row>
      </sheetData>
      <sheetData sheetId="45">
        <row r="2">
          <cell r="B2" t="str">
            <v>fehlt !</v>
          </cell>
        </row>
      </sheetData>
      <sheetData sheetId="46">
        <row r="2">
          <cell r="B2" t="str">
            <v>fehlt !</v>
          </cell>
        </row>
      </sheetData>
      <sheetData sheetId="4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/>
      <sheetData sheetId="53" refreshError="1"/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2">
          <cell r="B2" t="str">
            <v>fehlt !</v>
          </cell>
        </row>
      </sheetData>
      <sheetData sheetId="64">
        <row r="2">
          <cell r="B2" t="str">
            <v>fehlt !</v>
          </cell>
        </row>
      </sheetData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 refreshError="1"/>
      <sheetData sheetId="69" refreshError="1"/>
      <sheetData sheetId="7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1"/>
      <sheetData sheetId="7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3" refreshError="1"/>
      <sheetData sheetId="74" refreshError="1"/>
      <sheetData sheetId="75">
        <row r="15">
          <cell r="C15">
            <v>0</v>
          </cell>
        </row>
      </sheetData>
      <sheetData sheetId="76">
        <row r="2">
          <cell r="B2" t="str">
            <v>fehlt !</v>
          </cell>
        </row>
      </sheetData>
      <sheetData sheetId="77"/>
      <sheetData sheetId="78"/>
      <sheetData sheetId="79"/>
      <sheetData sheetId="80"/>
      <sheetData sheetId="81">
        <row r="2">
          <cell r="B2" t="str">
            <v>fehlt !</v>
          </cell>
        </row>
      </sheetData>
      <sheetData sheetId="82">
        <row r="2">
          <cell r="B2" t="str">
            <v>fehlt !</v>
          </cell>
        </row>
      </sheetData>
      <sheetData sheetId="83"/>
      <sheetData sheetId="84"/>
      <sheetData sheetId="85"/>
      <sheetData sheetId="86"/>
      <sheetData sheetId="87">
        <row r="2">
          <cell r="B2" t="str">
            <v>fehlt !</v>
          </cell>
        </row>
      </sheetData>
      <sheetData sheetId="88">
        <row r="2">
          <cell r="B2" t="str">
            <v>fehlt !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plan"/>
      <sheetName val="Grunddaten für Einkauf"/>
      <sheetName val="Belegungsplan"/>
      <sheetName val="Streuplan"/>
      <sheetName val="Mo-Fr-Kalkulation"/>
      <sheetName val="Sa-Kalkulation"/>
      <sheetName val="So-Kalkulation"/>
      <sheetName val="Jahresvolumen"/>
      <sheetName val="Rabattstaffeln"/>
      <sheetName val="Kombinationen 2005"/>
      <sheetName val="BudgetControl"/>
      <sheetName val="Dealcheck"/>
      <sheetName val="PIANO GENERALE"/>
      <sheetName val="MP 2008"/>
      <sheetName val="12"/>
      <sheetName val="Grunddaten_für_Einkauf"/>
      <sheetName val="Kombinationen_2005"/>
      <sheetName val="PIANO_GENERALE"/>
      <sheetName val="Kostenplan%20Funk_070205.xls"/>
      <sheetName val="Kostenplan Funk_070205"/>
      <sheetName val="Table"/>
      <sheetName val="PC"/>
      <sheetName val="Corp"/>
      <sheetName val="IW"/>
      <sheetName val="MBS"/>
      <sheetName val="MED"/>
      <sheetName val="Server"/>
      <sheetName val="Client"/>
      <sheetName val=""/>
      <sheetName val="Commercial SoC"/>
      <sheetName val="MP 2007"/>
      <sheetName val="Grunddaten f?r Einkauf"/>
      <sheetName val="Dashboard Data"/>
      <sheetName val="Grunddaten_für_Einkauf1"/>
      <sheetName val="Kombinationen_20051"/>
      <sheetName val="PIANO_GENERALE1"/>
      <sheetName val="MP_2008"/>
      <sheetName val="Dashboard_Data"/>
      <sheetName val="Kostenplan%20Funk_070205_xls"/>
      <sheetName val="Kostenplan_Funk_070205"/>
      <sheetName val="Grunddaten_für_Einkauf2"/>
      <sheetName val="Kombinationen_20052"/>
      <sheetName val="PIANO_GENERALE2"/>
      <sheetName val="Grunddaten_für_Einkauf3"/>
      <sheetName val="Kombinationen_20053"/>
      <sheetName val="PIANO_GENERALE3"/>
      <sheetName val="MP_20081"/>
      <sheetName val="Grunddaten_für_Einkauf4"/>
      <sheetName val="Kombinationen_20054"/>
      <sheetName val="PIANO_GENERALE4"/>
      <sheetName val="MP_20082"/>
      <sheetName val="GRP"/>
      <sheetName val="MP NEON 2007"/>
      <sheetName val="MEN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B"/>
      <sheetName val="Client CPP"/>
      <sheetName val="Splits"/>
      <sheetName val="Evaluation2"/>
      <sheetName val="TV spot_supplier"/>
      <sheetName val="Питер_Эспар2_30-05_07_04"/>
      <sheetName val="MediaMix"/>
      <sheetName val="Input"/>
      <sheetName val="CTC"/>
      <sheetName val="NTV"/>
      <sheetName val="ORT"/>
      <sheetName val="RenTV"/>
      <sheetName val="RTR"/>
      <sheetName val="TV6"/>
      <sheetName val="ODAPLAN_REPORT"/>
      <sheetName val="MAIL.RU"/>
      <sheetName val="Laikai rad"/>
      <sheetName val="OWNPROD LAT"/>
      <sheetName val="От Юли"/>
      <sheetName val="Payment"/>
      <sheetName val="РТР"/>
      <sheetName val="Сводная"/>
      <sheetName val="Самара-график"/>
      <sheetName val="Главный"/>
      <sheetName val="PlanSheet"/>
      <sheetName val="NIT_GRP_1.9"/>
      <sheetName val="Первый_GRP_1.9"/>
      <sheetName val="СТС_GRP_1.9"/>
      <sheetName val="Macro1"/>
      <sheetName val="Hasar Hattı"/>
      <sheetName val="LIST"/>
      <sheetName val="XLRpt_TempSheet"/>
      <sheetName val="NIT_GRP_1_9"/>
      <sheetName val="Первый_GRP_1_9"/>
      <sheetName val="СТС_GRP_1_9"/>
      <sheetName val="Estimate"/>
      <sheetName val="Направления затрат+группа"/>
      <sheetName val="##"/>
      <sheetName val="Итоги по каналам"/>
      <sheetName val="ntv-fiyat"/>
      <sheetName val="Print-forms"/>
      <sheetName val="CHECK-LIST"/>
      <sheetName val="PL_Vladik"/>
      <sheetName val="Клипы (2)"/>
      <sheetName val="шкала расчет"/>
      <sheetName val="Питер_Эспар2_30-05_07_04.xls"/>
      <sheetName val="МАКРОС1"/>
      <sheetName val="ОРТ"/>
      <sheetName val="СТС"/>
      <sheetName val="все отчёты рук. ТМ в дирекции"/>
      <sheetName val="справочники"/>
      <sheetName val="Sheet1"/>
      <sheetName val="Data"/>
      <sheetName val="tv spot list"/>
      <sheetName val="Регионы"/>
      <sheetName val="Конфигурация"/>
      <sheetName val="Прайс 2007 (Тренд)"/>
      <sheetName val="Расчет по Регионам"/>
      <sheetName val="Расчет"/>
      <sheetName val="Сезонка"/>
      <sheetName val="PL_B"/>
      <sheetName val="basic_data"/>
      <sheetName val="Скидки"/>
      <sheetName val="International"/>
      <sheetName val="1 flight"/>
      <sheetName val="PG"/>
      <sheetName val="SAD"/>
      <sheetName val="CCS"/>
      <sheetName val="Campaign Budget Summary"/>
      <sheetName val="Vehicles"/>
      <sheetName val="Прайс"/>
      <sheetName val="Интернет"/>
      <sheetName val="Чел Европа+ от сми"/>
      <sheetName val="UKR-1"/>
      <sheetName val="Коммерческое предложение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hanGr_cfg"/>
      <sheetName val="Cities_cfg"/>
      <sheetName val="JEUDI 24 DÉCEMBRE 1998"/>
      <sheetName val="OpslagsArk"/>
      <sheetName val="TIME_SLOT,PLAN_CHANNEL_TRAIL"/>
      <sheetName val="%D0%9F%D0%B8%D1%82%D0%B5%D1%80_"/>
      <sheetName val="Feuil1"/>
      <sheetName val="PLANNED"/>
      <sheetName val="Прайс 2005"/>
      <sheetName val="Hidden"/>
      <sheetName val="plan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100"/>
      <sheetName val="G2TempSheet"/>
      <sheetName val="Codes"/>
      <sheetName val="USD Consolidation"/>
      <sheetName val="55%_and_70%1"/>
      <sheetName val="TV_spot_supplier2"/>
      <sheetName val="Ref"/>
      <sheetName val="E2 Brands"/>
      <sheetName val="Radio"/>
      <sheetName val=""/>
      <sheetName val="Kaynak"/>
      <sheetName val="Cinema"/>
      <sheetName val="100% ВИ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[Питер_Эспар2_30-05_07_04.xls]["/>
      <sheetName val="const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Optimization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Считалка"/>
      <sheetName val="условия на Алма ТВ"/>
      <sheetName val="modell"/>
      <sheetName val="2 спец затраты-себестоимость"/>
      <sheetName val="____________2_30_05_07_04_xls_2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tv"/>
      <sheetName val="Лист2"/>
      <sheetName val="CAMPAIGN_RESULTS5"/>
      <sheetName val="R_CURVES5"/>
      <sheetName val="Campaign_Accumulated__R_and_F5"/>
      <sheetName val="CAMPAIGN_AVERAGE_F5"/>
      <sheetName val="Client_CPP1"/>
      <sheetName val="TV_spot_supplier5"/>
      <sheetName val="MAIL_RU1"/>
      <sheetName val="Laikai_rad1"/>
      <sheetName val="OWNPROD_LAT1"/>
      <sheetName val="От_Юли1"/>
      <sheetName val="Прайс_2007_(Тренд)3"/>
      <sheetName val="NIT_GRP_1_93"/>
      <sheetName val="Первый_GRP_1_93"/>
      <sheetName val="СТС_GRP_1_93"/>
      <sheetName val="Hasar_Hattı1"/>
      <sheetName val="Направления_затрат+группа1"/>
      <sheetName val="Итоги_по_каналам2"/>
      <sheetName val="шкала_расчет1"/>
      <sheetName val="Клипы_(2)1"/>
      <sheetName val="Питер_Эспар2_30-05_07_04_xls1"/>
      <sheetName val="все_отчёты_рук__ТМ_в_дирекции1"/>
      <sheetName val="1_flight1"/>
      <sheetName val="Campaign_Budget_Summary1"/>
      <sheetName val="Чел_Европа+_от_сми1"/>
      <sheetName val="Коммерческое_предложение1"/>
      <sheetName val="55%_and_70%4"/>
      <sheetName val="JEUDI_24_DÉCEMBRE_19981"/>
      <sheetName val="tv_spot_list1"/>
      <sheetName val="Расчет_по_Регионам1"/>
      <sheetName val="Прайс_2005"/>
      <sheetName val="USD_Consolidation1"/>
      <sheetName val="E2_Brands"/>
      <sheetName val="100%_ВИ"/>
      <sheetName val="[Питер_Эспар2_30-05_07_04_xls]["/>
      <sheetName val="Aging_Analysis"/>
      <sheetName val="MP_2007"/>
      <sheetName val="kz_budget_lc"/>
      <sheetName val="Master_Data"/>
      <sheetName val="[Питер_Эспар2_30-05_07_04_xls]\"/>
      <sheetName val="outdoor_st-peter_june"/>
      <sheetName val="Сдобри_Новый_год"/>
      <sheetName val="ثرسنل_(2"/>
      <sheetName val="2_спец_затраты-себестоимость"/>
      <sheetName val="расчет_бюджетов"/>
      <sheetName val="ownprod_est"/>
      <sheetName val="ownprod_lit"/>
      <sheetName val="Divestment_Russia"/>
      <sheetName val="условия_на_Алма_ТВ"/>
      <sheetName val="Selection Screen"/>
      <sheetName val="Datos"/>
      <sheetName val="Maestr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A5" t="str">
            <v>4.2, Developer  (build 121-D5)</v>
          </cell>
        </row>
      </sheetData>
      <sheetData sheetId="5" refreshError="1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 22-9 - 26-10"/>
      <sheetName val="GRP"/>
      <sheetName val="RA 31.3-4.5 CIC"/>
      <sheetName val="RA 31.3-4.5 ORO"/>
      <sheetName val="RA 31.3-4.5 TOP"/>
      <sheetName val="RA 31.3-4.5 FOCUS"/>
      <sheetName val="MEDRA3APR"/>
      <sheetName val="RA3-30.3FOC"/>
      <sheetName val="RA5.5-8.6ORO"/>
      <sheetName val="RA5.5-8.6CIC"/>
      <sheetName val="ratop5.5-8.6"/>
      <sheetName val="RA5.5-8.6FOCUS"/>
      <sheetName val="MED3.30-MARORO"/>
      <sheetName val="MED3.30MARTOP"/>
      <sheetName val="MED3-30MARCIC"/>
      <sheetName val="MED3-30MARFOC"/>
      <sheetName val="MEDRA1APR"/>
      <sheetName val="MEDRAI2APR"/>
      <sheetName val="MEDRARAPR"/>
      <sheetName val="MED31.3-4.5 ORO"/>
      <sheetName val="MED31.3-4.5TOP"/>
      <sheetName val="MED31.3-4.5CIC"/>
      <sheetName val="MED31.3-4.5FOC"/>
      <sheetName val="MEDMAGRA1"/>
      <sheetName val="MEDMAGRA2"/>
      <sheetName val="MEDMAGRA3"/>
      <sheetName val="MEDMAGRAR"/>
      <sheetName val="MEDMAGORO"/>
      <sheetName val="MEDMAGTOP"/>
      <sheetName val="MEDMAGCIC"/>
      <sheetName val="MEDMAGFOC"/>
      <sheetName val="TOPGIU"/>
      <sheetName val="MODPTGIU"/>
      <sheetName val="MODDTGIU"/>
      <sheetName val="MODEURGIU"/>
      <sheetName val="spec9-29giu"/>
      <sheetName val="oro 22-9 - 26-10"/>
      <sheetName val="top 22-9 - 26-10"/>
      <sheetName val="spec 22-9 26-10"/>
      <sheetName val="cic 22_9 _ 26_10"/>
      <sheetName val="Programlar"/>
      <sheetName val="Kategoriler"/>
      <sheetName val="1"/>
      <sheetName val="PIANO GENERALE"/>
      <sheetName val="BJ"/>
      <sheetName val="cic_22-9_-_26-10"/>
      <sheetName val="RA_31_3-4_5_CIC"/>
      <sheetName val="RA_31_3-4_5_ORO"/>
      <sheetName val="RA_31_3-4_5_TOP"/>
      <sheetName val="RA_31_3-4_5_FOCUS"/>
      <sheetName val="RA3-30_3FOC"/>
      <sheetName val="RA5_5-8_6ORO"/>
      <sheetName val="RA5_5-8_6CIC"/>
      <sheetName val="ratop5_5-8_6"/>
      <sheetName val="RA5_5-8_6FOCUS"/>
      <sheetName val="MED3_30-MARORO"/>
      <sheetName val="MED3_30MARTOP"/>
      <sheetName val="MED31_3-4_5_ORO"/>
      <sheetName val="MED31_3-4_5TOP"/>
      <sheetName val="MED31_3-4_5CIC"/>
      <sheetName val="MED31_3-4_5FOC"/>
      <sheetName val="oro_22-9_-_26-10"/>
      <sheetName val="top_22-9_-_26-10"/>
      <sheetName val="spec_22-9_26-10"/>
      <sheetName val="cic_22_9___26_10"/>
      <sheetName val="BIGINI96"/>
      <sheetName val="DATI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PIANO_GENERALE"/>
      <sheetName val="nj-Mixed"/>
      <sheetName val="Fujian Mixed"/>
      <sheetName val="Tabelas"/>
      <sheetName val="媒体"/>
      <sheetName val="自动报价"/>
      <sheetName val="Constants"/>
      <sheetName val="Offerta Tv in Italia"/>
      <sheetName val="PRC-TV (0)"/>
      <sheetName val="OP2"/>
      <sheetName val="Data-OMI Col1 - NA"/>
      <sheetName val="Data-Reforecast 2nd Col"/>
      <sheetName val="Sheet1"/>
      <sheetName val="DMA list"/>
      <sheetName val="2012 Categories and 2011"/>
      <sheetName val="Model"/>
      <sheetName val="Make"/>
    </sheetNames>
    <sheetDataSet>
      <sheetData sheetId="0" refreshError="1">
        <row r="11">
          <cell r="D11">
            <v>486.48</v>
          </cell>
        </row>
      </sheetData>
      <sheetData sheetId="1" refreshError="1"/>
      <sheetData sheetId="2">
        <row r="11">
          <cell r="D11">
            <v>486.48</v>
          </cell>
        </row>
      </sheetData>
      <sheetData sheetId="3">
        <row r="11">
          <cell r="D11">
            <v>486.48</v>
          </cell>
        </row>
      </sheetData>
      <sheetData sheetId="4">
        <row r="11">
          <cell r="D11">
            <v>486.48</v>
          </cell>
        </row>
      </sheetData>
      <sheetData sheetId="5">
        <row r="11">
          <cell r="D11">
            <v>486.48</v>
          </cell>
        </row>
      </sheetData>
      <sheetData sheetId="6">
        <row r="11">
          <cell r="D11">
            <v>486.48</v>
          </cell>
        </row>
      </sheetData>
      <sheetData sheetId="7">
        <row r="11">
          <cell r="D11">
            <v>486.48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1">
          <cell r="D11">
            <v>486.48</v>
          </cell>
        </row>
      </sheetData>
      <sheetData sheetId="31">
        <row r="11">
          <cell r="D11">
            <v>486.48</v>
          </cell>
        </row>
      </sheetData>
      <sheetData sheetId="32">
        <row r="11">
          <cell r="D11">
            <v>486.48</v>
          </cell>
        </row>
      </sheetData>
      <sheetData sheetId="33">
        <row r="11">
          <cell r="D11">
            <v>486.48</v>
          </cell>
        </row>
      </sheetData>
      <sheetData sheetId="34">
        <row r="11">
          <cell r="D11">
            <v>486.48</v>
          </cell>
        </row>
      </sheetData>
      <sheetData sheetId="35">
        <row r="11">
          <cell r="D11">
            <v>486.48</v>
          </cell>
        </row>
      </sheetData>
      <sheetData sheetId="36">
        <row r="11">
          <cell r="D11">
            <v>486.48</v>
          </cell>
        </row>
      </sheetData>
      <sheetData sheetId="37">
        <row r="11">
          <cell r="D11">
            <v>486.48</v>
          </cell>
        </row>
      </sheetData>
      <sheetData sheetId="38">
        <row r="11">
          <cell r="D11">
            <v>486.48</v>
          </cell>
        </row>
      </sheetData>
      <sheetData sheetId="39">
        <row r="11">
          <cell r="D11">
            <v>486.48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>
        <row r="11">
          <cell r="D11">
            <v>486.48</v>
          </cell>
        </row>
      </sheetData>
      <sheetData sheetId="46"/>
      <sheetData sheetId="47">
        <row r="11">
          <cell r="D11">
            <v>486.48</v>
          </cell>
        </row>
      </sheetData>
      <sheetData sheetId="48"/>
      <sheetData sheetId="49">
        <row r="11">
          <cell r="D11">
            <v>486.48</v>
          </cell>
        </row>
      </sheetData>
      <sheetData sheetId="50"/>
      <sheetData sheetId="51">
        <row r="11">
          <cell r="D11">
            <v>486.48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Specs"/>
      <sheetName val="Basisdaten"/>
      <sheetName val="SitesVermarkter"/>
      <sheetName val="Mediakostenplan"/>
      <sheetName val="Mediastreuplan"/>
      <sheetName val="ProducerPivot"/>
      <sheetName val="BudgetPivot"/>
      <sheetName val="ReportPivot"/>
      <sheetName val="OnlineURLs"/>
      <sheetName val="OnlineContacts"/>
      <sheetName val="LOGOS"/>
      <sheetName val="cic 22-9 - 26-10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Vermarkter"/>
      <sheetName val="Basisdaten"/>
      <sheetName val="Mediakostenplan"/>
      <sheetName val="Mediastreuplan"/>
      <sheetName val="1P-Report"/>
      <sheetName val="ProducerPivot"/>
      <sheetName val="BudgetPivot"/>
      <sheetName val="ReportPivot"/>
      <sheetName val="FormatSpecs"/>
      <sheetName val="OnlineURLs"/>
      <sheetName val="OnlineContacts"/>
      <sheetName val="LOGOS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Affinity"/>
      <sheetName val="Flowchart_Nat"/>
      <sheetName val="E2 Brands"/>
      <sheetName val="Главный"/>
      <sheetName val="WEIGHT AND SPOTS 3 OPT"/>
      <sheetName val="all brands (all media)"/>
      <sheetName val="Vehicles"/>
      <sheetName val="Evaluation2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Stru.xls"/>
      <sheetName val="Basis"/>
      <sheetName val="Zadání (Brief)"/>
      <sheetName val="Nastavení (Setting)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MAP cf"/>
      <sheetName val="Legend"/>
      <sheetName val="dropdown_lists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Setup"/>
      <sheetName val="Template"/>
      <sheetName val="Status"/>
      <sheetName val="Интернет"/>
      <sheetName val="TV spot_supplier"/>
      <sheetName val="Channel mix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campaign average f"/>
      <sheetName val="LIST"/>
      <sheetName val="Constants"/>
      <sheetName val="NIUs"/>
      <sheetName val="ОРТ"/>
      <sheetName val="РТР"/>
      <sheetName val="МП MI"/>
      <sheetName val="Digital_table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MAIL_RU3"/>
      <sheetName val="YANDEX_RU3"/>
      <sheetName val="VZGLYAD_RU3"/>
      <sheetName val="GAZETA_RU3"/>
      <sheetName val="KOMMERSANT_RU3"/>
      <sheetName val="NEWSRU_COM3"/>
      <sheetName val="AFISHA_RU3"/>
      <sheetName val="SUBSCRIBE_RU3"/>
      <sheetName val="EXPERT_RU3"/>
      <sheetName val="AVTO_RU3"/>
      <sheetName val="AUTO_RU3"/>
      <sheetName val="RIAN_RU3"/>
      <sheetName val="AMEDIA_RU3"/>
      <sheetName val="VOKRUGSVETA_RU3"/>
      <sheetName val="MTV_RU3"/>
      <sheetName val="LIVEINTERNET_RU3"/>
      <sheetName val="FASHIONTIME_RU3"/>
      <sheetName val="ECHO_MSK_RU3"/>
      <sheetName val="SUPERSTYLE_RU3"/>
      <sheetName val="INOPRESSA_RU3"/>
      <sheetName val="3DNEWS_RU3"/>
      <sheetName val="SPORTS_RU3"/>
      <sheetName val="24OPEN_RU3"/>
      <sheetName val="Владивосток_ОРТ_(наш)3"/>
      <sheetName val="E2_Brands3"/>
      <sheetName val="WEIGHT_AND_SPOTS_3_OPT3"/>
      <sheetName val="all_brands_(all_media)3"/>
      <sheetName val="Stru_xls2"/>
      <sheetName val="Zadání_(Brief)2"/>
      <sheetName val="Nastavení_(Setting)2"/>
      <sheetName val="Net_CPP2"/>
      <sheetName val="Channel_Selection2"/>
      <sheetName val="MAP_cf1"/>
      <sheetName val="TV_spot_supplier1"/>
      <sheetName val="17_7mln_вар_11"/>
      <sheetName val="Deal_20171"/>
      <sheetName val="CPP_base1"/>
      <sheetName val="НРА_бюджет1"/>
      <sheetName val="НРА_цена1"/>
      <sheetName val="Channel_mix1"/>
      <sheetName val="Intro_-_market_data1"/>
      <sheetName val="Digital_data_sheet"/>
      <sheetName val="ОРВИ_Актив"/>
      <sheetName val="Сводный_файл"/>
      <sheetName val="How_to"/>
      <sheetName val="Deal_2019"/>
      <sheetName val="Deal_2020"/>
      <sheetName val="investments_in_TV_deal_2020"/>
      <sheetName val="Фед__ТВ_стар_(2)"/>
      <sheetName val="Media Plan"/>
      <sheetName val="Digital"/>
      <sheetName val="Bloggers"/>
      <sheetName val="ООН"/>
      <sheetName val="Radio "/>
      <sheetName val="Алматы"/>
      <sheetName val="Нур-Султан"/>
      <sheetName val="Актобе"/>
      <sheetName val="Шымкент"/>
      <sheetName val="Караганда"/>
      <sheetName val="Актау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Control"/>
      <sheetName val="HBU_Modern"/>
      <sheetName val="HBU_Trad"/>
      <sheetName val="ConstantsANDSettings"/>
      <sheetName val="Codes"/>
      <sheetName val="kz budget lc"/>
      <sheetName val="PL_Vlad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">
          <cell r="B3">
            <v>79042863.029660702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>
        <row r="3">
          <cell r="B3" t="str">
            <v>Product #2</v>
          </cell>
        </row>
      </sheetData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>
        <row r="3">
          <cell r="B3" t="str">
            <v>Product #2</v>
          </cell>
        </row>
      </sheetData>
      <sheetData sheetId="125" refreshError="1"/>
      <sheetData sheetId="126" refreshError="1"/>
      <sheetData sheetId="127" refreshError="1"/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>
        <row r="3">
          <cell r="B3" t="str">
            <v>Product #2</v>
          </cell>
        </row>
      </sheetData>
      <sheetData sheetId="134" refreshError="1"/>
      <sheetData sheetId="135" refreshError="1"/>
      <sheetData sheetId="136" refreshError="1"/>
      <sheetData sheetId="137">
        <row r="3">
          <cell r="B3" t="str">
            <v>Product #2</v>
          </cell>
        </row>
      </sheetData>
      <sheetData sheetId="138" refreshError="1"/>
      <sheetData sheetId="139" refreshError="1"/>
      <sheetData sheetId="140"/>
      <sheetData sheetId="141">
        <row r="3">
          <cell r="B3">
            <v>0</v>
          </cell>
        </row>
      </sheetData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>
        <row r="3">
          <cell r="B3" t="str">
            <v>NRA form</v>
          </cell>
        </row>
      </sheetData>
      <sheetData sheetId="171">
        <row r="3">
          <cell r="B3">
            <v>0</v>
          </cell>
        </row>
      </sheetData>
      <sheetData sheetId="172">
        <row r="3">
          <cell r="B3" t="str">
            <v>NRA form</v>
          </cell>
        </row>
      </sheetData>
      <sheetData sheetId="173">
        <row r="4">
          <cell r="B4" t="str">
            <v>January</v>
          </cell>
        </row>
      </sheetData>
      <sheetData sheetId="174"/>
      <sheetData sheetId="175">
        <row r="3">
          <cell r="B3">
            <v>0</v>
          </cell>
        </row>
      </sheetData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>
        <row r="3">
          <cell r="B3" t="str">
            <v>Product #2</v>
          </cell>
        </row>
      </sheetData>
      <sheetData sheetId="184">
        <row r="3">
          <cell r="B3" t="str">
            <v>Product #2</v>
          </cell>
        </row>
      </sheetData>
      <sheetData sheetId="185">
        <row r="3">
          <cell r="B3">
            <v>0</v>
          </cell>
        </row>
      </sheetData>
      <sheetData sheetId="186">
        <row r="3">
          <cell r="B3" t="str">
            <v>Product #2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>
            <v>0</v>
          </cell>
        </row>
      </sheetData>
      <sheetData sheetId="196">
        <row r="3">
          <cell r="B3">
            <v>0</v>
          </cell>
        </row>
      </sheetData>
      <sheetData sheetId="197">
        <row r="3">
          <cell r="B3">
            <v>0</v>
          </cell>
        </row>
      </sheetData>
      <sheetData sheetId="198"/>
      <sheetData sheetId="199">
        <row r="3">
          <cell r="B3">
            <v>0</v>
          </cell>
        </row>
      </sheetData>
      <sheetData sheetId="200"/>
      <sheetData sheetId="201">
        <row r="3">
          <cell r="B3">
            <v>0</v>
          </cell>
        </row>
      </sheetData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>
        <row r="3">
          <cell r="B3" t="str">
            <v>Product #2</v>
          </cell>
        </row>
      </sheetData>
      <sheetData sheetId="211">
        <row r="3">
          <cell r="B3" t="str">
            <v>Product #2</v>
          </cell>
        </row>
      </sheetData>
      <sheetData sheetId="212">
        <row r="3">
          <cell r="B3" t="str">
            <v>Product #2</v>
          </cell>
        </row>
      </sheetData>
      <sheetData sheetId="213">
        <row r="3">
          <cell r="B3" t="str">
            <v>NRA form</v>
          </cell>
        </row>
      </sheetData>
      <sheetData sheetId="214">
        <row r="3">
          <cell r="B3" t="str">
            <v>NRA form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>
        <row r="3">
          <cell r="B3" t="str">
            <v>Бренд: Premier</v>
          </cell>
        </row>
      </sheetData>
      <sheetData sheetId="231" refreshError="1"/>
      <sheetData sheetId="232">
        <row r="3">
          <cell r="B3">
            <v>0</v>
          </cell>
        </row>
      </sheetData>
      <sheetData sheetId="233">
        <row r="1">
          <cell r="BO1">
            <v>0</v>
          </cell>
        </row>
      </sheetData>
      <sheetData sheetId="234">
        <row r="1">
          <cell r="BO1">
            <v>0</v>
          </cell>
        </row>
      </sheetData>
      <sheetData sheetId="235">
        <row r="1">
          <cell r="BO1">
            <v>0</v>
          </cell>
        </row>
      </sheetData>
      <sheetData sheetId="236">
        <row r="1">
          <cell r="BO1">
            <v>0</v>
          </cell>
        </row>
      </sheetData>
      <sheetData sheetId="237" refreshError="1"/>
      <sheetData sheetId="238">
        <row r="1">
          <cell r="BO1">
            <v>0</v>
          </cell>
        </row>
      </sheetData>
      <sheetData sheetId="239">
        <row r="1">
          <cell r="BO1">
            <v>0</v>
          </cell>
        </row>
      </sheetData>
      <sheetData sheetId="240">
        <row r="3">
          <cell r="B3">
            <v>0</v>
          </cell>
        </row>
      </sheetData>
      <sheetData sheetId="241">
        <row r="3">
          <cell r="B3" t="str">
            <v>ЗАПОЛНИТЬ</v>
          </cell>
        </row>
      </sheetData>
      <sheetData sheetId="242"/>
      <sheetData sheetId="243">
        <row r="1">
          <cell r="BO1">
            <v>0</v>
          </cell>
        </row>
      </sheetData>
      <sheetData sheetId="244">
        <row r="1">
          <cell r="BO1">
            <v>0</v>
          </cell>
        </row>
      </sheetData>
      <sheetData sheetId="245">
        <row r="3">
          <cell r="B3">
            <v>0</v>
          </cell>
        </row>
      </sheetData>
      <sheetData sheetId="246">
        <row r="3">
          <cell r="B3" t="str">
            <v>ЗАПОЛНИТЬ</v>
          </cell>
        </row>
      </sheetData>
      <sheetData sheetId="247"/>
      <sheetData sheetId="248">
        <row r="1">
          <cell r="BO1">
            <v>0</v>
          </cell>
        </row>
      </sheetData>
      <sheetData sheetId="249">
        <row r="1">
          <cell r="BO1">
            <v>0</v>
          </cell>
        </row>
      </sheetData>
      <sheetData sheetId="250">
        <row r="3">
          <cell r="B3">
            <v>0</v>
          </cell>
        </row>
      </sheetData>
      <sheetData sheetId="251"/>
      <sheetData sheetId="252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1">
          <cell r="C21">
            <v>0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>
        <row r="1">
          <cell r="BO1">
            <v>0</v>
          </cell>
        </row>
      </sheetData>
      <sheetData sheetId="316">
        <row r="1">
          <cell r="BO1">
            <v>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97QUAR"/>
      <sheetName val="DATI"/>
      <sheetName val="OT97QUAR.XLS"/>
      <sheetName val="Grafici Prodotto"/>
      <sheetName val="Grafici Prodotto GRP Alti"/>
      <sheetName val="Modulo1"/>
      <sheetName val="TITOLO"/>
      <sheetName val="TARGET  "/>
      <sheetName val="planning"/>
      <sheetName val="radio comm.li"/>
      <sheetName val="Report Resume"/>
      <sheetName val="Planning Mobile cpm"/>
      <sheetName val="Planning Display cpc"/>
      <sheetName val="Planning SEM"/>
      <sheetName val="Planning Display cpv"/>
      <sheetName val="Planning Videoseeding"/>
      <sheetName val="Planning DEM cpl"/>
      <sheetName val="Foglio1"/>
      <sheetName val="Foglio2"/>
      <sheetName val="Foglio3"/>
      <sheetName val="Foglio4"/>
      <sheetName val="Foglio5"/>
      <sheetName val="radioa rai"/>
      <sheetName val="Form per RDA"/>
      <sheetName val="\@\CIA_ROME_NT_1\DATA\BLU_RM\A-"/>
      <sheetName val="\C\@\CIA_ROME_NT_1\DATA\BLU_RM\"/>
      <sheetName val="Grafici_Prodotto"/>
      <sheetName val="Grafici_Prodotto_GRP_Alti"/>
      <sheetName val="\\CIA_ROME_NT_1\DATA\BLU_RM\A-B"/>
      <sheetName val="\Users\ccojoc01\AppData\Local\M"/>
      <sheetName val="InputSheet"/>
      <sheetName val="\\server.umg\Users\Emes\Downloa"/>
      <sheetName val="madre"/>
      <sheetName val="Società"/>
      <sheetName val="Peer"/>
      <sheetName val="28.9"/>
      <sheetName val="Grafici_Prodotto1"/>
      <sheetName val="Grafici_Prodotto_GRP_Alti1"/>
      <sheetName val="OT97QUAR_XLS"/>
      <sheetName val="TARGET__"/>
      <sheetName val="radio_comm_li"/>
      <sheetName val="Report_Resume"/>
      <sheetName val="Planning_Mobile_cpm"/>
      <sheetName val="Planning_Display_cpc"/>
      <sheetName val="Planning_SEM"/>
      <sheetName val="Planning_Display_cpv"/>
      <sheetName val="Planning_Videoseeding"/>
      <sheetName val="Planning_DEM_cpl"/>
      <sheetName val="radioa_rai"/>
      <sheetName val="Form_per_RDA"/>
      <sheetName val="Grafici_Prodotto2"/>
      <sheetName val="Grafici_Prodotto_GRP_Alti2"/>
      <sheetName val="OT97QUAR_XLS1"/>
      <sheetName val="TARGET__1"/>
      <sheetName val="radio_comm_li1"/>
      <sheetName val="Report_Resume1"/>
      <sheetName val="Planning_Mobile_cpm1"/>
      <sheetName val="Planning_Display_cpc1"/>
      <sheetName val="Planning_SEM1"/>
      <sheetName val="Planning_Display_cpv1"/>
      <sheetName val="Planning_Videoseeding1"/>
      <sheetName val="Planning_DEM_cpl1"/>
      <sheetName val="radioa_rai1"/>
      <sheetName val="Form_per_RDA1"/>
      <sheetName val="Grafici_Prodotto3"/>
      <sheetName val="Grafici_Prodotto_GRP_Alti3"/>
      <sheetName val="OT97QUAR_XLS2"/>
      <sheetName val="TARGET__2"/>
      <sheetName val="radio_comm_li2"/>
      <sheetName val="Report_Resume2"/>
      <sheetName val="Planning_Mobile_cpm2"/>
      <sheetName val="Planning_Display_cpc2"/>
      <sheetName val="Planning_SEM2"/>
      <sheetName val="Planning_Display_cpv2"/>
      <sheetName val="Planning_Videoseeding2"/>
      <sheetName val="Planning_DEM_cpl2"/>
      <sheetName val="radioa_rai2"/>
      <sheetName val="Form_per_RDA2"/>
      <sheetName val="Grafici_Prodotto5"/>
      <sheetName val="Grafici_Prodotto_GRP_Alti5"/>
      <sheetName val="OT97QUAR_XLS4"/>
      <sheetName val="TARGET__4"/>
      <sheetName val="radio_comm_li4"/>
      <sheetName val="Report_Resume4"/>
      <sheetName val="Planning_Mobile_cpm4"/>
      <sheetName val="Planning_Display_cpc4"/>
      <sheetName val="Planning_SEM4"/>
      <sheetName val="Planning_Display_cpv4"/>
      <sheetName val="Planning_Videoseeding4"/>
      <sheetName val="Planning_DEM_cpl4"/>
      <sheetName val="radioa_rai4"/>
      <sheetName val="Form_per_RDA4"/>
      <sheetName val="Grafici_Prodotto4"/>
      <sheetName val="Grafici_Prodotto_GRP_Alti4"/>
      <sheetName val="OT97QUAR_XLS3"/>
      <sheetName val="TARGET__3"/>
      <sheetName val="radio_comm_li3"/>
      <sheetName val="Report_Resume3"/>
      <sheetName val="Planning_Mobile_cpm3"/>
      <sheetName val="Planning_Display_cpc3"/>
      <sheetName val="Planning_SEM3"/>
      <sheetName val="Planning_Display_cpv3"/>
      <sheetName val="Planning_Videoseeding3"/>
      <sheetName val="Planning_DEM_cpl3"/>
      <sheetName val="radioa_rai3"/>
      <sheetName val="Form_per_RDA3"/>
      <sheetName val="Grafici_Prodotto6"/>
      <sheetName val="Grafici_Prodotto_GRP_Alti6"/>
      <sheetName val="OT97QUAR_XLS5"/>
      <sheetName val="TARGET__5"/>
      <sheetName val="radio_comm_li5"/>
      <sheetName val="Report_Resume5"/>
      <sheetName val="Planning_Mobile_cpm5"/>
      <sheetName val="Planning_Display_cpc5"/>
      <sheetName val="Planning_SEM5"/>
      <sheetName val="Planning_Display_cpv5"/>
      <sheetName val="Planning_Videoseeding5"/>
      <sheetName val="Planning_DEM_cpl5"/>
      <sheetName val="radioa_rai5"/>
      <sheetName val="Form_per_RDA5"/>
      <sheetName val="Grafici_Prodotto7"/>
      <sheetName val="Grafici_Prodotto_GRP_Alti7"/>
      <sheetName val="OT97QUAR_XLS6"/>
      <sheetName val="TARGET__6"/>
      <sheetName val="radio_comm_li6"/>
      <sheetName val="Report_Resume6"/>
      <sheetName val="Planning_Mobile_cpm6"/>
      <sheetName val="Planning_Display_cpc6"/>
      <sheetName val="Planning_SEM6"/>
      <sheetName val="Planning_Display_cpv6"/>
      <sheetName val="Planning_Videoseeding6"/>
      <sheetName val="Planning_DEM_cpl6"/>
      <sheetName val="radioa_rai6"/>
      <sheetName val="Form_per_RDA6"/>
      <sheetName val="Grafici_Prodotto8"/>
      <sheetName val="Grafici_Prodotto_GRP_Alti8"/>
      <sheetName val="OT97QUAR_XLS7"/>
      <sheetName val="TARGET__7"/>
      <sheetName val="radio_comm_li7"/>
      <sheetName val="Report_Resume7"/>
      <sheetName val="Planning_Mobile_cpm7"/>
      <sheetName val="Planning_Display_cpc7"/>
      <sheetName val="Planning_SEM7"/>
      <sheetName val="Planning_Display_cpv7"/>
      <sheetName val="Planning_Videoseeding7"/>
      <sheetName val="Planning_DEM_cpl7"/>
      <sheetName val="radioa_rai7"/>
      <sheetName val="Form_per_RDA7"/>
      <sheetName val="Grafici_Prodotto9"/>
      <sheetName val="Grafici_Prodotto_GRP_Alti9"/>
      <sheetName val="OT97QUAR_XLS8"/>
      <sheetName val="TARGET__8"/>
      <sheetName val="radio_comm_li8"/>
      <sheetName val="Report_Resume8"/>
      <sheetName val="Planning_Mobile_cpm8"/>
      <sheetName val="Planning_Display_cpc8"/>
      <sheetName val="Planning_SEM8"/>
      <sheetName val="Planning_Display_cpv8"/>
      <sheetName val="Planning_Videoseeding8"/>
      <sheetName val="Planning_DEM_cpl8"/>
      <sheetName val="radioa_rai8"/>
      <sheetName val="Form_per_RDA8"/>
      <sheetName val="\\APSGAPFS02\Public$\Users\ccoj"/>
      <sheetName val="Grafici_Prodotto10"/>
      <sheetName val="Grafici_Prodotto_GRP_Alti10"/>
      <sheetName val="OT97QUAR_XLS9"/>
      <sheetName val="TARGET__9"/>
      <sheetName val="radio_comm_li9"/>
      <sheetName val="Report_Resume9"/>
      <sheetName val="Planning_Mobile_cpm9"/>
      <sheetName val="Planning_Display_cpc9"/>
      <sheetName val="Planning_SEM9"/>
      <sheetName val="Planning_Display_cpv9"/>
      <sheetName val="Planning_Videoseeding9"/>
      <sheetName val="Planning_DEM_cpl9"/>
      <sheetName val="radioa_rai9"/>
      <sheetName val="Form_per_RDA9"/>
      <sheetName val="Grafici_Prodotto11"/>
      <sheetName val="Grafici_Prodotto_GRP_Alti11"/>
      <sheetName val="OT97QUAR_XLS10"/>
      <sheetName val="TARGET__10"/>
      <sheetName val="radio_comm_li10"/>
      <sheetName val="Report_Resume10"/>
      <sheetName val="Planning_Mobile_cpm10"/>
      <sheetName val="Planning_Display_cpc10"/>
      <sheetName val="Planning_SEM10"/>
      <sheetName val="Planning_Display_cpv10"/>
      <sheetName val="Planning_Videoseeding10"/>
      <sheetName val="Planning_DEM_cpl10"/>
      <sheetName val="radioa_rai10"/>
      <sheetName val="Form_per_RDA10"/>
      <sheetName val="\\etno03\condivisa vittoria\BLU"/>
      <sheetName val="Grafici_Prodotto12"/>
      <sheetName val="Grafici_Prodotto_GRP_Alti12"/>
      <sheetName val="OT97QUAR_XLS11"/>
      <sheetName val="TARGET__11"/>
      <sheetName val="radio_comm_li11"/>
      <sheetName val="Report_Resume11"/>
      <sheetName val="Planning_Mobile_cpm11"/>
      <sheetName val="Planning_Display_cpc11"/>
      <sheetName val="Planning_SEM11"/>
      <sheetName val="Planning_Display_cpv11"/>
      <sheetName val="Planning_Videoseeding11"/>
      <sheetName val="Planning_DEM_cpl11"/>
      <sheetName val="radioa_rai11"/>
      <sheetName val="Form_per_RDA11"/>
      <sheetName val="Grafici_Prodotto13"/>
      <sheetName val="Grafici_Prodotto_GRP_Alti13"/>
      <sheetName val="OT97QUAR_XLS12"/>
      <sheetName val="TARGET__12"/>
      <sheetName val="radio_comm_li12"/>
      <sheetName val="Report_Resume12"/>
      <sheetName val="Planning_Mobile_cpm12"/>
      <sheetName val="Planning_Display_cpc12"/>
      <sheetName val="Planning_SEM12"/>
      <sheetName val="Planning_Display_cpv12"/>
      <sheetName val="Planning_Videoseeding12"/>
      <sheetName val="Planning_DEM_cpl12"/>
      <sheetName val="radioa_rai12"/>
      <sheetName val="Form_per_RDA12"/>
      <sheetName val="Grafici_Prodotto14"/>
      <sheetName val="Grafici_Prodotto_GRP_Alti14"/>
      <sheetName val="OT97QUAR_XLS13"/>
      <sheetName val="TARGET__13"/>
      <sheetName val="radio_comm_li13"/>
      <sheetName val="Report_Resume13"/>
      <sheetName val="Planning_Mobile_cpm13"/>
      <sheetName val="Planning_Display_cpc13"/>
      <sheetName val="Planning_SEM13"/>
      <sheetName val="Planning_Display_cpv13"/>
      <sheetName val="Planning_Videoseeding13"/>
      <sheetName val="Planning_DEM_cpl13"/>
      <sheetName val="radioa_rai13"/>
      <sheetName val="Form_per_RDA13"/>
      <sheetName val="Grafici_Prodotto15"/>
      <sheetName val="Grafici_Prodotto_GRP_Alti15"/>
      <sheetName val="OT97QUAR_XLS14"/>
      <sheetName val="TARGET__14"/>
      <sheetName val="radio_comm_li14"/>
      <sheetName val="Report_Resume14"/>
      <sheetName val="Planning_Mobile_cpm14"/>
      <sheetName val="Planning_Display_cpc14"/>
      <sheetName val="Planning_SEM14"/>
      <sheetName val="Planning_Display_cpv14"/>
      <sheetName val="Planning_Videoseeding14"/>
      <sheetName val="Planning_DEM_cpl14"/>
      <sheetName val="radioa_rai14"/>
      <sheetName val="Form_per_RDA14"/>
      <sheetName val="\\etno03\condivisa_vittoria\BLU"/>
      <sheetName val="Grafici_Prodotto16"/>
      <sheetName val="Grafici_Prodotto_GRP_Alti16"/>
      <sheetName val="OT97QUAR_XLS15"/>
      <sheetName val="TARGET__15"/>
      <sheetName val="radio_comm_li15"/>
      <sheetName val="Report_Resume15"/>
      <sheetName val="Planning_Mobile_cpm15"/>
      <sheetName val="Planning_Display_cpc15"/>
      <sheetName val="Planning_SEM15"/>
      <sheetName val="Planning_Display_cpv15"/>
      <sheetName val="Planning_Videoseeding15"/>
      <sheetName val="Planning_DEM_cpl15"/>
      <sheetName val="radioa_rai15"/>
      <sheetName val="Form_per_RDA15"/>
      <sheetName val="\\etno03\condivisa_vittoria\BL1"/>
      <sheetName val="\\MIL-FPS39\clientimec$\Users\s"/>
      <sheetName val="\Users\bruno.baty\AppData\Local"/>
      <sheetName val="[OT97QUAR.XLS][OT97QUAR.XLS]\@\"/>
      <sheetName val="[OT97QUAR.XLS][OT97QUAR.XLS]\C\"/>
      <sheetName val="[OT97QUAR.XLS][OT97QUAR.XLS]\\C"/>
      <sheetName val="[OT97QUAR.XLS][OT97QUAR.XLS]\Us"/>
      <sheetName val="[OT97QUAR.XLS][OT97QUAR.XLS]\\A"/>
      <sheetName val="[OT97QUAR.XLS][OT97QUAR.XLS]\\s"/>
      <sheetName val="[OT97QUAR.XLS][OT97QUAR.XLS]\\e"/>
      <sheetName val="[OT97QUAR.XLS][OT97QUAR.XLS]\\M"/>
      <sheetName val="[OT97QUAR.XLS][OT97QUAR.XLS][OT"/>
      <sheetName val="\Users\kunleAdebayo\Downloads\C"/>
      <sheetName val="Grafici_Prodotto17"/>
      <sheetName val="Grafici_Prodotto_GRP_Alti17"/>
      <sheetName val="OT97QUAR_XLS16"/>
      <sheetName val="TARGET__16"/>
      <sheetName val="radio_comm_li16"/>
      <sheetName val="Report_Resume16"/>
      <sheetName val="Planning_Mobile_cpm16"/>
      <sheetName val="Planning_Display_cpc16"/>
      <sheetName val="Planning_SEM16"/>
      <sheetName val="Planning_Display_cpv16"/>
      <sheetName val="Planning_Videoseeding16"/>
      <sheetName val="Planning_DEM_cpl16"/>
      <sheetName val="radioa_rai16"/>
      <sheetName val="Form_per_RDA16"/>
      <sheetName val="28_9"/>
      <sheetName val="\\etno03\condivisa_vittoria\BL2"/>
      <sheetName val="[OT97QUAR.XLS]__myoffice_acce_2"/>
      <sheetName val="SitesVermarkter"/>
      <sheetName val="\BLU_RM\A-BLU_RM\SAGIT\QFF\QFF_"/>
      <sheetName val="[OT97QUAR.XLS]\@\CIA_ROME_NT_1\"/>
      <sheetName val="[OT97QUAR.XLS]\C\@\CIA_ROME_NT_"/>
      <sheetName val="[OT97QUAR.XLS]\\CIA_ROME_NT_1\D"/>
      <sheetName val="[OT97QUAR.XLS]\Users\ccojoc01\A"/>
      <sheetName val="[OT97QUAR.XLS]\\APSGAPFS02\Publ"/>
      <sheetName val="[OT97QUAR.XLS]\\server.umg\User"/>
      <sheetName val="[OT97QUAR.XLS]\\etno03\condivis"/>
      <sheetName val="[OT97QUAR.XLS]\\MIL-FPS39\clien"/>
      <sheetName val="[OT97QUAR.XLS]\Users\bruno.baty"/>
      <sheetName val="[OT97QUAR.XLS]\Users\kunleAdeba"/>
      <sheetName val="[OT97QUAR.XLS]//myoffice.accent"/>
      <sheetName val="[OT97QUAR.XLS]\BLU_RM\A-BLU_RM\"/>
      <sheetName val="[OT97QUAR.XLS]__myoffice_acce_3"/>
      <sheetName val="[OT97QUAR.XLS]__myoffice_acce_4"/>
      <sheetName val="[OT97QUAR.XLS]__myoffice_acce_5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[OT97QUAR.XLS]__myoffice_acce_6"/>
      <sheetName val="[OT97QUAR.XLS]__myoffice_acce_7"/>
      <sheetName val="[OT97QUAR.XLS]__myoffice_acc_21"/>
      <sheetName val="[OT97QUAR.XLS]__myoffice_acce_8"/>
      <sheetName val="[OT97QUAR.XLS]__myoffice_acc_13"/>
      <sheetName val="[OT97QUAR.XLS]__myoffice_acc_11"/>
      <sheetName val="[OT97QUAR.XLS]__myoffice_acce_9"/>
      <sheetName val="[OT97QUAR.XLS]__myoffice_acc_10"/>
      <sheetName val="[OT97QUAR.XLS]__myoffice_acc_12"/>
      <sheetName val="[OT97QUAR.XLS]__myoffice_acc_14"/>
      <sheetName val="[OT97QUAR.XLS]__myoffice_acc_17"/>
      <sheetName val="[OT97QUAR.XLS]__myoffice_acc_15"/>
      <sheetName val="[OT97QUAR.XLS]__myoffice_acc_16"/>
      <sheetName val="[OT97QUAR.XLS]__myoffice_acc_18"/>
      <sheetName val="[OT97QUAR.XLS]__myoffice_acc_19"/>
      <sheetName val="[OT97QUAR.XLS]__myoffice_acc_20"/>
      <sheetName val="[OT97QUAR.XLS]__myoffice_acc_23"/>
      <sheetName val="[OT97QUAR.XLS]__myoffice_acc_22"/>
      <sheetName val="[OT97QUAR.XLS]__myoffice_acc_25"/>
      <sheetName val="[OT97QUAR.XLS]__myoffice_acc_24"/>
      <sheetName val="[OT97QUAR.XLS]__myoffice_acc_28"/>
      <sheetName val="[OT97QUAR.XLS]__myoffice_acc_26"/>
      <sheetName val="[OT97QUAR.XLS]__myoffice_acc_27"/>
      <sheetName val="[OT97QUAR.XLS]__myoffice_acc_29"/>
      <sheetName val="[OT97QUAR.XLS]__myoffice_acc_31"/>
      <sheetName val="[OT97QUAR.XLS]__myoffice_acc_30"/>
      <sheetName val="[OT97QUAR.XLS]__myoffice_acc_32"/>
      <sheetName val="[OT97QUAR.XLS]__myoffice_acc_33"/>
      <sheetName val="[OT97QUAR.XLS]__myoffice_acc_34"/>
      <sheetName val="[OT97QUAR.XLS]__myoffice_acc_35"/>
      <sheetName val="[OT97QUAR.XLS]__myoffice_acc_36"/>
      <sheetName val="[OT97QUAR.XLS]__myoffice_acc_37"/>
      <sheetName val="[OT97QUAR.XLS]__myoffice_acc_39"/>
      <sheetName val="[OT97QUAR.XLS]__myoffice_acc_38"/>
      <sheetName val="[OT97QUAR.XLS]__myoffice_acc_40"/>
      <sheetName val="[OT97QUAR.XLS]__myoffice_acc_41"/>
      <sheetName val="[OT97QUAR.XLS]__myoffice_acc_42"/>
      <sheetName val="[OT97QUAR.XLS]__myoffice_acc_43"/>
      <sheetName val="[OT97QUAR.XLS]__myoffice_acc_44"/>
      <sheetName val="[OT97QUAR.XLS]__myoffice_acc_45"/>
      <sheetName val="[OT97QUAR.XLS]__myoffice_acc_46"/>
      <sheetName val="[OT97QUAR.XLS]__myoffice_acc_47"/>
      <sheetName val="[OT97QUAR.XLS]__myoffice_acc_48"/>
      <sheetName val="Grafici_Prodotto18"/>
      <sheetName val="Grafici_Prodotto_GRP_Alti18"/>
      <sheetName val="OT97QUAR_XLS17"/>
      <sheetName val="TARGET__17"/>
      <sheetName val="radio_comm_li17"/>
      <sheetName val="Report_Resume17"/>
      <sheetName val="Planning_Mobile_cpm17"/>
      <sheetName val="Planning_Display_cpc17"/>
      <sheetName val="Planning_SEM17"/>
      <sheetName val="Planning_Display_cpv17"/>
      <sheetName val="Planning_Videoseeding17"/>
      <sheetName val="Planning_DEM_cpl17"/>
      <sheetName val="radioa_rai17"/>
      <sheetName val="Form_per_RDA17"/>
      <sheetName val="\\etno03\condivisa_vittoria\BL3"/>
      <sheetName val="28_91"/>
      <sheetName val="\\server_umg\Users\Emes\Downloa"/>
      <sheetName val="\Users\bruno_baty\AppData\Local"/>
      <sheetName val="[OT97QUAR_XLS][OT97QUAR_XLS]\@\"/>
      <sheetName val="[OT97QUAR_XLS][OT97QUAR_XLS]\C\"/>
      <sheetName val="[OT97QUAR_XLS][OT97QUAR_XLS]\\C"/>
      <sheetName val="[OT97QUAR_XLS][OT97QUAR_XLS]\Us"/>
      <sheetName val="[OT97QUAR_XLS][OT97QUAR_XLS]\\A"/>
      <sheetName val="[OT97QUAR_XLS][OT97QUAR_XLS]\\s"/>
      <sheetName val="[OT97QUAR_XLS][OT97QUAR_XLS]\\e"/>
      <sheetName val="[OT97QUAR_XLS][OT97QUAR_XLS]\\M"/>
      <sheetName val="[OT97QUAR_XLS][OT97QUAR_XLS][OT"/>
      <sheetName val="//myoffice_accenture_com/Users/"/>
      <sheetName val="Grafici_Prodotto19"/>
      <sheetName val="Grafici_Prodotto_GRP_Alti19"/>
      <sheetName val="OT97QUAR_XLS18"/>
      <sheetName val="TARGET__18"/>
      <sheetName val="radio_comm_li18"/>
      <sheetName val="Report_Resume18"/>
      <sheetName val="Planning_Mobile_cpm18"/>
      <sheetName val="Planning_Display_cpc18"/>
      <sheetName val="Planning_SEM18"/>
      <sheetName val="Planning_Display_cpv18"/>
      <sheetName val="Planning_Videoseeding18"/>
      <sheetName val="Planning_DEM_cpl18"/>
      <sheetName val="radioa_rai18"/>
      <sheetName val="Form_per_RDA18"/>
      <sheetName val="\\etno03\condivisa_vittoria\BL4"/>
      <sheetName val="28_92"/>
      <sheetName val="\\server_umg\Users\Emes\Downlo1"/>
      <sheetName val="\Users\bruno_baty\AppData\Loca1"/>
      <sheetName val="[OT97QUAR_XLS][OT97QUAR_XLS]\@1"/>
      <sheetName val="[OT97QUAR_XLS][OT97QUAR_XLS]\C1"/>
      <sheetName val="[OT97QUAR_XLS][OT97QUAR_XLS]\\1"/>
      <sheetName val="[OT97QUAR_XLS][OT97QUAR_XLS]\U1"/>
      <sheetName val="[OT97QUAR_XLS][OT97QUAR_XLS]\\2"/>
      <sheetName val="[OT97QUAR_XLS][OT97QUAR_XLS]\\3"/>
      <sheetName val="[OT97QUAR_XLS][OT97QUAR_XLS]\\4"/>
      <sheetName val="[OT97QUAR_XLS][OT97QUAR_XLS]\\5"/>
      <sheetName val="[OT97QUAR_XLS][OT97QUAR_XLS][O1"/>
      <sheetName val="//myoffice_accenture_com/Users1"/>
      <sheetName val="COPERTINA"/>
      <sheetName val="[OT97QUAR.XLS]__myoffice_acc_49"/>
      <sheetName val="[OT97QUAR.XLS]__myoffice_acc_73"/>
      <sheetName val="MediaPlan Naming Convention"/>
      <sheetName val="MEDIAMOB WHISTELIST"/>
      <sheetName val="PBU WHITELIST VOL"/>
      <sheetName val="PBU WITHELIST DISPLAY"/>
      <sheetName val="PBU VOL"/>
      <sheetName val="TDominio"/>
      <sheetName val="[OT97QUAR.XLS]__unilever_my__31"/>
      <sheetName val="[OT97QUAR.XLS][OT97QUAR.XLS]\BL"/>
      <sheetName val=" FOCUS"/>
      <sheetName val="DONNE"/>
      <sheetName val="PUB"/>
      <sheetName val="RAI"/>
      <sheetName val="[OT97QUAR.XLS]__unilever_my_s_2"/>
      <sheetName val="[OT97QUAR.XLS]__unilever_my_s_3"/>
      <sheetName val="[OT97QUAR.XLS]__unilever_my_s_4"/>
      <sheetName val="[OT97QUAR.XLS]__myoffice_acc_59"/>
      <sheetName val="[OT97QUAR.XLS]__unilever_my__22"/>
      <sheetName val="[OT97QUAR.XLS]__unilever_my_s_5"/>
      <sheetName val="[OT97QUAR.XLS]__unilever_my_s_6"/>
      <sheetName val="[OT97QUAR.XLS]__unilever_my__10"/>
      <sheetName val="[OT97QUAR.XLS]__unilever_my_s_7"/>
      <sheetName val="[OT97QUAR.XLS]__unilever_my_s_8"/>
      <sheetName val="[OT97QUAR.XLS]__unilever_my_s_9"/>
      <sheetName val="[OT97QUAR.XLS]__unilever_my__16"/>
      <sheetName val="[OT97QUAR.XLS]__unilever_my__15"/>
      <sheetName val="[OT97QUAR.XLS]__unilever_my__14"/>
      <sheetName val="[OT97QUAR.XLS]__unilever_my__13"/>
      <sheetName val="[OT97QUAR.XLS]__unilever_my__11"/>
      <sheetName val="[OT97QUAR.XLS]__unilever_my__12"/>
      <sheetName val="[OT97QUAR.XLS]__unilever_my__17"/>
      <sheetName val="[OT97QUAR.XLS]__myoffice_acc_50"/>
      <sheetName val="[OT97QUAR.XLS]__myoffice_acc_53"/>
      <sheetName val="[OT97QUAR.XLS]__myoffice_acc_51"/>
      <sheetName val="[OT97QUAR.XLS]__myoffice_acc_52"/>
      <sheetName val="[OT97QUAR.XLS]__myoffice_acc_54"/>
      <sheetName val="[OT97QUAR.XLS]__myoffice_acc_57"/>
      <sheetName val="[OT97QUAR.XLS]__unilever_my__20"/>
      <sheetName val="[OT97QUAR.XLS]__myoffice_acc_55"/>
      <sheetName val="[OT97QUAR.XLS]__unilever_my__18"/>
      <sheetName val="[OT97QUAR.XLS]__myoffice_acc_56"/>
      <sheetName val="[OT97QUAR.XLS]__unilever_my__19"/>
      <sheetName val="[OT97QUAR.XLS]__myoffice_acc_58"/>
      <sheetName val="[OT97QUAR.XLS]__unilever_my__21"/>
      <sheetName val="[OT97QUAR.XLS]__myoffice_acc_60"/>
      <sheetName val="[OT97QUAR.XLS]__unilever_my__23"/>
      <sheetName val="[OT97QUAR.XLS]__myoffice_acc_61"/>
      <sheetName val="[OT97QUAR.XLS]__myoffice_acc_62"/>
      <sheetName val="[OT97QUAR.XLS]__unilever_my__25"/>
      <sheetName val="[OT97QUAR.XLS]__unilever_my__24"/>
      <sheetName val="[OT97QUAR.XLS]__myoffice_acc_63"/>
      <sheetName val="[OT97QUAR.XLS]__unilever_my__26"/>
      <sheetName val="[OT97QUAR.XLS]__myoffice_acc_64"/>
      <sheetName val="[OT97QUAR.XLS]__unilever_my__27"/>
      <sheetName val="[OT97QUAR.XLS]__myoffice_acc_66"/>
      <sheetName val="[OT97QUAR.XLS]__myoffice_acc_65"/>
      <sheetName val="[OT97QUAR.XLS]__myoffice_acc_67"/>
      <sheetName val="[OT97QUAR.XLS]__myoffice_acc_68"/>
      <sheetName val="[OT97QUAR.XLS]__myoffice_acc_69"/>
      <sheetName val="[OT97QUAR.XLS]__myoffice_acc_71"/>
      <sheetName val="[OT97QUAR.XLS]__unilever_my__29"/>
      <sheetName val="[OT97QUAR.XLS]__myoffice_acc_70"/>
      <sheetName val="[OT97QUAR.XLS]__unilever_my__28"/>
      <sheetName val="[OT97QUAR.XLS]__myoffice_acc_72"/>
      <sheetName val="[OT97QUAR.XLS]__unilever_my__30"/>
      <sheetName val="[OT97QUAR.XLS]__myoffice_acc_74"/>
      <sheetName val="[OT97QUAR.XLS]__unilever_my__32"/>
      <sheetName val="[OT97QUAR.XLS]__myoffice_acc_78"/>
      <sheetName val="[OT97QUAR.XLS]__myoffice_acc_75"/>
      <sheetName val="[OT97QUAR.XLS]__unilever_my__33"/>
      <sheetName val="[OT97QUAR.XLS]__myoffice_acc_76"/>
      <sheetName val="[OT97QUAR.XLS]__myoffice_acc_77"/>
      <sheetName val="[OT97QUAR.XLS]__unilever_my__34"/>
      <sheetName val="[OT97QUAR.XLS]__myoffice_acc_80"/>
      <sheetName val="[OT97QUAR.XLS]__myoffice_acc_79"/>
      <sheetName val="[OT97QUAR.XLS]__myoffice_acc_81"/>
      <sheetName val="[OT97QUAR.XLS]__unilever_my__36"/>
      <sheetName val="[OT97QUAR.XLS]__unilever_my__35"/>
      <sheetName val="[OT97QUAR.XLS]__myoffice_acc_82"/>
      <sheetName val="[OT97QUAR.XLS]__unilever_my__38"/>
      <sheetName val="[OT97QUAR.XLS]__unilever_my__37"/>
      <sheetName val="[OT97QUAR.XLS]__myoffice_acc_83"/>
      <sheetName val="[OT97QUAR.XLS]__unilever_my__39"/>
      <sheetName val="[OT97QUAR.XLS]__myoffice_acc_86"/>
      <sheetName val="[OT97QUAR.XLS]__myoffice_acc_84"/>
      <sheetName val="[OT97QUAR.XLS]__myoffice_acc_85"/>
      <sheetName val="[OT97QUAR.XLS]__myoffice_acc_87"/>
      <sheetName val="[OT97QUAR.XLS]__unilever_my__40"/>
      <sheetName val="[OT97QUAR.XLS]__myoffice_acc_92"/>
      <sheetName val="[OT97QUAR.XLS]__unilever_my__48"/>
      <sheetName val="[OT97QUAR.XLS]__unilever_my__41"/>
      <sheetName val="[OT97QUAR.XLS]__myoffice_acc_88"/>
      <sheetName val="[OT97QUAR.XLS]__unilever_my__44"/>
      <sheetName val="[OT97QUAR.XLS]__unilever_my__42"/>
      <sheetName val="[OT97QUAR.XLS]__unilever_my__43"/>
      <sheetName val="[OT97QUAR.XLS]__myoffice_acc_89"/>
      <sheetName val="[OT97QUAR.XLS]__unilever_my__45"/>
      <sheetName val="[OT97QUAR.XLS]__myoffice_acc_90"/>
      <sheetName val="[OT97QUAR.XLS]__unilever_my__46"/>
      <sheetName val="[OT97QUAR.XLS]__myoffice_acc_91"/>
      <sheetName val="[OT97QUAR.XLS]__unilever_my__47"/>
      <sheetName val="[OT97QUAR.XLS]__myoffice_acc_93"/>
      <sheetName val="[OT97QUAR.XLS]__myoffice_acc_94"/>
      <sheetName val="[OT97QUAR.XLS]__myoffice_acc_96"/>
      <sheetName val="[OT97QUAR.XLS]__myoffice_acc_95"/>
      <sheetName val="[OT97QUAR.XLS]__myoffice_acc_97"/>
      <sheetName val="[OT97QUAR.XLS]__myoffice_acc_99"/>
      <sheetName val="[OT97QUAR.XLS]__myoffice_acc_98"/>
      <sheetName val="[OT97QUAR.XLS]__myoffice_ac_100"/>
      <sheetName val="[OT97QUAR.XLS]__myoffice_ac_101"/>
      <sheetName val="[OT97QUAR.XLS]__myoffice_ac_102"/>
      <sheetName val="[OT97QUAR.XLS]__myoffice_ac_103"/>
      <sheetName val="[OT97QUAR.XLS]__myoffice_ac_131"/>
      <sheetName val="[OT97QUAR.XLS]__unilever_my__85"/>
      <sheetName val="[OT97QUAR.XLS]__unilever_my__49"/>
      <sheetName val="[OT97QUAR.XLS]__unilever_my__51"/>
      <sheetName val="[OT97QUAR.XLS]__unilever_my__50"/>
      <sheetName val="[OT97QUAR.XLS]__unilever_my__53"/>
      <sheetName val="[OT97QUAR.XLS]__unilever_my__52"/>
      <sheetName val="[OT97QUAR.XLS]__unilever_my__54"/>
      <sheetName val="[OT97QUAR.XLS]__unilever_my__57"/>
      <sheetName val="[OT97QUAR.XLS]__unilever_my__56"/>
      <sheetName val="[OT97QUAR.XLS]__unilever_my__55"/>
      <sheetName val="[OT97QUAR.XLS]__myoffice_ac_104"/>
      <sheetName val="[OT97QUAR.XLS]__unilever_my__59"/>
      <sheetName val="[OT97QUAR.XLS]__unilever_my__58"/>
      <sheetName val="[OT97QUAR.XLS]__myoffice_ac_105"/>
      <sheetName val="[OT97QUAR.XLS]__unilever_my__60"/>
      <sheetName val="[OT97QUAR.XLS]__myoffice_ac_107"/>
      <sheetName val="[OT97QUAR.XLS]__unilever_my__62"/>
      <sheetName val="[OT97QUAR.XLS]__myoffice_ac_106"/>
      <sheetName val="[OT97QUAR.XLS]__unilever_my__61"/>
      <sheetName val="[OT97QUAR.XLS]__myoffice_ac_110"/>
      <sheetName val="[OT97QUAR.XLS]__unilever_my__64"/>
      <sheetName val="[OT97QUAR.XLS]__myoffice_ac_108"/>
      <sheetName val="[OT97QUAR.XLS]__unilever_my__63"/>
      <sheetName val="[OT97QUAR.XLS]__myoffice_ac_109"/>
      <sheetName val="[OT97QUAR.XLS]__myoffice_ac_111"/>
      <sheetName val="[OT97QUAR.XLS]__myoffice_ac_118"/>
      <sheetName val="[OT97QUAR.XLS]__unilever_my__65"/>
      <sheetName val="[OT97QUAR.XLS]__myoffice_ac_113"/>
      <sheetName val="[OT97QUAR.XLS]__unilever_my__67"/>
      <sheetName val="[OT97QUAR.XLS]__myoffice_ac_112"/>
      <sheetName val="[OT97QUAR.XLS]__unilever_my__66"/>
      <sheetName val="[OT97QUAR.XLS]__myoffice_ac_114"/>
      <sheetName val="[OT97QUAR.XLS]__unilever_my__68"/>
      <sheetName val="[OT97QUAR.XLS]__myoffice_ac_115"/>
      <sheetName val="[OT97QUAR.XLS]__unilever_my__69"/>
      <sheetName val="[OT97QUAR.XLS]__myoffice_ac_116"/>
      <sheetName val="[OT97QUAR.XLS]__myoffice_ac_117"/>
      <sheetName val="[OT97QUAR.XLS]__myoffice_ac_119"/>
      <sheetName val="[OT97QUAR.XLS]__unilever_my__70"/>
      <sheetName val="[OT97QUAR.XLS]__myoffice_ac_121"/>
      <sheetName val="[OT97QUAR.XLS]__unilever_my__72"/>
      <sheetName val="[OT97QUAR.XLS]__myoffice_ac_120"/>
      <sheetName val="[OT97QUAR.XLS]__unilever_my__71"/>
      <sheetName val="[OT97QUAR.XLS]__unilever_my__73"/>
      <sheetName val="[OT97QUAR.XLS]__unilever_my__74"/>
      <sheetName val="[OT97QUAR.XLS]__unilever_my__75"/>
      <sheetName val="[OT97QUAR.XLS]__myoffice_ac_124"/>
      <sheetName val="[OT97QUAR.XLS]__unilever_my__78"/>
      <sheetName val="[OT97QUAR.XLS]__myoffice_ac_122"/>
      <sheetName val="[OT97QUAR.XLS]__unilever_my__76"/>
      <sheetName val="[OT97QUAR.XLS]__myoffice_ac_123"/>
      <sheetName val="[OT97QUAR.XLS]__unilever_my__77"/>
      <sheetName val="[OT97QUAR.XLS]__myoffice_ac_125"/>
      <sheetName val="[OT97QUAR.XLS]__unilever_my__79"/>
      <sheetName val="[OT97QUAR.XLS]__myoffice_ac_126"/>
      <sheetName val="[OT97QUAR.XLS]__unilever_my__80"/>
      <sheetName val="[OT97QUAR.XLS]__myoffice_ac_127"/>
      <sheetName val="[OT97QUAR.XLS]__unilever_my__81"/>
      <sheetName val="[OT97QUAR.XLS]__myoffice_ac_130"/>
      <sheetName val="[OT97QUAR.XLS]__unilever_my__84"/>
      <sheetName val="[OT97QUAR.XLS]__myoffice_ac_129"/>
      <sheetName val="[OT97QUAR.XLS]__unilever_my__83"/>
      <sheetName val="[OT97QUAR.XLS]__myoffice_ac_128"/>
      <sheetName val="[OT97QUAR.XLS]__unilever_my__82"/>
      <sheetName val="[OT97QUAR.XLS]__myoffice_ac_132"/>
      <sheetName val="[OT97QUAR.XLS]__unilever_my__86"/>
      <sheetName val="[OT97QUAR.XLS]__myoffice_ac_133"/>
      <sheetName val="[OT97QUAR.XLS]__unilever_my__87"/>
      <sheetName val="[OT97QUAR.XLS]__myoffice_ac_134"/>
      <sheetName val="[OT97QUAR.XLS]__unilever_my__88"/>
      <sheetName val="[OT97QUAR.XLS]__myoffice_ac_135"/>
      <sheetName val="[OT97QUAR.XLS]__unilever_my__89"/>
      <sheetName val="[OT97QUAR.XLS]__myoffice_ac_137"/>
      <sheetName val="[OT97QUAR.XLS]__unilever_my__91"/>
      <sheetName val="[OT97QUAR.XLS]__myoffice_ac_136"/>
      <sheetName val="[OT97QUAR.XLS]__unilever_my__90"/>
      <sheetName val="[OT97QUAR.XLS]__myoffice_ac_138"/>
      <sheetName val="[OT97QUAR.XLS]__unilever_my__92"/>
      <sheetName val="[OT97QUAR.XLS]__myoffice_ac_141"/>
      <sheetName val="[OT97QUAR.XLS]__unilever_my__95"/>
      <sheetName val="[OT97QUAR.XLS]__myoffice_ac_140"/>
      <sheetName val="[OT97QUAR.XLS]__unilever_my__94"/>
      <sheetName val="[OT97QUAR.XLS]__myoffice_ac_139"/>
      <sheetName val="[OT97QUAR.XLS]__unilever_my__93"/>
      <sheetName val="[OT97QUAR.XLS]__myoffice_ac_142"/>
      <sheetName val="[OT97QUAR.XLS]__unilever_my__96"/>
      <sheetName val="[OT97QUAR.XLS]__myoffice_ac_147"/>
      <sheetName val="[OT97QUAR.XLS]__unilever_my_101"/>
      <sheetName val="[OT97QUAR.XLS]__myoffice_ac_143"/>
      <sheetName val="[OT97QUAR.XLS]__unilever_my__97"/>
      <sheetName val="[OT97QUAR.XLS]__myoffice_ac_144"/>
      <sheetName val="[OT97QUAR.XLS]__unilever_my__98"/>
      <sheetName val="[OT97QUAR.XLS]__myoffice_ac_145"/>
      <sheetName val="[OT97QUAR.XLS]__unilever_my__99"/>
      <sheetName val="[OT97QUAR.XLS]__myoffice_ac_146"/>
      <sheetName val="[OT97QUAR.XLS]__unilever_my_100"/>
      <sheetName val="[OT97QUAR.XLS]__myoffice_ac_148"/>
      <sheetName val="[OT97QUAR.XLS]__myoffice_ac_149"/>
      <sheetName val="//globalappsportal-my.sharepoin"/>
      <sheetName val="[OT97QUAR.XLS]__myoffice_ac_150"/>
      <sheetName val="[OT97QUAR.XLS]__myoffice_ac_163"/>
      <sheetName val="[OT97QUAR.XLS]__unilever_my_133"/>
      <sheetName val="[OT97QUAR.XLS]__unilever_my_102"/>
      <sheetName val="[OT97QUAR.XLS]__unilever_my_103"/>
      <sheetName val="[OT97QUAR.XLS]__myoffice_ac_151"/>
      <sheetName val="[OT97QUAR.XLS]__unilever_my_105"/>
      <sheetName val="[OT97QUAR.XLS]__unilever_my_104"/>
      <sheetName val="[OT97QUAR.XLS]__myoffice_ac_152"/>
      <sheetName val="[OT97QUAR.XLS]__unilever_my_106"/>
      <sheetName val="[OT97QUAR.XLS]__myoffice_ac_155"/>
      <sheetName val="[OT97QUAR.XLS]__unilever_my_109"/>
      <sheetName val="[OT97QUAR.XLS]__myoffice_ac_154"/>
      <sheetName val="[OT97QUAR.XLS]__unilever_my_108"/>
      <sheetName val="[OT97QUAR.XLS]__myoffice_ac_153"/>
      <sheetName val="[OT97QUAR.XLS]__unilever_my_107"/>
      <sheetName val="[OT97QUAR.XLS]__unilever_my_125"/>
      <sheetName val="/CIA_ROME_NT_1/DATA/BLU_RM/A-BL"/>
      <sheetName val="[OT97QUAR.XLS]__unilever_my_110"/>
      <sheetName val="[OT97QUAR.XLS]__unilever_my_112"/>
      <sheetName val="[OT97QUAR.XLS]__unilever_my_111"/>
      <sheetName val="[OT97QUAR.XLS]__unilever_my_113"/>
      <sheetName val="[OT97QUAR.XLS]__unilever_my_117"/>
      <sheetName val="[OT97QUAR.XLS]__unilever_my_114"/>
      <sheetName val="[OT97QUAR.XLS]__unilever_my_115"/>
      <sheetName val="[OT97QUAR.XLS]__unilever_my_116"/>
      <sheetName val="[OT97QUAR.XLS]__unilever_my_118"/>
      <sheetName val="[OT97QUAR.XLS]__unilever_my_119"/>
      <sheetName val="[OT97QUAR.XLS]__unilever_my_120"/>
      <sheetName val="[OT97QUAR.XLS]__unilever_my_121"/>
      <sheetName val="[OT97QUAR.XLS]__unilever_my_123"/>
      <sheetName val="[OT97QUAR.XLS]__unilever_my_122"/>
      <sheetName val="[OT97QUAR.XLS]__unilever_my_124"/>
      <sheetName val="[OT97QUAR.XLS]__myoffice_ac_156"/>
      <sheetName val="[OT97QUAR.XLS]__unilever_my_126"/>
      <sheetName val="[OT97QUAR.XLS]__myoffice_ac_157"/>
      <sheetName val="[OT97QUAR.XLS]__unilever_my_127"/>
      <sheetName val="[OT97QUAR.XLS]__myoffice_ac_159"/>
      <sheetName val="[OT97QUAR.XLS]__unilever_my_129"/>
      <sheetName val="[OT97QUAR.XLS]__myoffice_ac_158"/>
      <sheetName val="[OT97QUAR.XLS]__unilever_my_128"/>
      <sheetName val="[OT97QUAR.XLS]__myoffice_ac_161"/>
      <sheetName val="[OT97QUAR.XLS]__unilever_my_131"/>
      <sheetName val="[OT97QUAR.XLS]__myoffice_ac_160"/>
      <sheetName val="[OT97QUAR.XLS]__unilever_my_130"/>
      <sheetName val="[OT97QUAR.XLS]__myoffice_ac_162"/>
      <sheetName val="[OT97QUAR.XLS]__unilever_my_132"/>
      <sheetName val="_@_CIA_ROME_NT_1_DATA_BLU_RM_A-"/>
      <sheetName val="_C_@_CIA_ROME_NT_1_DATA_BLU_RM_"/>
      <sheetName val="__CIA_ROME_NT_1_DATA_BLU_RM_A-B"/>
      <sheetName val="_Users_ccojoc01_AppData_Local_M"/>
      <sheetName val="__APSGAPFS02_Public$_Users_ccoj"/>
      <sheetName val="__etno03_condivisa vittoria_BLU"/>
      <sheetName val="[OT97QUAR.XLS]__myoffice_ac_164"/>
      <sheetName val="[OT97QUAR.XLS]__unilever_my_134"/>
      <sheetName val="[OT97QUAR.XLS]__myoffice_ac_173"/>
      <sheetName val="[OT97QUAR.XLS]__unilever_my_143"/>
      <sheetName val="[OT97QUAR.XLS]__myoffice_ac_172"/>
      <sheetName val="[OT97QUAR.XLS]__unilever_my_142"/>
      <sheetName val="[OT97QUAR.XLS]__myoffice_ac_165"/>
      <sheetName val="[OT97QUAR.XLS]__unilever_my_135"/>
      <sheetName val="[OT97QUAR.XLS]__myoffice_ac_166"/>
      <sheetName val="[OT97QUAR.XLS]__unilever_my_136"/>
      <sheetName val="[OT97QUAR.XLS]__myoffice_ac_167"/>
      <sheetName val="[OT97QUAR.XLS]__unilever_my_137"/>
      <sheetName val="[OT97QUAR.XLS]__myoffice_ac_168"/>
      <sheetName val="[OT97QUAR.XLS]__unilever_my_138"/>
      <sheetName val="[OT97QUAR.XLS]__myoffice_ac_169"/>
      <sheetName val="[OT97QUAR.XLS]__unilever_my_139"/>
      <sheetName val="[OT97QUAR.XLS]__myoffice_ac_170"/>
      <sheetName val="[OT97QUAR.XLS]__unilever_my_140"/>
      <sheetName val="[OT97QUAR.XLS]__myoffice_ac_171"/>
      <sheetName val="[OT97QUAR.XLS]__unilever_my_141"/>
      <sheetName val="[OT97QUAR.XLS]__myoffice_ac_174"/>
      <sheetName val="[OT97QUAR.XLS]__unilever_my_144"/>
      <sheetName val="[OT97QUAR.XLS]__myoffice_ac_175"/>
      <sheetName val="[OT97QUAR.XLS]__unilever_my_145"/>
      <sheetName val="[OT97QUAR.XLS]__myoffice_ac_189"/>
      <sheetName val="[OT97QUAR.XLS]__unilever_my_159"/>
      <sheetName val="[OT97QUAR.XLS]__myoffice_ac_176"/>
      <sheetName val="[OT97QUAR.XLS]__unilever_my_146"/>
      <sheetName val="[OT97QUAR.XLS]__myoffice_ac_177"/>
      <sheetName val="[OT97QUAR.XLS]__unilever_my_147"/>
      <sheetName val="[OT97QUAR.XLS]__myoffice_ac_178"/>
      <sheetName val="[OT97QUAR.XLS]__unilever_my_148"/>
      <sheetName val="[OT97QUAR.XLS]__myoffice_ac_179"/>
      <sheetName val="[OT97QUAR.XLS]__unilever_my_149"/>
      <sheetName val="[OT97QUAR.XLS]__myoffice_ac_180"/>
      <sheetName val="[OT97QUAR.XLS]__unilever_my_150"/>
      <sheetName val="[OT97QUAR.XLS]__myoffice_ac_181"/>
      <sheetName val="[OT97QUAR.XLS]__unilever_my_151"/>
      <sheetName val="[OT97QUAR.XLS]__myoffice_ac_182"/>
      <sheetName val="[OT97QUAR.XLS]__unilever_my_152"/>
      <sheetName val="[OT97QUAR.XLS]__myoffice_ac_183"/>
      <sheetName val="[OT97QUAR.XLS]__unilever_my_153"/>
      <sheetName val="[OT97QUAR.XLS]__myoffice_ac_185"/>
      <sheetName val="[OT97QUAR.XLS]__unilever_my_155"/>
      <sheetName val="[OT97QUAR.XLS]__myoffice_ac_184"/>
      <sheetName val="[OT97QUAR.XLS]__unilever_my_154"/>
      <sheetName val="[OT97QUAR.XLS]__myoffice_ac_187"/>
      <sheetName val="[OT97QUAR.XLS]__unilever_my_157"/>
      <sheetName val="[OT97QUAR.XLS]__myoffice_ac_186"/>
      <sheetName val="[OT97QUAR.XLS]__unilever_my_156"/>
      <sheetName val="[OT97QUAR.XLS]__myoffice_ac_188"/>
      <sheetName val="[OT97QUAR.XLS]__unilever_my_158"/>
      <sheetName val="[OT97QUAR.XLS]__myoffice_ac_191"/>
      <sheetName val="[OT97QUAR.XLS]__unilever_my_161"/>
      <sheetName val="[OT97QUAR.XLS]__myoffice_ac_190"/>
      <sheetName val="[OT97QUAR.XLS]__unilever_my_160"/>
      <sheetName val="[OT97QUAR.XLS]__myoffice_ac_192"/>
      <sheetName val="[OT97QUAR.XLS]__unilever_my_162"/>
      <sheetName val="[OT97QUAR.XLS]__myoffice_ac_193"/>
      <sheetName val="[OT97QUAR.XLS]__unilever_my_163"/>
      <sheetName val="[OT97QUAR.XLS]__myoffice_ac_194"/>
      <sheetName val="[OT97QUAR.XLS]__unilever_my_164"/>
      <sheetName val="[OT97QUAR.XLS]__myoffice_ac_195"/>
      <sheetName val="[OT97QUAR.XLS]__unilever_my_165"/>
      <sheetName val="[OT97QUAR.XLS]__myoffice_ac_196"/>
      <sheetName val="[OT97QUAR.XLS]__unilever_my_166"/>
      <sheetName val="[OT97QUAR.XLS]__myoffice_ac_197"/>
      <sheetName val="[OT97QUAR.XLS]__unilever_my_167"/>
      <sheetName val="[OT97QUAR.XLS]__myoffice_ac_198"/>
      <sheetName val="__server.umg_Users_Emes_Downloa"/>
      <sheetName val="[OT97QUAR.XLS]__myoffice_ac_199"/>
      <sheetName val="[OT97QUAR.XLS]__myoffice_ac_200"/>
      <sheetName val="[OT97QUAR.XLS]__myoffice_ac_201"/>
      <sheetName val="[OT97QUAR.XLS]__myoffice_ac_202"/>
      <sheetName val="[OT97QUAR.XLS]__unilever_my_169"/>
      <sheetName val="[OT97QUAR.XLS]__unilever_my_168"/>
      <sheetName val="[OT97QUAR.XLS]__unilever_my_170"/>
      <sheetName val="[OT97QUAR.XLS]__unilever_my_171"/>
      <sheetName val="[OT97QUAR.XLS]__unilever_my_172"/>
      <sheetName val="[OT97QUAR.XLS]__myoffice_ac_203"/>
      <sheetName val="[OT97QUAR.XLS]__unilever_my_173"/>
      <sheetName val="[OT97QUAR.XLS]__myoffice_ac_204"/>
      <sheetName val="[OT97QUAR.XLS]__unilever_my_174"/>
      <sheetName val="[OT97QUAR.XLS]__myoffice_ac_205"/>
      <sheetName val="[OT97QUAR.XLS]__unilever_my_175"/>
      <sheetName val="[OT97QUAR.XLS]__myoffice_ac_210"/>
      <sheetName val="[OT97QUAR.XLS]__unilever_my_180"/>
      <sheetName val="[OT97QUAR.XLS]__myoffice_ac_206"/>
      <sheetName val="[OT97QUAR.XLS]__unilever_my_176"/>
      <sheetName val="[OT97QUAR.XLS]__myoffice_ac_207"/>
      <sheetName val="[OT97QUAR.XLS]__unilever_my_177"/>
      <sheetName val="[OT97QUAR.XLS]__myoffice_ac_208"/>
      <sheetName val="[OT97QUAR.XLS]__unilever_my_178"/>
      <sheetName val="[OT97QUAR.XLS]__myoffice_ac_209"/>
      <sheetName val="[OT97QUAR.XLS]__unilever_my_179"/>
      <sheetName val="[OT97QUAR.XLS]__myoffice_ac_214"/>
      <sheetName val="[OT97QUAR.XLS]__unilever_my_184"/>
      <sheetName val="[OT97QUAR.XLS]__myoffice_ac_211"/>
      <sheetName val="[OT97QUAR.XLS]__unilever_my_181"/>
      <sheetName val="[OT97QUAR.XLS]__myoffice_ac_212"/>
      <sheetName val="[OT97QUAR.XLS]__unilever_my_182"/>
      <sheetName val="[OT97QUAR.XLS]__myoffice_ac_213"/>
      <sheetName val="[OT97QUAR.XLS]__unilever_my_183"/>
      <sheetName val="[OT97QUAR.XLS]__myoffice_ac_215"/>
      <sheetName val="[OT97QUAR.XLS]__unilever_my_185"/>
      <sheetName val="[OT97QUAR.XLS]__myoffice_ac_216"/>
      <sheetName val="[OT97QUAR.XLS]__unilever_my_186"/>
      <sheetName val="[OT97QUAR.XLS]__myoffice_ac_217"/>
      <sheetName val="[OT97QUAR.XLS]__unilever_my_187"/>
      <sheetName val="[OT97QUAR.XLS]__myoffice_ac_218"/>
      <sheetName val="[OT97QUAR.XLS]__unilever_my_188"/>
      <sheetName val="[OT97QUAR.XLS]__myoffice_ac_219"/>
      <sheetName val="[OT97QUAR.XLS]__unilever_my_189"/>
      <sheetName val="[OT97QUAR.XLS]__myoffice_ac_232"/>
      <sheetName val="[OT97QUAR.XLS]__unilever_my_202"/>
      <sheetName val="[OT97QUAR.XLS]__myoffice_ac_220"/>
      <sheetName val="[OT97QUAR.XLS]__unilever_my_190"/>
      <sheetName val="[OT97QUAR.XLS]__myoffice_ac_221"/>
      <sheetName val="[OT97QUAR.XLS]__unilever_my_191"/>
      <sheetName val="[OT97QUAR.XLS]__myoffice_ac_223"/>
      <sheetName val="[OT97QUAR.XLS]__unilever_my_193"/>
      <sheetName val="[OT97QUAR.XLS]__myoffice_ac_222"/>
      <sheetName val="[OT97QUAR.XLS]__unilever_my_192"/>
      <sheetName val="[OT97QUAR.XLS]__myoffice_ac_224"/>
      <sheetName val="[OT97QUAR.XLS]__unilever_my_194"/>
      <sheetName val="[OT97QUAR.XLS]__myoffice_ac_225"/>
      <sheetName val="[OT97QUAR.XLS]__unilever_my_195"/>
      <sheetName val="[OT97QUAR.XLS]__myoffice_ac_226"/>
      <sheetName val="[OT97QUAR.XLS]__unilever_my_196"/>
      <sheetName val="[OT97QUAR.XLS]___CIA_ROME_NT__2"/>
      <sheetName val="[OT97QUAR.XLS]_C___CIA_ROME_N_2"/>
      <sheetName val="[OT97QUAR.XLS]__CIA_ROME_NT_1_2"/>
      <sheetName val="[OT97QUAR.XLS]_Users_ccojoc01_2"/>
      <sheetName val="[OT97QUAR.XLS]__APSGAPFS02_Pu_2"/>
      <sheetName val="[OT97QUAR.XLS]__etno03_condiv_2"/>
      <sheetName val="[OT97QUAR.XLS]__etno03_condiv_3"/>
      <sheetName val="[OT97QUAR.XLS]__etno03_condiv_4"/>
      <sheetName val="[OT97QUAR.XLS]__MIL_FPS39_cli_2"/>
      <sheetName val="[OT97QUAR.XLS]__server_umg_Us_2"/>
      <sheetName val="[OT97QUAR.XLS]_Users_bruno_ba_2"/>
      <sheetName val="[OT97QUAR.XLS][OT97QUAR.XLS]__2"/>
      <sheetName val="[OT97QUAR.XLS][OT97QUAR.XLS]__3"/>
      <sheetName val="[OT97QUAR.XLS][OT97QUAR.XLS]__4"/>
      <sheetName val="[OT97QUAR.XLS][OT97QUAR.XLS]__5"/>
      <sheetName val="[OT97QUAR.XLS][OT97QUAR.XLS]__6"/>
      <sheetName val="[OT97QUAR.XLS][OT97QUAR.XLS]__7"/>
      <sheetName val="[OT97QUAR.XLS][OT97QUAR.XLS]__8"/>
      <sheetName val="[OT97QUAR.XLS][OT97QUAR.XLS]__9"/>
      <sheetName val="[OT97QUAR.XLS]_Users_kunleAde_2"/>
      <sheetName val="[OT97QUAR.XLS]__etno03_condiv_5"/>
      <sheetName val="BASE DATI REPORT_WM"/>
      <sheetName val="matrixvars"/>
      <sheetName val="[OT97QUAR.XLS]__myoffice_ac_227"/>
      <sheetName val="[OT97QUAR.XLS]__unilever_my_197"/>
      <sheetName val="[OT97QUAR.XLS]__myoffice_ac_228"/>
      <sheetName val="[OT97QUAR.XLS]__unilever_my_198"/>
      <sheetName val="[OT97QUAR.XLS]__myoffice_ac_230"/>
      <sheetName val="[OT97QUAR.XLS]__unilever_my_200"/>
      <sheetName val="[OT97QUAR.XLS]__myoffice_ac_229"/>
      <sheetName val="[OT97QUAR.XLS]__unilever_my_199"/>
      <sheetName val="[OT97QUAR.XLS]__myoffice_ac_231"/>
      <sheetName val="[OT97QUAR.XLS]__unilever_my_201"/>
      <sheetName val="[OT97QUAR.XLS]__myoffice_ac_234"/>
      <sheetName val="[OT97QUAR.XLS]__unilever_my_204"/>
      <sheetName val="[OT97QUAR.XLS]__myoffice_ac_233"/>
      <sheetName val="[OT97QUAR.XLS]__unilever_my_203"/>
      <sheetName val="[OT97QUAR.XLS]__myoffice_ac_235"/>
      <sheetName val="[OT97QUAR.XLS]__unilever_my_205"/>
      <sheetName val="[OT97QUAR.XLS]__myoffice_ac_236"/>
      <sheetName val="[OT97QUAR.XLS]__unilever_my_206"/>
      <sheetName val="[OT97QUAR.XLS]__myoffice_ac_237"/>
      <sheetName val="[OT97QUAR.XLS]__unilever_my_207"/>
      <sheetName val="[OT97QUAR.XLS]__myoffice_ac_238"/>
      <sheetName val="[OT97QUAR.XLS]__unilever_my_208"/>
    </sheetNames>
    <definedNames>
      <definedName name="Alti"/>
      <definedName name="normal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 RMB"/>
      <sheetName val="TOTALE CINEMA"/>
      <sheetName val="CINEMA SIPRA"/>
      <sheetName val="CINEMA OPUS"/>
      <sheetName val="lettera superato"/>
      <sheetName val="lettera conferma SIPRA"/>
      <sheetName val="Cinema solo listino"/>
      <sheetName val="Conto Economico.xls"/>
      <sheetName val="OT97QUAR"/>
      <sheetName val="Conto Economico"/>
      <sheetName val="DATI"/>
      <sheetName val="Conto%20Economico.xls"/>
      <sheetName val="CY2017 AOP Rates "/>
      <sheetName val="anarev"/>
      <sheetName val="l_Oreal 2008"/>
      <sheetName val="TOTALE_CINEMA"/>
      <sheetName val="CINEMA_RMB"/>
      <sheetName val="CINEMA_SIPRA"/>
      <sheetName val="CINEMA_OPUS"/>
      <sheetName val="lettera_superato"/>
      <sheetName val="lettera_conferma_SIPRA"/>
      <sheetName val="Cinema_solo_listino"/>
      <sheetName val="SitesVermarkter"/>
      <sheetName val="cic 22-9 - 26-10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%20Economico_xls"/>
      <sheetName val="Conto_Economico"/>
      <sheetName val="l_Oreal_2008"/>
      <sheetName val="TOTALE_CINEMA1"/>
      <sheetName val="CINEMA_RMB1"/>
      <sheetName val="CINEMA_SIPRA1"/>
      <sheetName val="CINEMA_OPUS1"/>
      <sheetName val="lettera_superato1"/>
      <sheetName val="lettera_conferma_SIPRA1"/>
      <sheetName val="Cinema_solo_listino1"/>
      <sheetName val="Conto%20Economico_xls1"/>
      <sheetName val="Conto_Economico1"/>
      <sheetName val="l_Oreal_20081"/>
      <sheetName val="Market information"/>
      <sheetName val="PIANO GENERALE"/>
      <sheetName val="Conto Sipra"/>
      <sheetName val="Print admin"/>
      <sheetName val="R Print10"/>
      <sheetName val="R Print11"/>
      <sheetName val="R OOH10"/>
      <sheetName val="R OOH11"/>
      <sheetName val="R rad10"/>
      <sheetName val="R rad11"/>
      <sheetName val="R TV10"/>
      <sheetName val="R TV11"/>
      <sheetName val="PF RADIO "/>
      <sheetName val="08"/>
      <sheetName val="Last Year"/>
      <sheetName val="BcoDados"/>
      <sheetName val="CashFlow"/>
      <sheetName val="price list"/>
      <sheetName val="Exec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Sipra"/>
      <sheetName val="riepilogo tv"/>
      <sheetName val="Sipra"/>
      <sheetName val="Publitalia"/>
      <sheetName val="Conto Publitalia"/>
      <sheetName val="Tmc"/>
      <sheetName val="Conto tmc"/>
      <sheetName val="Conto MTV"/>
      <sheetName val="Conto TELE+"/>
      <sheetName val="Conto STREAM"/>
      <sheetName val="Foglio1"/>
      <sheetName val="KUBIK TOTALE"/>
      <sheetName val="Prenot.Publitalia"/>
      <sheetName val="Prenot. MTV"/>
      <sheetName val="CALENDARIO"/>
      <sheetName val="Prenot.stream"/>
      <sheetName val="Prenot.TELE+"/>
      <sheetName val="ADULTI 28 - 3"/>
      <sheetName val="Focus 28 - 3"/>
      <sheetName val="kubik adulti"/>
      <sheetName val="kubik focus"/>
      <sheetName val="CINEMA RMB"/>
      <sheetName val="TV 21Gen-3Feb"/>
      <sheetName val="DATI"/>
      <sheetName val="riepilogo_tv"/>
      <sheetName val="Conto_Sipra"/>
      <sheetName val="Conto_Publitalia"/>
      <sheetName val="Conto_tmc"/>
      <sheetName val="Conto_MTV"/>
      <sheetName val="Conto_TELE+"/>
      <sheetName val="Conto_STREAM"/>
      <sheetName val="KUBIK_TOTALE"/>
      <sheetName val="Prenot_Publitalia"/>
      <sheetName val="Prenot__MTV"/>
      <sheetName val="Prenot_stream"/>
      <sheetName val="Prenot_TELE+"/>
      <sheetName val="ADULTI_28_-_3"/>
      <sheetName val="Focus_28_-_3"/>
      <sheetName val="kubik_adulti"/>
      <sheetName val="kubik_focus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GRP"/>
      <sheetName val="PIANO GENERALE"/>
      <sheetName val="Market information"/>
      <sheetName val="CINEMA_RMB"/>
      <sheetName val="TV_21Gen-3Feb"/>
      <sheetName val="riepilogo_tv1"/>
      <sheetName val="Conto_Sipra1"/>
      <sheetName val="Conto_Publitalia1"/>
      <sheetName val="Conto_tmc1"/>
      <sheetName val="Conto_MTV1"/>
      <sheetName val="Conto_TELE+1"/>
      <sheetName val="Conto_STREAM1"/>
      <sheetName val="KUBIK_TOTALE1"/>
      <sheetName val="Prenot_Publitalia1"/>
      <sheetName val="Prenot__MTV1"/>
      <sheetName val="Prenot_stream1"/>
      <sheetName val="Prenot_TELE+1"/>
      <sheetName val="ADULTI_28_-_31"/>
      <sheetName val="Focus_28_-_31"/>
      <sheetName val="kubik_adulti1"/>
      <sheetName val="kubik_focus1"/>
      <sheetName val="CINEMA_RMB1"/>
      <sheetName val="TV_21Gen-3Feb1"/>
      <sheetName val="Last Year"/>
      <sheetName val="08"/>
      <sheetName val="price list"/>
      <sheetName val="Bos"/>
      <sheetName val="Bul"/>
      <sheetName val="Rom-Ship"/>
      <sheetName val="媒体"/>
      <sheetName val="PF RADIO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"/>
      <sheetName val="INIZIO"/>
      <sheetName val="Macro1"/>
      <sheetName val="RIS COM"/>
      <sheetName val="Conto Sipra"/>
      <sheetName val="CINEMA RMB"/>
      <sheetName val="RIS_COM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_Sipra"/>
      <sheetName val="CINEMA_RMB"/>
      <sheetName val="RIS_COM1"/>
      <sheetName val="Conto_Sipra1"/>
      <sheetName val="CINEMA_RMB1"/>
      <sheetName val="Table"/>
      <sheetName val="PIANO GENERALE"/>
      <sheetName val="Market information"/>
      <sheetName val="N TV09"/>
      <sheetName val="R TV09"/>
      <sheetName val="R TV11"/>
      <sheetName val="I nat+reg10"/>
      <sheetName val="N nat10"/>
      <sheetName val="R nat10"/>
      <sheetName val="TV sum"/>
      <sheetName val="Rus TV MP"/>
      <sheetName val="INF keywords"/>
      <sheetName val="Calcul IC"/>
      <sheetName val="PRS Hachette"/>
      <sheetName val="DATI"/>
      <sheetName val="Labels"/>
      <sheetName val="Creative"/>
      <sheetName val="Sites"/>
      <sheetName val="Bos"/>
      <sheetName val="Bul"/>
      <sheetName val="Rom-Ship"/>
      <sheetName val="媒体"/>
      <sheetName val="MBOX TV Report 11.28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NO GENERALE"/>
      <sheetName val="MENU"/>
      <sheetName val="RIEPILOGO"/>
      <sheetName val="Target Srl"/>
      <sheetName val="Smafer"/>
      <sheetName val="SMA SpA."/>
      <sheetName val="S.C.I."/>
      <sheetName val="Publionda"/>
      <sheetName val="Publiflor"/>
      <sheetName val="PES Pub.Est.Spec"/>
      <sheetName val="O.P.E. Olcese P."/>
      <sheetName val="Jolly Pubblicita"/>
      <sheetName val="Ipas SpA"/>
      <sheetName val="I.M.A. SpA"/>
      <sheetName val="I.L.L.P.A. Srl"/>
      <sheetName val="Giengi Pubblic."/>
      <sheetName val="Ettore Sibilia"/>
      <sheetName val="Esotas"/>
      <sheetName val="Avip Spa"/>
      <sheetName val="Avenir Italia"/>
      <sheetName val="Alma Media It."/>
      <sheetName val="Alessi SpA"/>
      <sheetName val="Affitalia Srl"/>
      <sheetName val="A&amp;P Srl"/>
      <sheetName val="piano excel BLU 22.5 SPA"/>
      <sheetName val="piano excel BLU 22.5 SPA.XLS"/>
      <sheetName val="piano%20excel%20BLU%2022.5%20SP"/>
      <sheetName val="Conto Sipra"/>
      <sheetName val=""/>
      <sheetName val="GRP"/>
      <sheetName val="Radio 30&quot;Q1 (2)"/>
      <sheetName val="Signature"/>
      <sheetName val="Calc"/>
      <sheetName val="M_S"/>
      <sheetName val="Bos"/>
      <sheetName val="Bul"/>
      <sheetName val="Rom-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7"/>
      <sheetName val="KP_Print"/>
      <sheetName val="cost per month"/>
      <sheetName val="Kostenplan"/>
      <sheetName val="Brazil"/>
      <sheetName val="PIANO GENERALE"/>
      <sheetName val="GRP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l Mega"/>
      <sheetName val="Persil Gel"/>
      <sheetName val="Weißer Riese"/>
      <sheetName val="Spee"/>
      <sheetName val="Master Data"/>
      <sheetName val="Databas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DI"/>
      <sheetName val="titolo"/>
      <sheetName val="NOTE"/>
      <sheetName val="budget"/>
      <sheetName val="CREMONA"/>
      <sheetName val="CREMA"/>
      <sheetName val="MP 2007"/>
      <sheetName val="Cover Estimator"/>
      <sheetName val="Control"/>
      <sheetName val="Variables"/>
      <sheetName val="P3"/>
      <sheetName val="STATYSTYKI"/>
      <sheetName val="Kostenplan"/>
      <sheetName val="MP 2008"/>
      <sheetName val="Display Format Definitions"/>
      <sheetName val="Instructions"/>
      <sheetName val="EmpInfo"/>
      <sheetName val="MP_2007"/>
      <sheetName val="Cover_Estimator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P NEON 2008"/>
      <sheetName val="MP NEON 2007"/>
      <sheetName val="Data CpGRP"/>
      <sheetName val="PIANO GENERALE"/>
      <sheetName val="R nat09"/>
      <sheetName val="R nat10"/>
      <sheetName val="R reg09"/>
      <sheetName val="Display_Format_Definitions"/>
      <sheetName val="MP_20071"/>
      <sheetName val="Cover_Estimator1"/>
      <sheetName val="Display_Format_Definitions1"/>
      <sheetName val="GRP"/>
      <sheetName val="R TV11"/>
      <sheetName val="drop downs"/>
      <sheetName val="Strat 1H 2008"/>
      <sheetName val="CEEMEA"/>
      <sheetName val="F&amp;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8"/>
      <sheetName val="KP_Print"/>
      <sheetName val="KP_pro Ausgabe"/>
      <sheetName val="KP_pro Monat"/>
      <sheetName val="Themenübersicht"/>
      <sheetName val="LODI"/>
      <sheetName val="MP 2007"/>
      <sheetName val="SitesVermark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XLR_NoRangeSheet"/>
      <sheetName val="E2 Brands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Самара-график"/>
      <sheetName val="Сводная"/>
      <sheetName val="Итоги по каналам"/>
      <sheetName val="XLRpt_TempSheet"/>
      <sheetName val="Главный"/>
      <sheetName val="Input"/>
      <sheetName val="For ALL brands (Fed TV)"/>
      <sheetName val="For ALL brands (Reg TV)"/>
      <sheetName val="For ALL Beer brands (Tem TV)"/>
      <sheetName val="Скидки"/>
      <sheetName val="Направления затрат+группа"/>
      <sheetName val="Фед. ТВ (-)"/>
      <sheetName val="International"/>
      <sheetName val="Фед. ТВ (+)"/>
      <sheetName val="MediaMix"/>
      <sheetName val=" Самара Россия"/>
      <sheetName val="Самара СТС"/>
      <sheetName val="Strat 1H 2008"/>
      <sheetName val="FRECEFECBAILEYS"/>
      <sheetName val="TV"/>
      <sheetName val="Hidden"/>
      <sheetName val="Sample"/>
      <sheetName val="Свод за 2008г"/>
      <sheetName val="JEUDI 24 DÉCEMBRE 1998"/>
      <sheetName val="__"/>
      <sheetName val="January"/>
      <sheetName val="counter (4).xls"/>
      <sheetName val=" 40000035261  ТРК &quot;Петербург&quot; ("/>
      <sheetName val="schren"/>
      <sheetName val="schtv6"/>
      <sheetName val="schsts"/>
      <sheetName val="2009 сезонки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ODAPLAN_REPORT"/>
      <sheetName val="Екатеринбург"/>
      <sheetName val=""/>
      <sheetName val="EMPL_TYPE"/>
      <sheetName val="counter%20(4).xls"/>
      <sheetName val="Data Sheet"/>
      <sheetName val="6х3"/>
      <sheetName val="Города_каналы"/>
      <sheetName val="5 Канал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Shadow"/>
      <sheetName val="Расчёт"/>
      <sheetName val="counter%20(4)"/>
      <sheetName val="Справочник"/>
      <sheetName val="tech2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Flowchart"/>
      <sheetName val="Sum"/>
      <sheetName val="words begun"/>
      <sheetName val="Лист3"/>
      <sheetName val="списки"/>
      <sheetName val="MP NEON 2008"/>
      <sheetName val="Client CPP"/>
      <sheetName val="Splits"/>
      <sheetName val="Affinity"/>
      <sheetName val="link"/>
      <sheetName val="обобщение"/>
      <sheetName val="Master Data"/>
      <sheetName val="Share Price 2002"/>
      <sheetName val="Список"/>
      <sheetName val="const"/>
      <sheetName val="MP_NEON_2008"/>
      <sheetName val="Client_CPP"/>
      <sheetName val="details"/>
      <sheetName val="B"/>
      <sheetName val="ВИМБ"/>
      <sheetName val="piano generale"/>
      <sheetName val="Лист1"/>
      <sheetName val="Лист2"/>
      <sheetName val="kz budget lc"/>
      <sheetName val="Codes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20">
          <cell r="I20" t="b">
            <v>0</v>
          </cell>
        </row>
      </sheetData>
      <sheetData sheetId="152">
        <row r="20">
          <cell r="I20" t="b">
            <v>0</v>
          </cell>
        </row>
      </sheetData>
      <sheetData sheetId="153">
        <row r="20">
          <cell r="I20" t="b">
            <v>0</v>
          </cell>
        </row>
      </sheetData>
      <sheetData sheetId="154">
        <row r="20">
          <cell r="I20" t="b">
            <v>0</v>
          </cell>
        </row>
      </sheetData>
      <sheetData sheetId="155">
        <row r="20">
          <cell r="I20" t="b">
            <v>0</v>
          </cell>
        </row>
      </sheetData>
      <sheetData sheetId="156"/>
      <sheetData sheetId="157">
        <row r="20">
          <cell r="I20" t="b">
            <v>0</v>
          </cell>
        </row>
      </sheetData>
      <sheetData sheetId="158"/>
      <sheetData sheetId="159">
        <row r="20">
          <cell r="I20" t="b">
            <v>0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MAP"/>
      <sheetName val="##"/>
      <sheetName val="XLR_NoRangeSheet"/>
      <sheetName val="Map_May_94_FSU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Скидки"/>
      <sheetName val="B"/>
      <sheetName val="PLANNED"/>
      <sheetName val="Самара-график"/>
      <sheetName val="E2 Brands"/>
      <sheetName val="Timeline (2)"/>
      <sheetName val="5 Канал"/>
      <sheetName val="ODAPLAN_REPORT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schren"/>
      <sheetName val="schtv6"/>
      <sheetName val="schsts"/>
      <sheetName val="\2003\Epson\PhotoPrinters\Map_M"/>
      <sheetName val="Map_May_94_FSU.xls"/>
      <sheetName val="basic_data"/>
      <sheetName val="Macro1"/>
      <sheetName val="справочники"/>
      <sheetName val="Estimate"/>
      <sheetName val="STS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Client CPP"/>
      <sheetName val="Splits"/>
      <sheetName val="GRAM расчеты"/>
      <sheetName val="обобщение"/>
      <sheetName val="расчет бюджетов"/>
      <sheetName val="Sayfa2"/>
      <sheetName val="MediaMix"/>
      <sheetName val="TV spot_supplie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Исходные данные по прогнозу"/>
      <sheetName val="FY04 fx"/>
      <sheetName val="Optionen"/>
      <sheetName val="Фед. ТВ (-)"/>
      <sheetName val="International"/>
      <sheetName val="Фед. ТВ (+)"/>
      <sheetName val="Table"/>
      <sheetName val="UKR-1"/>
      <sheetName val="campaign average f"/>
      <sheetName val="Input"/>
      <sheetName val="Прайс"/>
      <sheetName val="[Map_May_94_FSU.xls]\2003\Epson"/>
      <sheetName val="Лист2"/>
      <sheetName val="Выбор функций"/>
      <sheetName val="[Map_May_94_FSU.xls][Map_May_94"/>
      <sheetName val="[Map_May_94_FSU.xls]\\storage\T"/>
      <sheetName val="[Map_May_94_FSU.xls]\F\2003\Eps"/>
      <sheetName val="_2003_Epson_PhotoPrinters_Map_M"/>
      <sheetName val="__storage_TV$_SIvanov_2011_Конд"/>
      <sheetName val="_F_2003_Epson_PhotoPrinters_Map"/>
      <sheetName val="_Map_May_94_FSU.xls__2003_Epson"/>
      <sheetName val="Control"/>
      <sheetName val="Sheet2"/>
      <sheetName val="Tabelle1"/>
      <sheetName val="СПИСОК КАТЕГОРИЙ"/>
      <sheetName val="Sheet1"/>
      <sheetName val="Pivot"/>
      <sheetName val="Фильтр"/>
      <sheetName val="01.2011-12.2019"/>
      <sheetName val="[Map_May_94_FSU.xls]_2003_Eps_2"/>
      <sheetName val="[Map_May_94_FSU.xls]__storage_2"/>
      <sheetName val="[Map_May_94_FSU.xls]_F_2003_E_2"/>
      <sheetName val="5_Канал1"/>
      <sheetName val="DIMANCHE_28_MAI_2000_COND1"/>
      <sheetName val="Расчет_по_Регионам1"/>
      <sheetName val="Итоги_по_каналам1"/>
      <sheetName val="Прайс_2007_(Тренд)1"/>
      <sheetName val="E2_Brands2"/>
      <sheetName val="MAP_cf1"/>
      <sheetName val="Map_May_94_FSU_xls1"/>
      <sheetName val="Исходные_данные_по_прогнозу"/>
      <sheetName val="Data_Sheet1"/>
      <sheetName val="_105445__ТРК_&quot;Петербург&quot;_(03_к1"/>
      <sheetName val="formule_-_table1"/>
      <sheetName val="1_flight1"/>
      <sheetName val="Client_CPP"/>
      <sheetName val="TV_spot_supplier"/>
      <sheetName val="ОСНОВНАЯ_ТАБЛИЦА"/>
      <sheetName val="Направления_затрат+группа"/>
      <sheetName val="Monitor_Q2"/>
      <sheetName val="Timeline_(2)"/>
      <sheetName val="GRAM_расчеты"/>
      <sheetName val="расчет_бюджетов"/>
      <sheetName val="FY04_fx"/>
      <sheetName val="campaign_average_f"/>
      <sheetName val="[Map_May_94_FSU_xls]\2003\Epson"/>
      <sheetName val="Фед__ТВ_(-)"/>
      <sheetName val="Фед__ТВ_(+)"/>
      <sheetName val="Справочник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Список площадок"/>
      <sheetName val="Media plan"/>
      <sheetName val="[Map_May_94_FSU.xls]_Map_May__2"/>
      <sheetName val="[Map_May_94_FSU.xls]_Map_May__3"/>
      <sheetName val="[Map_May_94_FSU.xls]_Map_May__4"/>
      <sheetName val="Base"/>
      <sheetName val="TNS2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plan-gaz1"/>
      <sheetName val="для аудитора"/>
      <sheetName val="_Map_May_94_FSU.xls__Map_May_94"/>
    </sheetNames>
    <sheetDataSet>
      <sheetData sheetId="0" refreshError="1">
        <row r="6">
          <cell r="B6" t="str">
            <v>C:\EAGIS\map.bmp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6">
          <cell r="B6" t="str">
            <v>? РЕКЛАМОДАТЕЛЬ 34-90-09 (ТОМСК); IROBOT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>
        <row r="6">
          <cell r="B6" t="str">
            <v>COMPETITORS BRANDS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6">
          <cell r="B6" t="str">
            <v>COMPETITORS BRANDS</v>
          </cell>
        </row>
      </sheetData>
      <sheetData sheetId="136"/>
      <sheetData sheetId="137"/>
      <sheetData sheetId="138"/>
      <sheetData sheetId="139"/>
      <sheetData sheetId="140" refreshError="1"/>
      <sheetData sheetId="141">
        <row r="6">
          <cell r="B6" t="str">
            <v>COMPETITORS BRANDS</v>
          </cell>
        </row>
      </sheetData>
      <sheetData sheetId="142"/>
      <sheetData sheetId="143" refreshError="1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7"/>
      <sheetName val="KP_Print"/>
      <sheetName val="KP_proAusgabe"/>
      <sheetName val="MP NEON 2008"/>
      <sheetName val="MP07_NEON_Plan18"/>
      <sheetName val="MP07_NEON_Plan18.xls"/>
      <sheetName val="Media plan"/>
      <sheetName val="Team"/>
      <sheetName val="Instructions"/>
      <sheetName val="define table"/>
      <sheetName val="Data CpGRP"/>
      <sheetName val="LO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BL"/>
      <sheetName val="E1449"/>
      <sheetName val="Data CpGRP"/>
      <sheetName val="MP NEON 2007"/>
      <sheetName val="MA_BL"/>
      <sheetName val="Team"/>
      <sheetName val="GRP"/>
      <sheetName val="LODI"/>
      <sheetName val="Incentives MBR"/>
      <sheetName val="Makro1"/>
      <sheetName val="#REF"/>
      <sheetName val="Köprü"/>
      <sheetName val="kategoriler"/>
      <sheetName val="tanımlar"/>
      <sheetName val="12"/>
      <sheetName val="Sch#13"/>
      <sheetName val="Source-DO NOT ADJUST"/>
      <sheetName val="Laikai rad"/>
      <sheetName val="FW-Kurse"/>
      <sheetName val="Evaluation2"/>
      <sheetName val="MP NEON 2008"/>
      <sheetName val="Data_CpGRP"/>
      <sheetName val="MP_NEON_2007"/>
      <sheetName val="Laikai_rad"/>
      <sheetName val="Incentives_MBR"/>
      <sheetName val="Kostenplan"/>
      <sheetName val="define table"/>
      <sheetName val="PF RADIO "/>
      <sheetName val="TEMP"/>
      <sheetName val="SM2-MS2 leavers"/>
      <sheetName val="Data Sheet"/>
      <sheetName val="구동"/>
      <sheetName val="Calc"/>
      <sheetName val="M_S"/>
      <sheetName val="Coke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port FIX"/>
      <sheetName val="Бриф"/>
      <sheetName val="Sevimli"/>
      <sheetName val="ZOR"/>
      <sheetName val="UC_R1"/>
      <sheetName val="Navo"/>
      <sheetName val="PB"/>
      <sheetName val="Прайс-лист"/>
      <sheetName val="Teleport FLOAT"/>
      <sheetName val="TN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Kennziffern"/>
      <sheetName val="13"/>
      <sheetName val="14"/>
      <sheetName val="15"/>
      <sheetName val="16"/>
      <sheetName val="17"/>
      <sheetName val="18"/>
      <sheetName val="19"/>
      <sheetName val="KampagnenRW alt"/>
      <sheetName val="20"/>
      <sheetName val="21"/>
      <sheetName val="22"/>
      <sheetName val="23"/>
      <sheetName val="24"/>
      <sheetName val="25"/>
      <sheetName val="26"/>
      <sheetName val="30"/>
      <sheetName val="31"/>
      <sheetName val="Feiertage"/>
      <sheetName val="LW"/>
      <sheetName val="Tabelle1"/>
      <sheetName val="Kauaffiampel"/>
      <sheetName val="MA-BL"/>
      <sheetName val="CR"/>
      <sheetName val="32"/>
      <sheetName val="33"/>
      <sheetName val="KampagnenRW_alt"/>
      <sheetName val="POS Radio Planungsprogramm"/>
      <sheetName val="DataInfo"/>
      <sheetName val="MP 2008"/>
      <sheetName val="LODI"/>
      <sheetName val="MP NEON 2008"/>
      <sheetName val="QuestionSelectionList"/>
      <sheetName val=""/>
      <sheetName val="KampagnenRW_alt1"/>
      <sheetName val="economico"/>
      <sheetName val="KampagnenRW_alt2"/>
      <sheetName val="POS_Radio_Planungsprogramm"/>
      <sheetName val="KampagnenRW_alt3"/>
      <sheetName val="POS_Radio_Planungsprogramm1"/>
      <sheetName val="KampagnenRW_alt4"/>
      <sheetName val="POS_Radio_Planungsprogramm2"/>
      <sheetName val="All Calcs"/>
      <sheetName val="Kostenplan"/>
      <sheetName val="MP 2007"/>
      <sheetName val="MP NEON 2007"/>
      <sheetName val="OfferCalculations1"/>
      <sheetName val="Variables"/>
      <sheetName val="X"/>
      <sheetName val="Channel Share"/>
      <sheetName val="Data CpGRP"/>
      <sheetName val="TV Pricing"/>
      <sheetName val="KampagnenRW_alt5"/>
      <sheetName val="POS_Radio_Planungsprogramm3"/>
      <sheetName val="MP_NEON_2008"/>
      <sheetName val="All_Calcs"/>
      <sheetName val="MP_NEON_2007"/>
      <sheetName val="KampagnenRW_alt6"/>
      <sheetName val="POS_Radio_Planungsprogramm4"/>
      <sheetName val="MP_NEON_20081"/>
      <sheetName val="All_Calcs1"/>
      <sheetName val="MP_NEON_20071"/>
      <sheetName val="OOH"/>
      <sheetName val="Print"/>
      <sheetName val="KampagnenRW_alt7"/>
      <sheetName val="POS_Radio_Planungsprogramm5"/>
      <sheetName val="MP_NEON_20072"/>
      <sheetName val="MP_NEON_20082"/>
      <sheetName val="All_Calcs2"/>
      <sheetName val="MP_2007"/>
      <sheetName val="Data_CpGRP"/>
      <sheetName val="KampagnenRW_alt8"/>
      <sheetName val="POS_Radio_Planungsprogramm6"/>
      <sheetName val="MP_NEON_20073"/>
      <sheetName val="MP_NEON_20083"/>
      <sheetName val="All_Calcs3"/>
      <sheetName val="MP_20071"/>
      <sheetName val="Data_CpGRP1"/>
      <sheetName val="KampagnenRW_alt9"/>
      <sheetName val="POS_Radio_Planungsprogramm7"/>
      <sheetName val="MP_NEON_20074"/>
      <sheetName val="MP_NEON_20084"/>
      <sheetName val="All_Calcs4"/>
      <sheetName val="MP_20072"/>
      <sheetName val="Data_CpGRP2"/>
      <sheetName val="KampagnenRW_alt10"/>
      <sheetName val="POS_Radio_Planungsprogramm8"/>
      <sheetName val="MP_NEON_20075"/>
      <sheetName val="MP_NEON_20085"/>
      <sheetName val="All_Calcs5"/>
      <sheetName val="MP_20073"/>
      <sheetName val="Data_CpGRP3"/>
      <sheetName val="basic_data"/>
      <sheetName val="Macro1"/>
      <sheetName val="PG"/>
      <sheetName val="SAD"/>
      <sheetName val="CCS"/>
      <sheetName val="Options"/>
      <sheetName val="PF RADIO "/>
      <sheetName val="Pivot"/>
      <sheetName val="2.대외공문"/>
      <sheetName val="Permissable values"/>
      <sheetName val="TELEVISION DETAILS"/>
      <sheetName val="адреска"/>
      <sheetName val="KampagnenRW_alt11"/>
      <sheetName val="POS_Radio_Planungsprogramm9"/>
      <sheetName val="MP_NEON_20076"/>
      <sheetName val="MP_NEON_20086"/>
      <sheetName val="All_Calcs6"/>
      <sheetName val="MP_20074"/>
      <sheetName val="Data_CpGRP4"/>
      <sheetName val="TV_Pricing"/>
      <sheetName val="MP_2008"/>
      <sheetName val="KampagnenRW_alt12"/>
      <sheetName val="POS_Radio_Planungsprogramm10"/>
      <sheetName val="MP_NEON_20077"/>
      <sheetName val="MP_NEON_20087"/>
      <sheetName val="All_Calcs7"/>
      <sheetName val="MP_20075"/>
      <sheetName val="Data_CpGRP5"/>
      <sheetName val="TV_Pricing1"/>
      <sheetName val="MP_20081"/>
      <sheetName val="Channel_Share"/>
    </sheetNames>
    <sheetDataSet>
      <sheetData sheetId="0" refreshError="1">
        <row r="13">
          <cell r="D13">
            <v>2</v>
          </cell>
        </row>
      </sheetData>
      <sheetData sheetId="1">
        <row r="13">
          <cell r="D13">
            <v>2</v>
          </cell>
        </row>
      </sheetData>
      <sheetData sheetId="2">
        <row r="13">
          <cell r="D13">
            <v>2</v>
          </cell>
        </row>
      </sheetData>
      <sheetData sheetId="3">
        <row r="13">
          <cell r="D13">
            <v>2</v>
          </cell>
        </row>
      </sheetData>
      <sheetData sheetId="4">
        <row r="13">
          <cell r="D13">
            <v>2</v>
          </cell>
        </row>
      </sheetData>
      <sheetData sheetId="5">
        <row r="13">
          <cell r="D13">
            <v>2</v>
          </cell>
        </row>
      </sheetData>
      <sheetData sheetId="6">
        <row r="13">
          <cell r="D13">
            <v>2</v>
          </cell>
        </row>
      </sheetData>
      <sheetData sheetId="7">
        <row r="13">
          <cell r="D13">
            <v>2</v>
          </cell>
        </row>
      </sheetData>
      <sheetData sheetId="8">
        <row r="13">
          <cell r="D13">
            <v>2</v>
          </cell>
        </row>
      </sheetData>
      <sheetData sheetId="9">
        <row r="13">
          <cell r="D13">
            <v>2</v>
          </cell>
        </row>
      </sheetData>
      <sheetData sheetId="10">
        <row r="13">
          <cell r="D13">
            <v>2</v>
          </cell>
        </row>
      </sheetData>
      <sheetData sheetId="11">
        <row r="13">
          <cell r="D13">
            <v>2</v>
          </cell>
        </row>
      </sheetData>
      <sheetData sheetId="12">
        <row r="13">
          <cell r="D13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>
        <row r="13">
          <cell r="D13">
            <v>2</v>
          </cell>
        </row>
      </sheetData>
      <sheetData sheetId="36">
        <row r="13">
          <cell r="D13">
            <v>2</v>
          </cell>
        </row>
      </sheetData>
      <sheetData sheetId="37">
        <row r="13">
          <cell r="D13">
            <v>2</v>
          </cell>
        </row>
      </sheetData>
      <sheetData sheetId="38">
        <row r="13">
          <cell r="D13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Campaign Accumulated  R and F"/>
      <sheetName val="XLRpt_TempSheet"/>
      <sheetName val="CAMPAIGN AVERAGE F"/>
      <sheetName val="ORT"/>
      <sheetName val="Прайс"/>
      <sheetName val="TV summary by month"/>
      <sheetName val=" Total"/>
      <sheetName val="PRINT"/>
      <sheetName val="OWNPROD LAT"/>
      <sheetName val="Сводная"/>
      <sheetName val="Main"/>
      <sheetName val="Интернет"/>
      <sheetName val="Data USA Cdn$"/>
      <sheetName val="Data USA US$"/>
      <sheetName val="Splits"/>
      <sheetName val="##"/>
      <sheetName val="Equipment"/>
      <sheetName val="L свод"/>
      <sheetName val="Auris"/>
      <sheetName val="TIME_SLOT,PLAN_CHANNEL_TRAIL"/>
      <sheetName val="Лист2"/>
      <sheetName val="Gazete teaser"/>
      <sheetName val="Клипы (2)"/>
      <sheetName val="Расчет по Регионам"/>
      <sheetName val="Расчет"/>
      <sheetName val="Сезонка"/>
      <sheetName val="Change"/>
      <sheetName val="Campaign_Accumulated__R_and_F"/>
      <sheetName val="CAMPAIGN_AVERAGE_F"/>
      <sheetName val="TV_summary_by_month"/>
      <sheetName val="_Total"/>
      <sheetName val="ITALIANS"/>
      <sheetName val="tv spot list"/>
      <sheetName val="Outdoor St-Peter June"/>
      <sheetName val="G2TempSheet"/>
      <sheetName val="TAB MOD"/>
      <sheetName val="PARAME"/>
      <sheetName val="EVOPRIX"/>
      <sheetName val="TAB REG"/>
      <sheetName val="MediaMix"/>
      <sheetName val="STS"/>
      <sheetName val="REN TV"/>
      <sheetName val="RTR"/>
      <sheetName val="chart41"/>
      <sheetName val="STS(Jun,1)"/>
      <sheetName val="novy 2"/>
      <sheetName val="ثرسنل (2"/>
      <sheetName val="TV management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Prm"/>
      <sheetName val="TNS"/>
      <sheetName val="dis"/>
      <sheetName val="Media Plan UAH"/>
      <sheetName val="North "/>
      <sheetName val="3"/>
      <sheetName val="2_3"/>
      <sheetName val="2_4"/>
      <sheetName val="2_5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ata"/>
      <sheetName val="Suporte"/>
      <sheetName val="HMAMB"/>
      <sheetName val="Media-plan primary"/>
      <sheetName val="Брянск"/>
      <sheetName val="North"/>
      <sheetName val="Hoja1"/>
      <sheetName val="budget data"/>
      <sheetName val="Справочники"/>
      <sheetName val="NTV"/>
      <sheetName val="RenTV"/>
      <sheetName val="TV6"/>
      <sheetName val="options"/>
      <sheetName val="Rate"/>
      <sheetName val="Расчет и прогнозы"/>
      <sheetName val="Taxes"/>
      <sheetName val="GRP"/>
      <sheetName val="Tabelle1"/>
      <sheetName val="Procedural Controls - AP"/>
      <sheetName val="studia"/>
      <sheetName val="Category&amp;CTR&amp;TA"/>
      <sheetName val="Конструктор недели"/>
      <sheetName val="Clasify"/>
      <sheetName val="mcССClassic"/>
      <sheetName val="PG"/>
      <sheetName val="SAD"/>
      <sheetName val="CCS"/>
      <sheetName val="Name Check"/>
      <sheetName val="ExchRates"/>
      <sheetName val="List"/>
      <sheetName val="CPP"/>
      <sheetName val="Programmatic Video"/>
      <sheetName val="TA data Nielsen UA"/>
      <sheetName val="Sheet8"/>
      <sheetName val="Date 2"/>
      <sheetName val="Forecast"/>
      <sheetName val="Sum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FRECEFECBAILEYS"/>
      <sheetName val="BAŞV"/>
      <sheetName val="Project Summary"/>
      <sheetName val="Please wait..."/>
      <sheetName val="TRANSGOOGLE"/>
      <sheetName val="Sheet1"/>
      <sheetName val="Нац ТВ 2019_13.08"/>
      <sheetName val="СПОНС"/>
      <sheetName val="Лист1"/>
      <sheetName val="регионы"/>
      <sheetName val="v7.6"/>
      <sheetName val="тайминг v7.5"/>
      <sheetName val="Year 3"/>
      <sheetName val="Basis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budget_data"/>
      <sheetName val="Procedural_Controls_-_AP"/>
      <sheetName val="Конструктор_недели"/>
      <sheetName val="Date_2"/>
      <sheetName val="Name_Check"/>
      <sheetName val="Нац_ТВ_2019_13_08"/>
      <sheetName val="Programmatic_Video"/>
      <sheetName val="TA_data_Nielsen_UA"/>
      <sheetName val="Project_Summary"/>
      <sheetName val="Please_wait___"/>
      <sheetName val="v7_6"/>
      <sheetName val="тайминг_v7_5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Help"/>
      <sheetName val="b2bcontext"/>
      <sheetName val="чел европа+ от сми"/>
      <sheetName val="Библиотека"/>
      <sheetName val="Consolidated"/>
      <sheetName val="habillage pour boucle"/>
      <sheetName val="Channelvorgabe"/>
      <sheetName val="Format"/>
      <sheetName val="plan-gaz1"/>
      <sheetName val="Network"/>
      <sheetName val="Placement"/>
      <sheetName val="Sites"/>
      <sheetName val="общий"/>
      <sheetName val="nieakt"/>
      <sheetName val="Copies"/>
      <sheetName val="Vehicles"/>
      <sheetName val="ppranalysis"/>
      <sheetName val="Laikai rad"/>
      <sheetName val="Controls"/>
      <sheetName val="Slide 10 - gp per kg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PPC"/>
      <sheetName val="Social Networks"/>
      <sheetName val="Summary"/>
      <sheetName val="условия платежа"/>
      <sheetName val="Zolla на 70 (мар+май!)"/>
      <sheetName val="cinema"/>
      <sheetName val="Var2002 BU-P1"/>
      <sheetName val="55% and 70%"/>
      <sheetName val="ENERGY "/>
      <sheetName val="QTXD"/>
      <sheetName val="Service"/>
      <sheetName val="Списки"/>
      <sheetName val="СПЛИТ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01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Channels Indexes"/>
      <sheetName val="restaurants monitors"/>
      <sheetName val="Control"/>
      <sheetName val="HBU_Modern"/>
      <sheetName val="HBU_Trad"/>
      <sheetName val="ConstantsANDSettings"/>
      <sheetName val="Tablas"/>
      <sheetName val="Print-forms"/>
      <sheetName val="Televizyon"/>
      <sheetName val="plan-der"/>
      <sheetName val="aging analysis"/>
      <sheetName val="2007"/>
      <sheetName val="Тариф авт."/>
      <sheetName val="Прайс Москва"/>
      <sheetName val="Тариф трамвай"/>
      <sheetName val="Тариф троллебусов"/>
      <sheetName val="4Q 1995"/>
      <sheetName val="LCMD_0613"/>
      <sheetName val="FY04 fx"/>
      <sheetName val="МП MI"/>
      <sheetName val="Hasar Hattı"/>
      <sheetName val="TV spot_supplier"/>
      <sheetName val="Предлож_СПб"/>
      <sheetName val="Zolla_на_70_(мар+май!)"/>
      <sheetName val="Var2002_BU-P1"/>
      <sheetName val="условия_платежа"/>
      <sheetName val="55%_and_70%"/>
      <sheetName val="ENERGY_"/>
      <sheetName val="Assum"/>
      <sheetName val="Данные"/>
      <sheetName val="Прайслист 2012"/>
      <sheetName val="Считалка"/>
      <sheetName val="Definitions"/>
      <sheetName val="Excel"/>
      <sheetName val="Directory"/>
      <sheetName val="Total Sara Lee Int WH"/>
      <sheetName val="Total Sara Lee Int FTE"/>
    </sheetNames>
    <sheetDataSet>
      <sheetData sheetId="0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6">
          <cell r="B6" t="str">
            <v>Client</v>
          </cell>
        </row>
      </sheetData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5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 refreshError="1"/>
      <sheetData sheetId="87" refreshError="1"/>
      <sheetData sheetId="88" refreshError="1"/>
      <sheetData sheetId="8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 t="str">
            <v>Client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>
            <v>0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>
            <v>0</v>
          </cell>
        </row>
      </sheetData>
      <sheetData sheetId="168">
        <row r="6">
          <cell r="B6">
            <v>0</v>
          </cell>
        </row>
      </sheetData>
      <sheetData sheetId="169">
        <row r="6">
          <cell r="B6" t="str">
            <v>Client</v>
          </cell>
        </row>
      </sheetData>
      <sheetData sheetId="170">
        <row r="6">
          <cell r="B6" t="str">
            <v>Агентское вознаграждение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 t="str">
            <v>Client</v>
          </cell>
        </row>
      </sheetData>
      <sheetData sheetId="173">
        <row r="6">
          <cell r="B6">
            <v>0</v>
          </cell>
        </row>
      </sheetData>
      <sheetData sheetId="174">
        <row r="6">
          <cell r="B6" t="str">
            <v>Client</v>
          </cell>
        </row>
      </sheetData>
      <sheetData sheetId="175">
        <row r="6">
          <cell r="B6">
            <v>0</v>
          </cell>
        </row>
      </sheetData>
      <sheetData sheetId="176">
        <row r="6">
          <cell r="B6">
            <v>0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6">
          <cell r="B6">
            <v>0</v>
          </cell>
        </row>
      </sheetData>
      <sheetData sheetId="187">
        <row r="6">
          <cell r="B6">
            <v>0</v>
          </cell>
        </row>
      </sheetData>
      <sheetData sheetId="188">
        <row r="6">
          <cell r="B6">
            <v>0</v>
          </cell>
        </row>
      </sheetData>
      <sheetData sheetId="189">
        <row r="6">
          <cell r="B6">
            <v>0</v>
          </cell>
        </row>
      </sheetData>
      <sheetData sheetId="190">
        <row r="6">
          <cell r="B6">
            <v>0</v>
          </cell>
        </row>
      </sheetData>
      <sheetData sheetId="191">
        <row r="6">
          <cell r="B6">
            <v>0</v>
          </cell>
        </row>
      </sheetData>
      <sheetData sheetId="192">
        <row r="6">
          <cell r="B6">
            <v>0</v>
          </cell>
        </row>
      </sheetData>
      <sheetData sheetId="193">
        <row r="6">
          <cell r="B6">
            <v>0</v>
          </cell>
        </row>
      </sheetData>
      <sheetData sheetId="194">
        <row r="6">
          <cell r="B6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>
        <row r="6">
          <cell r="B6" t="str">
            <v>Client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 t="str">
            <v>Client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>
        <row r="6">
          <cell r="B6">
            <v>0</v>
          </cell>
        </row>
      </sheetData>
      <sheetData sheetId="206">
        <row r="6">
          <cell r="B6" t="str">
            <v>Client</v>
          </cell>
        </row>
      </sheetData>
      <sheetData sheetId="207">
        <row r="6">
          <cell r="B6" t="str">
            <v>Client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 t="str">
            <v>Client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 refreshError="1"/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6">
          <cell r="B6">
            <v>0</v>
          </cell>
        </row>
      </sheetData>
      <sheetData sheetId="256">
        <row r="6">
          <cell r="B6">
            <v>0</v>
          </cell>
        </row>
      </sheetData>
      <sheetData sheetId="257">
        <row r="6">
          <cell r="B6" t="str">
            <v>Client</v>
          </cell>
        </row>
      </sheetData>
      <sheetData sheetId="258">
        <row r="6">
          <cell r="B6">
            <v>0</v>
          </cell>
        </row>
      </sheetData>
      <sheetData sheetId="259">
        <row r="6">
          <cell r="B6">
            <v>0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>
            <v>0</v>
          </cell>
        </row>
      </sheetData>
      <sheetData sheetId="262">
        <row r="6">
          <cell r="B6">
            <v>0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DAILY  ACCUMULATED R AND F"/>
      <sheetName val="ITALIANS"/>
      <sheetName val="XLRpt_TempSheet"/>
      <sheetName val="CAMPAIGN AVERAGE F"/>
      <sheetName val="Splits"/>
      <sheetName val="ORT"/>
      <sheetName val="СТС_GRP_1.9"/>
      <sheetName val="R CURVES_Иркутск"/>
      <sheetName val="CAMPAIGN RESULTS"/>
      <sheetName val="Basis"/>
      <sheetName val="PRINT"/>
      <sheetName val="schsts"/>
      <sheetName val="OWNPROD LAT"/>
      <sheetName val="TV summary by month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Лист2"/>
      <sheetName val="Европа Плюс Москва 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Media Plan UAH"/>
      <sheetName val="Data USA Cdn$"/>
      <sheetName val="Data USA US$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Work Sheet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Date 2"/>
      <sheetName val="tv"/>
      <sheetName val="Чел Европа+ от сми"/>
      <sheetName val="Aug,24"/>
      <sheetName val="schren"/>
      <sheetName val="schtv6"/>
      <sheetName val="ТЛ"/>
      <sheetName val="chart11"/>
      <sheetName val="Lib"/>
      <sheetName val="Владивосток ОРТ (наш)"/>
      <sheetName val="OUTFLOW"/>
      <sheetName val="key"/>
      <sheetName val="Title"/>
      <sheetName val="Тех_доп"/>
      <sheetName val="all brands (all media)"/>
      <sheetName val="Control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kz budget lc"/>
      <sheetName val="сплит"/>
      <sheetName val="цены и коэф."/>
      <sheetName val="G2TempSheet"/>
      <sheetName val="Date_2"/>
      <sheetName val="Чел_Европа+_от_сми"/>
      <sheetName val="FY04 fx"/>
      <sheetName val="разбивка по каналам"/>
      <sheetName val="ChanGr_cfg"/>
      <sheetName val="Base"/>
      <sheetName val="odaplan_report"/>
      <sheetName val="сводная"/>
      <sheetName val="Total Sara Lee Int WH"/>
      <sheetName val="Total Sara Lee Int FTE"/>
      <sheetName val="Evaluation2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Tsitrinka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шаблон помесячно"/>
      <sheetName val="Picklists"/>
      <sheetName val="Evasion"/>
    </sheetNames>
    <sheetDataSet>
      <sheetData sheetId="0" refreshError="1">
        <row r="2">
          <cell r="B2" t="str">
            <v>15+</v>
          </cell>
        </row>
        <row r="6">
          <cell r="P6">
            <v>7.4042043629654009</v>
          </cell>
          <cell r="Q6">
            <v>12.637494009221278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 refreshError="1"/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>
        <row r="6">
          <cell r="P6">
            <v>8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6">
          <cell r="P6">
            <v>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6">
          <cell r="P6">
            <v>8</v>
          </cell>
        </row>
      </sheetData>
      <sheetData sheetId="119">
        <row r="6">
          <cell r="P6">
            <v>8</v>
          </cell>
        </row>
      </sheetData>
      <sheetData sheetId="120">
        <row r="6">
          <cell r="P6">
            <v>8</v>
          </cell>
        </row>
      </sheetData>
      <sheetData sheetId="121">
        <row r="6">
          <cell r="P6">
            <v>8</v>
          </cell>
        </row>
      </sheetData>
      <sheetData sheetId="122">
        <row r="6">
          <cell r="P6">
            <v>8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8"/>
      <sheetName val="KP 2008"/>
      <sheetName val="cost per month"/>
      <sheetName val="Themenübersicht"/>
      <sheetName val="12"/>
      <sheetName val="Media plan"/>
      <sheetName val="MA-BL"/>
      <sheetName val="Kostenplan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EhHirjlmKjpADbHHAKt_xfi-raugGFbb/view?usp=share_link" TargetMode="External"/><Relationship Id="rId21" Type="http://schemas.openxmlformats.org/officeDocument/2006/relationships/hyperlink" Target="https://drive.google.com/file/d/1fTXgcMgE0NND5xuy7nrso8JYN2CAx3Wd/view?usp=share_link" TargetMode="External"/><Relationship Id="rId42" Type="http://schemas.openxmlformats.org/officeDocument/2006/relationships/hyperlink" Target="https://drive.google.com/file/d/1zvz2d6aWdV5-NKdewrvctJu3W4eS9MBs/view?usp=share_link" TargetMode="External"/><Relationship Id="rId47" Type="http://schemas.openxmlformats.org/officeDocument/2006/relationships/hyperlink" Target="https://drive.google.com/file/d/1DvN_SVpwMOggne3oO_F6Ebyh8nqn_v0_/view?usp=sharing" TargetMode="External"/><Relationship Id="rId63" Type="http://schemas.openxmlformats.org/officeDocument/2006/relationships/hyperlink" Target="https://drive.google.com/file/d/16DOWyaHfPapR_E09Yq9ZNgz6I5L9uaoR/view?usp=sharing" TargetMode="External"/><Relationship Id="rId68" Type="http://schemas.openxmlformats.org/officeDocument/2006/relationships/hyperlink" Target="https://drive.google.com/file/d/19jPyU9cz0xE3cXhxQQKAOwglNGh7SlD4/view?usp=sharing" TargetMode="External"/><Relationship Id="rId84" Type="http://schemas.openxmlformats.org/officeDocument/2006/relationships/hyperlink" Target="https://drive.google.com/file/d/1wKUfdzNyB1S4z4D82hBTXQqZntYOV-PJ/view?usp=sharing" TargetMode="External"/><Relationship Id="rId89" Type="http://schemas.openxmlformats.org/officeDocument/2006/relationships/hyperlink" Target="https://drive.google.com/file/d/1C-iDA9s4-rpvo6wqGoKpEe_M02FMJFle/view?usp=sharing" TargetMode="External"/><Relationship Id="rId16" Type="http://schemas.openxmlformats.org/officeDocument/2006/relationships/hyperlink" Target="https://drive.google.com/file/d/19KWhq7ff9uHpLUqt9rh4Xh6gr8UMmFq3/view?usp=sharing" TargetMode="External"/><Relationship Id="rId11" Type="http://schemas.openxmlformats.org/officeDocument/2006/relationships/hyperlink" Target="https://drive.google.com/file/d/1vMTm7KCKRC1kRx6Pe9J_15irWa8XE1ko/view?usp=sharing" TargetMode="External"/><Relationship Id="rId32" Type="http://schemas.openxmlformats.org/officeDocument/2006/relationships/hyperlink" Target="https://drive.google.com/file/d/1vRhCawTjGglOGhE0YBxDV_zmYClTKSUZ/view?usp=sharing" TargetMode="External"/><Relationship Id="rId37" Type="http://schemas.openxmlformats.org/officeDocument/2006/relationships/hyperlink" Target="https://drive.google.com/file/d/1Ev0WNHh_54Z8B3mgoMWcVmQrH41Yb70F/view?usp=share_link" TargetMode="External"/><Relationship Id="rId53" Type="http://schemas.openxmlformats.org/officeDocument/2006/relationships/hyperlink" Target="https://drive.google.com/file/d/1sMUwcHTAEnvSjLPbkB075Zv5Qcfz29RI/view?usp=share_link" TargetMode="External"/><Relationship Id="rId58" Type="http://schemas.openxmlformats.org/officeDocument/2006/relationships/hyperlink" Target="https://drive.google.com/file/d/1nFtI7bu--IhW_c_po6oCbgrFnxYkMZmv/view?usp=sharing" TargetMode="External"/><Relationship Id="rId74" Type="http://schemas.openxmlformats.org/officeDocument/2006/relationships/hyperlink" Target="https://drive.google.com/file/d/1OLRyllGtnnZrks55o_oejQtn9bH-jSMC/view?usp=share_link" TargetMode="External"/><Relationship Id="rId79" Type="http://schemas.openxmlformats.org/officeDocument/2006/relationships/hyperlink" Target="https://drive.google.com/file/d/1H5FJc-JJq73SFyfUDdXNELZf0UpKye9s/view?usp=sharing" TargetMode="External"/><Relationship Id="rId5" Type="http://schemas.openxmlformats.org/officeDocument/2006/relationships/hyperlink" Target="https://drive.google.com/file/d/1quXGhCLTnIM7kGBFwEGxtIacRUbOy4WR/view?usp=sharing" TargetMode="External"/><Relationship Id="rId90" Type="http://schemas.openxmlformats.org/officeDocument/2006/relationships/hyperlink" Target="https://drive.google.com/file/d/1Ix2D3ZraAvY9TY6kxCjzkZzDsBV3UJCi/view?usp=sharing" TargetMode="External"/><Relationship Id="rId95" Type="http://schemas.openxmlformats.org/officeDocument/2006/relationships/hyperlink" Target="https://drive.google.com/file/d/1Op8OmCxt0XlAMLRGGpST2gaNFR7gV4sL/view?usp=sharing" TargetMode="External"/><Relationship Id="rId22" Type="http://schemas.openxmlformats.org/officeDocument/2006/relationships/hyperlink" Target="https://drive.google.com/file/d/1_RrF_E66GM3a2I3hHhRb8I3BxSu0zXPi/view?usp=sharing" TargetMode="External"/><Relationship Id="rId27" Type="http://schemas.openxmlformats.org/officeDocument/2006/relationships/hyperlink" Target="https://drive.google.com/file/d/1Z56hp581bqT6a67KM51SrknIAyNqh_DV/view?usp=share_link" TargetMode="External"/><Relationship Id="rId43" Type="http://schemas.openxmlformats.org/officeDocument/2006/relationships/hyperlink" Target="https://drive.google.com/file/d/1Hk7KQBGREXGwyUVPY9Mk5bHadU7DeyF0/view?usp=share_link" TargetMode="External"/><Relationship Id="rId48" Type="http://schemas.openxmlformats.org/officeDocument/2006/relationships/hyperlink" Target="https://drive.google.com/file/d/1i2c6rTQzx6XNPd7yJ7N03cS_0hbr7YXh/view?usp=share_link" TargetMode="External"/><Relationship Id="rId64" Type="http://schemas.openxmlformats.org/officeDocument/2006/relationships/hyperlink" Target="https://drive.google.com/file/d/1ApuNaWpH269o67QKkNBFDQtTCM8GtPFB/view?usp=sharing" TargetMode="External"/><Relationship Id="rId69" Type="http://schemas.openxmlformats.org/officeDocument/2006/relationships/hyperlink" Target="https://drive.google.com/file/d/1z0KEVQUH3d_Q-_iugTGiL1y5XQX3oxfj/view?usp=drive_link" TargetMode="External"/><Relationship Id="rId80" Type="http://schemas.openxmlformats.org/officeDocument/2006/relationships/hyperlink" Target="https://drive.google.com/file/d/15soeD0ceGdEeI6f3mywePuSuHUsbnuI2/view?usp=sharing" TargetMode="External"/><Relationship Id="rId85" Type="http://schemas.openxmlformats.org/officeDocument/2006/relationships/hyperlink" Target="https://drive.google.com/file/d/1geJ4mx2oWztg9t9EsAP2EuSbI4lGOeuJ/view?usp=sharing" TargetMode="External"/><Relationship Id="rId3" Type="http://schemas.openxmlformats.org/officeDocument/2006/relationships/hyperlink" Target="https://drive.google.com/file/d/1pvc1ze9XaDa9zXqrR_L4HnuviO57fuh2/view?usp=sharing" TargetMode="External"/><Relationship Id="rId12" Type="http://schemas.openxmlformats.org/officeDocument/2006/relationships/hyperlink" Target="https://drive.google.com/file/d/1FoP6wNHULmlOZ_pPSa7I1JkjzqqVmrfO/view?usp=sharing" TargetMode="External"/><Relationship Id="rId17" Type="http://schemas.openxmlformats.org/officeDocument/2006/relationships/hyperlink" Target="https://drive.google.com/file/d/1DnQCrn1_5HjcvTC9NAU6Ct9mHPa_SG48/view?usp=sharing" TargetMode="External"/><Relationship Id="rId25" Type="http://schemas.openxmlformats.org/officeDocument/2006/relationships/hyperlink" Target="https://drive.google.com/file/d/1tHxuollaKTYGjMCX-Univv3ylah-N3GW/view?usp=share_link" TargetMode="External"/><Relationship Id="rId33" Type="http://schemas.openxmlformats.org/officeDocument/2006/relationships/hyperlink" Target="https://drive.google.com/file/d/1_qUxXKGUGfI47yV8XVOIQuxVu5Fg5s9O/view?usp=share_link" TargetMode="External"/><Relationship Id="rId38" Type="http://schemas.openxmlformats.org/officeDocument/2006/relationships/hyperlink" Target="https://drive.google.com/file/d/1LnsxrJdS3fbWkkd6B8Vo5VQplZvgZYd1/view?usp=share_link" TargetMode="External"/><Relationship Id="rId46" Type="http://schemas.openxmlformats.org/officeDocument/2006/relationships/hyperlink" Target="https://drive.google.com/file/d/1jZDDmLzT0u8iDed_s6yYK-QShJY6lIp_/view?usp=share_link" TargetMode="External"/><Relationship Id="rId59" Type="http://schemas.openxmlformats.org/officeDocument/2006/relationships/hyperlink" Target="https://drive.google.com/file/d/1O-r0Smtnr9t53zNNlhB--ueeDrc-dpkd/view?usp=sharing" TargetMode="External"/><Relationship Id="rId67" Type="http://schemas.openxmlformats.org/officeDocument/2006/relationships/hyperlink" Target="https://drive.google.com/file/d/1JD443DtIWKJ0jVBmRbasSd4P9YC8QzkJ/view?usp=drive_link" TargetMode="External"/><Relationship Id="rId20" Type="http://schemas.openxmlformats.org/officeDocument/2006/relationships/hyperlink" Target="https://drive.google.com/file/d/1yxB8QzRSjo_srPl_-FxlOi68Agb24l3A/view?usp=share_link" TargetMode="External"/><Relationship Id="rId41" Type="http://schemas.openxmlformats.org/officeDocument/2006/relationships/hyperlink" Target="https://drive.google.com/file/d/1Zclt2EMjLts4ExpbtwTOFVcrz3S1A5BS/view?usp=sharing" TargetMode="External"/><Relationship Id="rId54" Type="http://schemas.openxmlformats.org/officeDocument/2006/relationships/hyperlink" Target="https://drive.google.com/file/d/1ecS9P5s7IrcGwxYk13fUxs4YBBPtZYuk/view?usp=sharing" TargetMode="External"/><Relationship Id="rId62" Type="http://schemas.openxmlformats.org/officeDocument/2006/relationships/hyperlink" Target="https://drive.google.com/file/d/11jvvpVYYUhpXZVLmFWh724o0GGCkQdCg/view?usp=sharing" TargetMode="External"/><Relationship Id="rId70" Type="http://schemas.openxmlformats.org/officeDocument/2006/relationships/hyperlink" Target="https://drive.google.com/file/d/1K7nBqedkGDKdjW0-23YyArx3A18yE4ki/view?usp=share_link" TargetMode="External"/><Relationship Id="rId75" Type="http://schemas.openxmlformats.org/officeDocument/2006/relationships/hyperlink" Target="https://drive.google.com/file/d/11OB1vUpi60hcb25AdcPng8wMXG24LF-C/view?usp=share_link" TargetMode="External"/><Relationship Id="rId83" Type="http://schemas.openxmlformats.org/officeDocument/2006/relationships/hyperlink" Target="https://drive.google.com/file/d/1vSNbVr9bpDvhK7hn6GJJT3YvQOUfTkUe/view?usp=sharing" TargetMode="External"/><Relationship Id="rId88" Type="http://schemas.openxmlformats.org/officeDocument/2006/relationships/hyperlink" Target="https://drive.google.com/file/d/1ONXVeaA2AvHXV3Xy_Qp1_DnD00LCuHMa/view?usp=sharing" TargetMode="External"/><Relationship Id="rId91" Type="http://schemas.openxmlformats.org/officeDocument/2006/relationships/hyperlink" Target="https://drive.google.com/file/d/1vMTm7KCKRC1kRx6Pe9J_15irWa8XE1ko/view?usp=sharing" TargetMode="External"/><Relationship Id="rId96" Type="http://schemas.openxmlformats.org/officeDocument/2006/relationships/hyperlink" Target="https://drive.google.com/file/d/1a1M3KK9fFbtFRJ2tHmbSAqUxCqecRRxD/view?usp=sharing" TargetMode="External"/><Relationship Id="rId1" Type="http://schemas.openxmlformats.org/officeDocument/2006/relationships/hyperlink" Target="https://drive.google.com/file/d/1hxEaZrQobTzYpc-MNOyj-gMtGOMltt7J/view?usp=sharing" TargetMode="External"/><Relationship Id="rId6" Type="http://schemas.openxmlformats.org/officeDocument/2006/relationships/hyperlink" Target="https://drive.google.com/file/d/1Hl6seV4yHlF5nlT9lsEyJtsTM2p983cX/view?usp=sharing" TargetMode="External"/><Relationship Id="rId15" Type="http://schemas.openxmlformats.org/officeDocument/2006/relationships/hyperlink" Target="https://drive.google.com/file/d/1B7HyiBCH1WA26VNLLscTZPfdrU54FM0W/view?usp=sharing" TargetMode="External"/><Relationship Id="rId23" Type="http://schemas.openxmlformats.org/officeDocument/2006/relationships/hyperlink" Target="https://drive.google.com/file/d/1JQcJ8uOe-zQwrRK5m2lveI602POhvIIM/view?usp=drive_link" TargetMode="External"/><Relationship Id="rId28" Type="http://schemas.openxmlformats.org/officeDocument/2006/relationships/hyperlink" Target="https://drive.google.com/file/d/1_-rVDBhUnU_QrukFGGz_ACm_jv9yyNRP/view?usp=drive_link" TargetMode="External"/><Relationship Id="rId36" Type="http://schemas.openxmlformats.org/officeDocument/2006/relationships/hyperlink" Target="https://drive.google.com/file/d/1II1GBJNmRAnX0-Rbw4xTG1RSwQSs6W-r/view?usp=sharing" TargetMode="External"/><Relationship Id="rId49" Type="http://schemas.openxmlformats.org/officeDocument/2006/relationships/hyperlink" Target="https://drive.google.com/file/d/1AoncQWdIihQbhdEUTdP5QF4aXor3r_VB/view?usp=sharing" TargetMode="External"/><Relationship Id="rId57" Type="http://schemas.openxmlformats.org/officeDocument/2006/relationships/hyperlink" Target="https://drive.google.com/file/d/1FLlNBupcjSkQ3SH0f6Vsyvtj23fAG5-K/view?usp=sharing" TargetMode="External"/><Relationship Id="rId10" Type="http://schemas.openxmlformats.org/officeDocument/2006/relationships/hyperlink" Target="https://drive.google.com/file/d/1_eovO5A2s6D6wzSTOcxFmtSBnybbKG6G/view?usp=sharing" TargetMode="External"/><Relationship Id="rId31" Type="http://schemas.openxmlformats.org/officeDocument/2006/relationships/hyperlink" Target="https://drive.google.com/file/d/1UdjV31ESml3UxM438o8cTmiKfil1cGNL/view?usp=share_link" TargetMode="External"/><Relationship Id="rId44" Type="http://schemas.openxmlformats.org/officeDocument/2006/relationships/hyperlink" Target="https://drive.google.com/file/d/1YG7XfwNwK9d1jFIiayywQJW664yXxNtr/view?usp=share_link" TargetMode="External"/><Relationship Id="rId52" Type="http://schemas.openxmlformats.org/officeDocument/2006/relationships/hyperlink" Target="https://drive.google.com/file/d/1advJYQYPx79MoLsP7ZXZOr_8FwW2qfuw/view?usp=share_link" TargetMode="External"/><Relationship Id="rId60" Type="http://schemas.openxmlformats.org/officeDocument/2006/relationships/hyperlink" Target="https://drive.google.com/file/d/1tMficYIDQ7vL5DZhwcUsHG2MEvucDTLY/view?usp=sharing" TargetMode="External"/><Relationship Id="rId65" Type="http://schemas.openxmlformats.org/officeDocument/2006/relationships/hyperlink" Target="https://drive.google.com/file/d/1cXCBfiE8xkXo0CeD9nB9QBaW72k3wQ89/view?usp=share_link" TargetMode="External"/><Relationship Id="rId73" Type="http://schemas.openxmlformats.org/officeDocument/2006/relationships/hyperlink" Target="https://drive.google.com/file/d/1381oWSjUlpUmp6ysOYzeRDhLo5SwV65I/view?usp=share_link" TargetMode="External"/><Relationship Id="rId78" Type="http://schemas.openxmlformats.org/officeDocument/2006/relationships/hyperlink" Target="https://drive.google.com/file/d/1NifwTU0Vg8ElfKLjqr6nvhCBgb4ZCAu5/view?usp=share_link" TargetMode="External"/><Relationship Id="rId81" Type="http://schemas.openxmlformats.org/officeDocument/2006/relationships/hyperlink" Target="https://drive.google.com/file/d/1KqmjnS2m0Bk-nJGflTRRAchGM_q0JThC/view?usp=sharing" TargetMode="External"/><Relationship Id="rId86" Type="http://schemas.openxmlformats.org/officeDocument/2006/relationships/hyperlink" Target="https://drive.google.com/file/d/1n6hs8FxT8l1Aubr9sjWtUNZ3jqT4ivJk/view?usp=sharing" TargetMode="External"/><Relationship Id="rId94" Type="http://schemas.openxmlformats.org/officeDocument/2006/relationships/hyperlink" Target="https://drive.google.com/file/d/1_eovO5A2s6D6wzSTOcxFmtSBnybbKG6G/view?usp=sharing" TargetMode="External"/><Relationship Id="rId99" Type="http://schemas.openxmlformats.org/officeDocument/2006/relationships/drawing" Target="../drawings/drawing1.xml"/><Relationship Id="rId4" Type="http://schemas.openxmlformats.org/officeDocument/2006/relationships/hyperlink" Target="https://drive.google.com/file/d/1wNbKCTCkLv46KYIKxXck4xW0wruPSbJq/view?usp=sharing" TargetMode="External"/><Relationship Id="rId9" Type="http://schemas.openxmlformats.org/officeDocument/2006/relationships/hyperlink" Target="https://drive.google.com/file/d/1VUOJr_-pgS1AS3ugYs5_lKDD7zl0Npvd/view?usp=sharing" TargetMode="External"/><Relationship Id="rId13" Type="http://schemas.openxmlformats.org/officeDocument/2006/relationships/hyperlink" Target="https://drive.google.com/file/d/1XDUxmv6U2P6csDfWTBLOrW5xZI6LUt0j/view?usp=sharing" TargetMode="External"/><Relationship Id="rId18" Type="http://schemas.openxmlformats.org/officeDocument/2006/relationships/hyperlink" Target="https://drive.google.com/file/d/1Ctl7FYqfvfjvgMNE6fYjEUmiiwSVnoVr/view?usp=sharing" TargetMode="External"/><Relationship Id="rId39" Type="http://schemas.openxmlformats.org/officeDocument/2006/relationships/hyperlink" Target="https://drive.google.com/file/d/19mIfVf4oIWv2yB-2kgbirpwVg3CIKtda/view?usp=drive_link" TargetMode="External"/><Relationship Id="rId34" Type="http://schemas.openxmlformats.org/officeDocument/2006/relationships/hyperlink" Target="https://drive.google.com/file/d/1UHA2tboWD5Wyn735Gt0Roopa6jO7c3rH/view?usp=share_link" TargetMode="External"/><Relationship Id="rId50" Type="http://schemas.openxmlformats.org/officeDocument/2006/relationships/hyperlink" Target="https://drive.google.com/file/d/10zVtVzsk61gjpOxyK345lp3-z8CekXyW/view?usp=sharing" TargetMode="External"/><Relationship Id="rId55" Type="http://schemas.openxmlformats.org/officeDocument/2006/relationships/hyperlink" Target="https://drive.google.com/file/d/1KDZHTHQwD16KGLuxqxHcFnsp05ITUOJK/view?usp=sharing" TargetMode="External"/><Relationship Id="rId76" Type="http://schemas.openxmlformats.org/officeDocument/2006/relationships/hyperlink" Target="https://drive.google.com/file/d/1wRJmL9cWiW402cRNpCeANgmmT3hLApR_/view" TargetMode="External"/><Relationship Id="rId97" Type="http://schemas.openxmlformats.org/officeDocument/2006/relationships/hyperlink" Target="https://drive.google.com/file/d/18s4BVhiBB1v3BorQC1Ul7L1LI5A7UMmH/view?usp=sharing" TargetMode="External"/><Relationship Id="rId7" Type="http://schemas.openxmlformats.org/officeDocument/2006/relationships/hyperlink" Target="https://drive.google.com/file/d/1YSk_GvU6-OZEd87kx63F09Zp4hAXNjcb/view?usp=sharing" TargetMode="External"/><Relationship Id="rId71" Type="http://schemas.openxmlformats.org/officeDocument/2006/relationships/hyperlink" Target="https://drive.google.com/file/d/1KTcnGAELIse7ph8-CMAXR2Y-AaJK0RPP/view?usp=share_link" TargetMode="External"/><Relationship Id="rId92" Type="http://schemas.openxmlformats.org/officeDocument/2006/relationships/hyperlink" Target="https://drive.google.com/file/d/18soJTAounJxeZtjNYBtLoC_UvzAtEt0L/view?usp=sharing" TargetMode="External"/><Relationship Id="rId2" Type="http://schemas.openxmlformats.org/officeDocument/2006/relationships/hyperlink" Target="https://drive.google.com/file/d/1jGc72dQgEBmA678zSfJKUGk5C4OoB53Q/view?usp=sharing" TargetMode="External"/><Relationship Id="rId29" Type="http://schemas.openxmlformats.org/officeDocument/2006/relationships/hyperlink" Target="https://drive.google.com/file/d/1-ejPTUGFXee5zhaVnWAXXRsSaqNcWlkH/view?usp=share_link" TargetMode="External"/><Relationship Id="rId24" Type="http://schemas.openxmlformats.org/officeDocument/2006/relationships/hyperlink" Target="https://drive.google.com/file/d/1AmLsbhQCg_OQ8-ZTLDY4kH4wr8_C-C08/view?usp=share_link" TargetMode="External"/><Relationship Id="rId40" Type="http://schemas.openxmlformats.org/officeDocument/2006/relationships/hyperlink" Target="https://drive.google.com/file/d/1AOmWNcLSVPTqpDDvHh6jqQ6bZ-GM1OLR/view?usp=share_link" TargetMode="External"/><Relationship Id="rId45" Type="http://schemas.openxmlformats.org/officeDocument/2006/relationships/hyperlink" Target="https://drive.google.com/file/d/1QK6RRFau8-H35b8X0bbGxiiRW5p5iP5P/view?usp=sharing" TargetMode="External"/><Relationship Id="rId66" Type="http://schemas.openxmlformats.org/officeDocument/2006/relationships/hyperlink" Target="https://drive.google.com/file/d/1JtiS-oz5ZyEh7YPH2-iIQCpYel9TB8pk/view?usp=sharing" TargetMode="External"/><Relationship Id="rId87" Type="http://schemas.openxmlformats.org/officeDocument/2006/relationships/hyperlink" Target="https://drive.google.com/file/d/1YSk_GvU6-OZEd87kx63F09Zp4hAXNjcb/view?usp=sharing" TargetMode="External"/><Relationship Id="rId61" Type="http://schemas.openxmlformats.org/officeDocument/2006/relationships/hyperlink" Target="https://drive.google.com/file/d/1IWkRcqgbCE42igM244CcGpCXtGcwmSJ8/view?usp=sharing" TargetMode="External"/><Relationship Id="rId82" Type="http://schemas.openxmlformats.org/officeDocument/2006/relationships/hyperlink" Target="https://drive.google.com/file/d/18Pz95CwQFPcePbnoUt8o6417avP4Sskz/view?usp=sharing" TargetMode="External"/><Relationship Id="rId19" Type="http://schemas.openxmlformats.org/officeDocument/2006/relationships/hyperlink" Target="https://drive.google.com/file/d/1C6go8NsQQmGjifEQe0XfPuNIt4ntS_TM/view?usp=sharing" TargetMode="External"/><Relationship Id="rId14" Type="http://schemas.openxmlformats.org/officeDocument/2006/relationships/hyperlink" Target="https://drive.google.com/file/d/1QcS4TNrfE27On9gOCIVJNkSEuQViublf/view?usp=sharing" TargetMode="External"/><Relationship Id="rId30" Type="http://schemas.openxmlformats.org/officeDocument/2006/relationships/hyperlink" Target="https://drive.google.com/file/d/1gYBbqvKE5D1NyVLZA63RxQaNqKEkGXQ9/view?usp=share_link" TargetMode="External"/><Relationship Id="rId35" Type="http://schemas.openxmlformats.org/officeDocument/2006/relationships/hyperlink" Target="https://drive.google.com/file/d/1VK8ClvH6nlLF2GWGjjwlS2ac2k4BXqSA/view?usp=drive_link" TargetMode="External"/><Relationship Id="rId56" Type="http://schemas.openxmlformats.org/officeDocument/2006/relationships/hyperlink" Target="https://drive.google.com/file/d/1wkazpC2cwFnMzdXp-6qimQwV8mdiXTd3/view?usp=sharing" TargetMode="External"/><Relationship Id="rId77" Type="http://schemas.openxmlformats.org/officeDocument/2006/relationships/hyperlink" Target="https://drive.google.com/file/d/1evghv2gvLlU1Zyu-lKH3ClvSnR5eLnPT/view?usp=share_link" TargetMode="External"/><Relationship Id="rId8" Type="http://schemas.openxmlformats.org/officeDocument/2006/relationships/hyperlink" Target="https://drive.google.com/file/d/15iW6oQgKyOVFeHYZrusj1pfbOPtG14nK/view?usp=sharing" TargetMode="External"/><Relationship Id="rId51" Type="http://schemas.openxmlformats.org/officeDocument/2006/relationships/hyperlink" Target="https://drive.google.com/file/d/1ycLf-P3BZxjI57BB7pnH2-fsM-2HKShU/view?usp=share_link" TargetMode="External"/><Relationship Id="rId72" Type="http://schemas.openxmlformats.org/officeDocument/2006/relationships/hyperlink" Target="https://drive.google.com/file/d/1XQMaKcaMiZagTd5meIVZtiw-yEiuXdRE/view?usp=share_link" TargetMode="External"/><Relationship Id="rId93" Type="http://schemas.openxmlformats.org/officeDocument/2006/relationships/hyperlink" Target="https://drive.google.com/file/d/1Blkbtw2uYfjndUbRgFkAgqKnikel2z40/view?usp=sharing" TargetMode="External"/><Relationship Id="rId98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O-r0Smtnr9t53zNNlhB--ueeDrc-dpkd/view?usp=sharing" TargetMode="External"/><Relationship Id="rId21" Type="http://schemas.openxmlformats.org/officeDocument/2006/relationships/hyperlink" Target="https://drive.google.com/file/d/1ecS9P5s7IrcGwxYk13fUxs4YBBPtZYuk/view?usp=sharing" TargetMode="External"/><Relationship Id="rId42" Type="http://schemas.openxmlformats.org/officeDocument/2006/relationships/hyperlink" Target="https://drive.google.com/file/d/1gYBbqvKE5D1NyVLZA63RxQaNqKEkGXQ9/view?usp=share_link" TargetMode="External"/><Relationship Id="rId47" Type="http://schemas.openxmlformats.org/officeDocument/2006/relationships/hyperlink" Target="https://drive.google.com/file/d/1VK8ClvH6nlLF2GWGjjwlS2ac2k4BXqSA/view?usp=drive_link" TargetMode="External"/><Relationship Id="rId63" Type="http://schemas.openxmlformats.org/officeDocument/2006/relationships/hyperlink" Target="https://drive.google.com/file/d/1ycLf-P3BZxjI57BB7pnH2-fsM-2HKShU/view?usp=share_link" TargetMode="External"/><Relationship Id="rId68" Type="http://schemas.openxmlformats.org/officeDocument/2006/relationships/hyperlink" Target="https://drive.google.com/file/d/1JD443DtIWKJ0jVBmRbasSd4P9YC8QzkJ/view?usp=drive_link" TargetMode="External"/><Relationship Id="rId84" Type="http://schemas.openxmlformats.org/officeDocument/2006/relationships/hyperlink" Target="https://drive.google.com/file/d/1n6hs8FxT8l1Aubr9sjWtUNZ3jqT4ivJk/view?usp=sharing" TargetMode="External"/><Relationship Id="rId89" Type="http://schemas.openxmlformats.org/officeDocument/2006/relationships/hyperlink" Target="https://drive.google.com/file/d/1vMTm7KCKRC1kRx6Pe9J_15irWa8XE1ko/view?usp=sharing" TargetMode="External"/><Relationship Id="rId16" Type="http://schemas.openxmlformats.org/officeDocument/2006/relationships/hyperlink" Target="https://drive.google.com/file/d/1B7HyiBCH1WA26VNLLscTZPfdrU54FM0W/view?usp=sharing" TargetMode="External"/><Relationship Id="rId11" Type="http://schemas.openxmlformats.org/officeDocument/2006/relationships/hyperlink" Target="https://drive.google.com/file/d/1_eovO5A2s6D6wzSTOcxFmtSBnybbKG6G/view?usp=sharing" TargetMode="External"/><Relationship Id="rId32" Type="http://schemas.openxmlformats.org/officeDocument/2006/relationships/hyperlink" Target="https://drive.google.com/file/d/1yxB8QzRSjo_srPl_-FxlOi68Agb24l3A/view?usp=share_link" TargetMode="External"/><Relationship Id="rId37" Type="http://schemas.openxmlformats.org/officeDocument/2006/relationships/hyperlink" Target="https://drive.google.com/file/d/1tHxuollaKTYGjMCX-Univv3ylah-N3GW/view?usp=share_link" TargetMode="External"/><Relationship Id="rId53" Type="http://schemas.openxmlformats.org/officeDocument/2006/relationships/hyperlink" Target="https://drive.google.com/file/d/1Zclt2EMjLts4ExpbtwTOFVcrz3S1A5BS/view?usp=sharing" TargetMode="External"/><Relationship Id="rId58" Type="http://schemas.openxmlformats.org/officeDocument/2006/relationships/hyperlink" Target="https://drive.google.com/file/d/1jZDDmLzT0u8iDed_s6yYK-QShJY6lIp_/view?usp=share_link" TargetMode="External"/><Relationship Id="rId74" Type="http://schemas.openxmlformats.org/officeDocument/2006/relationships/hyperlink" Target="https://drive.google.com/file/d/1381oWSjUlpUmp6ysOYzeRDhLo5SwV65I/view?usp=share_link" TargetMode="External"/><Relationship Id="rId79" Type="http://schemas.openxmlformats.org/officeDocument/2006/relationships/hyperlink" Target="https://drive.google.com/file/d/1KqmjnS2m0Bk-nJGflTRRAchGM_q0JThC/view?usp=sharing" TargetMode="External"/><Relationship Id="rId5" Type="http://schemas.openxmlformats.org/officeDocument/2006/relationships/hyperlink" Target="https://drive.google.com/file/d/1wNbKCTCkLv46KYIKxXck4xW0wruPSbJq/view?usp=sharing" TargetMode="External"/><Relationship Id="rId90" Type="http://schemas.openxmlformats.org/officeDocument/2006/relationships/hyperlink" Target="https://drive.google.com/file/d/18soJTAounJxeZtjNYBtLoC_UvzAtEt0L/view?usp=sharing" TargetMode="External"/><Relationship Id="rId95" Type="http://schemas.openxmlformats.org/officeDocument/2006/relationships/hyperlink" Target="https://drive.google.com/file/d/18s4BVhiBB1v3BorQC1Ul7L1LI5A7UMmH/view?usp=sharing" TargetMode="External"/><Relationship Id="rId22" Type="http://schemas.openxmlformats.org/officeDocument/2006/relationships/hyperlink" Target="https://drive.google.com/file/d/1KDZHTHQwD16KGLuxqxHcFnsp05ITUOJK/view?usp=sharing" TargetMode="External"/><Relationship Id="rId27" Type="http://schemas.openxmlformats.org/officeDocument/2006/relationships/hyperlink" Target="https://drive.google.com/file/d/1tMficYIDQ7vL5DZhwcUsHG2MEvucDTLY/view?usp=sharing" TargetMode="External"/><Relationship Id="rId43" Type="http://schemas.openxmlformats.org/officeDocument/2006/relationships/hyperlink" Target="https://drive.google.com/file/d/1UdjV31ESml3UxM438o8cTmiKfil1cGNL/view?usp=share_link" TargetMode="External"/><Relationship Id="rId48" Type="http://schemas.openxmlformats.org/officeDocument/2006/relationships/hyperlink" Target="https://drive.google.com/file/d/1II1GBJNmRAnX0-Rbw4xTG1RSwQSs6W-r/view?usp=sharing" TargetMode="External"/><Relationship Id="rId64" Type="http://schemas.openxmlformats.org/officeDocument/2006/relationships/hyperlink" Target="https://drive.google.com/file/d/1advJYQYPx79MoLsP7ZXZOr_8FwW2qfuw/view?usp=share_link" TargetMode="External"/><Relationship Id="rId69" Type="http://schemas.openxmlformats.org/officeDocument/2006/relationships/hyperlink" Target="https://drive.google.com/file/d/19jPyU9cz0xE3cXhxQQKAOwglNGh7SlD4/view?usp=sharing" TargetMode="External"/><Relationship Id="rId80" Type="http://schemas.openxmlformats.org/officeDocument/2006/relationships/hyperlink" Target="https://drive.google.com/file/d/18Pz95CwQFPcePbnoUt8o6417avP4Sskz/view?usp=sharing" TargetMode="External"/><Relationship Id="rId85" Type="http://schemas.openxmlformats.org/officeDocument/2006/relationships/hyperlink" Target="https://drive.google.com/file/d/1YSk_GvU6-OZEd87kx63F09Zp4hAXNjcb/view?usp=sharing" TargetMode="External"/><Relationship Id="rId3" Type="http://schemas.openxmlformats.org/officeDocument/2006/relationships/hyperlink" Target="https://drive.google.com/file/d/1jGc72dQgEBmA678zSfJKUGk5C4OoB53Q/view?usp=sharing" TargetMode="External"/><Relationship Id="rId12" Type="http://schemas.openxmlformats.org/officeDocument/2006/relationships/hyperlink" Target="https://drive.google.com/file/d/1vMTm7KCKRC1kRx6Pe9J_15irWa8XE1ko/view?usp=sharing" TargetMode="External"/><Relationship Id="rId17" Type="http://schemas.openxmlformats.org/officeDocument/2006/relationships/hyperlink" Target="https://drive.google.com/file/d/19KWhq7ff9uHpLUqt9rh4Xh6gr8UMmFq3/view?usp=sharing" TargetMode="External"/><Relationship Id="rId25" Type="http://schemas.openxmlformats.org/officeDocument/2006/relationships/hyperlink" Target="https://drive.google.com/file/d/1nFtI7bu--IhW_c_po6oCbgrFnxYkMZmv/view?usp=sharing" TargetMode="External"/><Relationship Id="rId33" Type="http://schemas.openxmlformats.org/officeDocument/2006/relationships/hyperlink" Target="https://drive.google.com/file/d/1fTXgcMgE0NND5xuy7nrso8JYN2CAx3Wd/view?usp=share_link" TargetMode="External"/><Relationship Id="rId38" Type="http://schemas.openxmlformats.org/officeDocument/2006/relationships/hyperlink" Target="https://drive.google.com/file/d/1EhHirjlmKjpADbHHAKt_xfi-raugGFbb/view?usp=share_link" TargetMode="External"/><Relationship Id="rId46" Type="http://schemas.openxmlformats.org/officeDocument/2006/relationships/hyperlink" Target="https://drive.google.com/file/d/1UHA2tboWD5Wyn735Gt0Roopa6jO7c3rH/view?usp=share_link" TargetMode="External"/><Relationship Id="rId59" Type="http://schemas.openxmlformats.org/officeDocument/2006/relationships/hyperlink" Target="https://drive.google.com/file/d/1DvN_SVpwMOggne3oO_F6Ebyh8nqn_v0_/view?usp=sharing" TargetMode="External"/><Relationship Id="rId67" Type="http://schemas.openxmlformats.org/officeDocument/2006/relationships/hyperlink" Target="https://drive.google.com/file/d/1JtiS-oz5ZyEh7YPH2-iIQCpYel9TB8pk/view?usp=sharing" TargetMode="External"/><Relationship Id="rId20" Type="http://schemas.openxmlformats.org/officeDocument/2006/relationships/hyperlink" Target="https://drive.google.com/file/d/1C6go8NsQQmGjifEQe0XfPuNIt4ntS_TM/view?usp=sharing" TargetMode="External"/><Relationship Id="rId41" Type="http://schemas.openxmlformats.org/officeDocument/2006/relationships/hyperlink" Target="https://drive.google.com/file/d/1-ejPTUGFXee5zhaVnWAXXRsSaqNcWlkH/view?usp=share_link" TargetMode="External"/><Relationship Id="rId54" Type="http://schemas.openxmlformats.org/officeDocument/2006/relationships/hyperlink" Target="https://drive.google.com/file/d/1zvz2d6aWdV5-NKdewrvctJu3W4eS9MBs/view?usp=share_link" TargetMode="External"/><Relationship Id="rId62" Type="http://schemas.openxmlformats.org/officeDocument/2006/relationships/hyperlink" Target="https://drive.google.com/file/d/10zVtVzsk61gjpOxyK345lp3-z8CekXyW/view?usp=sharing" TargetMode="External"/><Relationship Id="rId70" Type="http://schemas.openxmlformats.org/officeDocument/2006/relationships/hyperlink" Target="https://drive.google.com/file/d/1z0KEVQUH3d_Q-_iugTGiL1y5XQX3oxfj/view?usp=drive_link" TargetMode="External"/><Relationship Id="rId75" Type="http://schemas.openxmlformats.org/officeDocument/2006/relationships/hyperlink" Target="https://drive.google.com/file/d/1OLRyllGtnnZrks55o_oejQtn9bH-jSMC/view?usp=share_link" TargetMode="External"/><Relationship Id="rId83" Type="http://schemas.openxmlformats.org/officeDocument/2006/relationships/hyperlink" Target="https://drive.google.com/file/d/1geJ4mx2oWztg9t9EsAP2EuSbI4lGOeuJ/view?usp=sharing" TargetMode="External"/><Relationship Id="rId88" Type="http://schemas.openxmlformats.org/officeDocument/2006/relationships/hyperlink" Target="https://drive.google.com/file/d/1Ix2D3ZraAvY9TY6kxCjzkZzDsBV3UJCi/view?usp=sharing" TargetMode="External"/><Relationship Id="rId91" Type="http://schemas.openxmlformats.org/officeDocument/2006/relationships/hyperlink" Target="https://drive.google.com/file/d/1Blkbtw2uYfjndUbRgFkAgqKnikel2z40/view?usp=sharing" TargetMode="External"/><Relationship Id="rId96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file/d/1wRJmL9cWiW402cRNpCeANgmmT3hLApR_/view" TargetMode="External"/><Relationship Id="rId6" Type="http://schemas.openxmlformats.org/officeDocument/2006/relationships/hyperlink" Target="https://drive.google.com/file/d/1quXGhCLTnIM7kGBFwEGxtIacRUbOy4WR/view?usp=sharing" TargetMode="External"/><Relationship Id="rId15" Type="http://schemas.openxmlformats.org/officeDocument/2006/relationships/hyperlink" Target="https://drive.google.com/file/d/1QcS4TNrfE27On9gOCIVJNkSEuQViublf/view?usp=sharing" TargetMode="External"/><Relationship Id="rId23" Type="http://schemas.openxmlformats.org/officeDocument/2006/relationships/hyperlink" Target="https://drive.google.com/file/d/1wkazpC2cwFnMzdXp-6qimQwV8mdiXTd3/view?usp=sharing" TargetMode="External"/><Relationship Id="rId28" Type="http://schemas.openxmlformats.org/officeDocument/2006/relationships/hyperlink" Target="https://drive.google.com/file/d/1IWkRcqgbCE42igM244CcGpCXtGcwmSJ8/view?usp=sharing" TargetMode="External"/><Relationship Id="rId36" Type="http://schemas.openxmlformats.org/officeDocument/2006/relationships/hyperlink" Target="https://drive.google.com/file/d/1AmLsbhQCg_OQ8-ZTLDY4kH4wr8_C-C08/view?usp=share_link" TargetMode="External"/><Relationship Id="rId49" Type="http://schemas.openxmlformats.org/officeDocument/2006/relationships/hyperlink" Target="https://drive.google.com/file/d/1Ev0WNHh_54Z8B3mgoMWcVmQrH41Yb70F/view?usp=share_link" TargetMode="External"/><Relationship Id="rId57" Type="http://schemas.openxmlformats.org/officeDocument/2006/relationships/hyperlink" Target="https://drive.google.com/file/d/1QK6RRFau8-H35b8X0bbGxiiRW5p5iP5P/view?usp=sharing" TargetMode="External"/><Relationship Id="rId10" Type="http://schemas.openxmlformats.org/officeDocument/2006/relationships/hyperlink" Target="https://drive.google.com/file/d/1VUOJr_-pgS1AS3ugYs5_lKDD7zl0Npvd/view?usp=sharing" TargetMode="External"/><Relationship Id="rId31" Type="http://schemas.openxmlformats.org/officeDocument/2006/relationships/hyperlink" Target="https://drive.google.com/file/d/1ApuNaWpH269o67QKkNBFDQtTCM8GtPFB/view?usp=sharing" TargetMode="External"/><Relationship Id="rId44" Type="http://schemas.openxmlformats.org/officeDocument/2006/relationships/hyperlink" Target="https://drive.google.com/file/d/1vRhCawTjGglOGhE0YBxDV_zmYClTKSUZ/view?usp=sharing" TargetMode="External"/><Relationship Id="rId52" Type="http://schemas.openxmlformats.org/officeDocument/2006/relationships/hyperlink" Target="https://drive.google.com/file/d/1AOmWNcLSVPTqpDDvHh6jqQ6bZ-GM1OLR/view?usp=share_link" TargetMode="External"/><Relationship Id="rId60" Type="http://schemas.openxmlformats.org/officeDocument/2006/relationships/hyperlink" Target="https://drive.google.com/file/d/1i2c6rTQzx6XNPd7yJ7N03cS_0hbr7YXh/view?usp=share_link" TargetMode="External"/><Relationship Id="rId65" Type="http://schemas.openxmlformats.org/officeDocument/2006/relationships/hyperlink" Target="https://drive.google.com/file/d/1sMUwcHTAEnvSjLPbkB075Zv5Qcfz29RI/view?usp=share_link" TargetMode="External"/><Relationship Id="rId73" Type="http://schemas.openxmlformats.org/officeDocument/2006/relationships/hyperlink" Target="https://drive.google.com/file/d/1XQMaKcaMiZagTd5meIVZtiw-yEiuXdRE/view?usp=share_link" TargetMode="External"/><Relationship Id="rId78" Type="http://schemas.openxmlformats.org/officeDocument/2006/relationships/hyperlink" Target="https://drive.google.com/file/d/15soeD0ceGdEeI6f3mywePuSuHUsbnuI2/view?usp=sharing" TargetMode="External"/><Relationship Id="rId81" Type="http://schemas.openxmlformats.org/officeDocument/2006/relationships/hyperlink" Target="https://drive.google.com/file/d/1vSNbVr9bpDvhK7hn6GJJT3YvQOUfTkUe/view?usp=sharing" TargetMode="External"/><Relationship Id="rId86" Type="http://schemas.openxmlformats.org/officeDocument/2006/relationships/hyperlink" Target="https://drive.google.com/file/d/1ONXVeaA2AvHXV3Xy_Qp1_DnD00LCuHMa/view?usp=sharing" TargetMode="External"/><Relationship Id="rId94" Type="http://schemas.openxmlformats.org/officeDocument/2006/relationships/hyperlink" Target="https://drive.google.com/file/d/1a1M3KK9fFbtFRJ2tHmbSAqUxCqecRRxD/view?usp=sharing" TargetMode="External"/><Relationship Id="rId4" Type="http://schemas.openxmlformats.org/officeDocument/2006/relationships/hyperlink" Target="https://drive.google.com/file/d/1pvc1ze9XaDa9zXqrR_L4HnuviO57fuh2/view?usp=sharing" TargetMode="External"/><Relationship Id="rId9" Type="http://schemas.openxmlformats.org/officeDocument/2006/relationships/hyperlink" Target="https://drive.google.com/file/d/15iW6oQgKyOVFeHYZrusj1pfbOPtG14nK/view?usp=sharing" TargetMode="External"/><Relationship Id="rId13" Type="http://schemas.openxmlformats.org/officeDocument/2006/relationships/hyperlink" Target="https://drive.google.com/file/d/1FoP6wNHULmlOZ_pPSa7I1JkjzqqVmrfO/view?usp=sharing" TargetMode="External"/><Relationship Id="rId18" Type="http://schemas.openxmlformats.org/officeDocument/2006/relationships/hyperlink" Target="https://drive.google.com/file/d/1DnQCrn1_5HjcvTC9NAU6Ct9mHPa_SG48/view?usp=sharing" TargetMode="External"/><Relationship Id="rId39" Type="http://schemas.openxmlformats.org/officeDocument/2006/relationships/hyperlink" Target="https://drive.google.com/file/d/1Z56hp581bqT6a67KM51SrknIAyNqh_DV/view?usp=share_link" TargetMode="External"/><Relationship Id="rId34" Type="http://schemas.openxmlformats.org/officeDocument/2006/relationships/hyperlink" Target="https://drive.google.com/file/d/1_RrF_E66GM3a2I3hHhRb8I3BxSu0zXPi/view?usp=sharing" TargetMode="External"/><Relationship Id="rId50" Type="http://schemas.openxmlformats.org/officeDocument/2006/relationships/hyperlink" Target="https://drive.google.com/file/d/1LnsxrJdS3fbWkkd6B8Vo5VQplZvgZYd1/view?usp=share_link" TargetMode="External"/><Relationship Id="rId55" Type="http://schemas.openxmlformats.org/officeDocument/2006/relationships/hyperlink" Target="https://drive.google.com/file/d/1Hk7KQBGREXGwyUVPY9Mk5bHadU7DeyF0/view?usp=share_link" TargetMode="External"/><Relationship Id="rId76" Type="http://schemas.openxmlformats.org/officeDocument/2006/relationships/hyperlink" Target="https://drive.google.com/file/d/11OB1vUpi60hcb25AdcPng8wMXG24LF-C/view?usp=share_link" TargetMode="External"/><Relationship Id="rId97" Type="http://schemas.openxmlformats.org/officeDocument/2006/relationships/drawing" Target="../drawings/drawing2.xml"/><Relationship Id="rId7" Type="http://schemas.openxmlformats.org/officeDocument/2006/relationships/hyperlink" Target="https://drive.google.com/file/d/1Hl6seV4yHlF5nlT9lsEyJtsTM2p983cX/view?usp=sharing" TargetMode="External"/><Relationship Id="rId71" Type="http://schemas.openxmlformats.org/officeDocument/2006/relationships/hyperlink" Target="https://drive.google.com/file/d/1K7nBqedkGDKdjW0-23YyArx3A18yE4ki/view?usp=share_link" TargetMode="External"/><Relationship Id="rId92" Type="http://schemas.openxmlformats.org/officeDocument/2006/relationships/hyperlink" Target="https://drive.google.com/file/d/1_eovO5A2s6D6wzSTOcxFmtSBnybbKG6G/view?usp=sharing" TargetMode="External"/><Relationship Id="rId2" Type="http://schemas.openxmlformats.org/officeDocument/2006/relationships/hyperlink" Target="https://drive.google.com/file/d/1hxEaZrQobTzYpc-MNOyj-gMtGOMltt7J/view?usp=sharing" TargetMode="External"/><Relationship Id="rId29" Type="http://schemas.openxmlformats.org/officeDocument/2006/relationships/hyperlink" Target="https://drive.google.com/file/d/11jvvpVYYUhpXZVLmFWh724o0GGCkQdCg/view?usp=sharing" TargetMode="External"/><Relationship Id="rId24" Type="http://schemas.openxmlformats.org/officeDocument/2006/relationships/hyperlink" Target="https://drive.google.com/file/d/1FLlNBupcjSkQ3SH0f6Vsyvtj23fAG5-K/view?usp=sharing" TargetMode="External"/><Relationship Id="rId40" Type="http://schemas.openxmlformats.org/officeDocument/2006/relationships/hyperlink" Target="https://drive.google.com/file/d/1_-rVDBhUnU_QrukFGGz_ACm_jv9yyNRP/view?usp=drive_link" TargetMode="External"/><Relationship Id="rId45" Type="http://schemas.openxmlformats.org/officeDocument/2006/relationships/hyperlink" Target="https://drive.google.com/file/d/1_qUxXKGUGfI47yV8XVOIQuxVu5Fg5s9O/view?usp=share_link" TargetMode="External"/><Relationship Id="rId66" Type="http://schemas.openxmlformats.org/officeDocument/2006/relationships/hyperlink" Target="https://drive.google.com/file/d/1cXCBfiE8xkXo0CeD9nB9QBaW72k3wQ89/view?usp=share_link" TargetMode="External"/><Relationship Id="rId87" Type="http://schemas.openxmlformats.org/officeDocument/2006/relationships/hyperlink" Target="https://drive.google.com/file/d/1C-iDA9s4-rpvo6wqGoKpEe_M02FMJFle/view?usp=sharing" TargetMode="External"/><Relationship Id="rId61" Type="http://schemas.openxmlformats.org/officeDocument/2006/relationships/hyperlink" Target="https://drive.google.com/file/d/1AoncQWdIihQbhdEUTdP5QF4aXor3r_VB/view?usp=sharing" TargetMode="External"/><Relationship Id="rId82" Type="http://schemas.openxmlformats.org/officeDocument/2006/relationships/hyperlink" Target="https://drive.google.com/file/d/1wKUfdzNyB1S4z4D82hBTXQqZntYOV-PJ/view?usp=sharing" TargetMode="External"/><Relationship Id="rId19" Type="http://schemas.openxmlformats.org/officeDocument/2006/relationships/hyperlink" Target="https://drive.google.com/file/d/1Ctl7FYqfvfjvgMNE6fYjEUmiiwSVnoVr/view?usp=sharing" TargetMode="External"/><Relationship Id="rId14" Type="http://schemas.openxmlformats.org/officeDocument/2006/relationships/hyperlink" Target="https://drive.google.com/file/d/1XDUxmv6U2P6csDfWTBLOrW5xZI6LUt0j/view?usp=sharing" TargetMode="External"/><Relationship Id="rId30" Type="http://schemas.openxmlformats.org/officeDocument/2006/relationships/hyperlink" Target="https://drive.google.com/file/d/16DOWyaHfPapR_E09Yq9ZNgz6I5L9uaoR/view?usp=sharing" TargetMode="External"/><Relationship Id="rId35" Type="http://schemas.openxmlformats.org/officeDocument/2006/relationships/hyperlink" Target="https://drive.google.com/file/d/1JQcJ8uOe-zQwrRK5m2lveI602POhvIIM/view?usp=drive_link" TargetMode="External"/><Relationship Id="rId56" Type="http://schemas.openxmlformats.org/officeDocument/2006/relationships/hyperlink" Target="https://drive.google.com/file/d/1YG7XfwNwK9d1jFIiayywQJW664yXxNtr/view?usp=share_link" TargetMode="External"/><Relationship Id="rId77" Type="http://schemas.openxmlformats.org/officeDocument/2006/relationships/hyperlink" Target="https://drive.google.com/file/d/1H5FJc-JJq73SFyfUDdXNELZf0UpKye9s/view?usp=sharing" TargetMode="External"/><Relationship Id="rId8" Type="http://schemas.openxmlformats.org/officeDocument/2006/relationships/hyperlink" Target="https://drive.google.com/file/d/1YSk_GvU6-OZEd87kx63F09Zp4hAXNjcb/view?usp=sharing" TargetMode="External"/><Relationship Id="rId51" Type="http://schemas.openxmlformats.org/officeDocument/2006/relationships/hyperlink" Target="https://drive.google.com/file/d/19mIfVf4oIWv2yB-2kgbirpwVg3CIKtda/view?usp=drive_link" TargetMode="External"/><Relationship Id="rId72" Type="http://schemas.openxmlformats.org/officeDocument/2006/relationships/hyperlink" Target="https://drive.google.com/file/d/1KTcnGAELIse7ph8-CMAXR2Y-AaJK0RPP/view?usp=share_link" TargetMode="External"/><Relationship Id="rId93" Type="http://schemas.openxmlformats.org/officeDocument/2006/relationships/hyperlink" Target="https://drive.google.com/file/d/1Op8OmCxt0XlAMLRGGpST2gaNFR7gV4sL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4E15-B10E-3D4B-BE4E-8213F9FBB377}">
  <dimension ref="A1:U133"/>
  <sheetViews>
    <sheetView topLeftCell="D108" zoomScale="80" zoomScaleNormal="80" workbookViewId="0">
      <selection activeCell="T108" sqref="T108"/>
    </sheetView>
  </sheetViews>
  <sheetFormatPr baseColWidth="10" defaultColWidth="19.1640625" defaultRowHeight="16"/>
  <cols>
    <col min="1" max="1" width="15.6640625" style="6" customWidth="1"/>
    <col min="2" max="2" width="20.33203125" style="6" customWidth="1"/>
    <col min="3" max="3" width="25.5" style="6" customWidth="1"/>
    <col min="4" max="4" width="53.33203125" style="6" customWidth="1"/>
    <col min="5" max="9" width="15.83203125" style="6" customWidth="1"/>
    <col min="10" max="10" width="19.33203125" style="6" hidden="1" customWidth="1"/>
    <col min="11" max="14" width="15.83203125" style="6" customWidth="1"/>
    <col min="15" max="19" width="22.83203125" style="6" customWidth="1"/>
    <col min="20" max="16384" width="19.1640625" style="4"/>
  </cols>
  <sheetData>
    <row r="1" spans="1:19">
      <c r="D1" s="9"/>
    </row>
    <row r="2" spans="1:19" ht="17">
      <c r="C2" s="12" t="s">
        <v>177</v>
      </c>
      <c r="D2" s="20" t="s">
        <v>194</v>
      </c>
      <c r="F2" s="7"/>
    </row>
    <row r="3" spans="1:19">
      <c r="C3" s="12" t="s">
        <v>178</v>
      </c>
      <c r="D3" s="10" t="s">
        <v>183</v>
      </c>
      <c r="F3" s="7"/>
    </row>
    <row r="4" spans="1:19">
      <c r="C4" s="12" t="s">
        <v>179</v>
      </c>
      <c r="D4" s="10"/>
      <c r="F4" s="7"/>
    </row>
    <row r="5" spans="1:19">
      <c r="C5" s="12" t="s">
        <v>180</v>
      </c>
      <c r="D5" s="11">
        <v>46079</v>
      </c>
      <c r="F5" s="8"/>
      <c r="R5" s="153"/>
    </row>
    <row r="7" spans="1:19" ht="25" customHeight="1"/>
    <row r="8" spans="1:19" s="5" customFormat="1" ht="121" customHeight="1">
      <c r="A8" s="24" t="s">
        <v>181</v>
      </c>
      <c r="B8" s="24" t="s">
        <v>172</v>
      </c>
      <c r="C8" s="24" t="s">
        <v>160</v>
      </c>
      <c r="D8" s="24" t="s">
        <v>173</v>
      </c>
      <c r="E8" s="24" t="s">
        <v>175</v>
      </c>
      <c r="F8" s="24" t="s">
        <v>161</v>
      </c>
      <c r="G8" s="24" t="s">
        <v>168</v>
      </c>
      <c r="H8" s="24" t="s">
        <v>174</v>
      </c>
      <c r="I8" s="24" t="s">
        <v>259</v>
      </c>
      <c r="J8" s="24" t="s">
        <v>162</v>
      </c>
      <c r="K8" s="24" t="s">
        <v>176</v>
      </c>
      <c r="L8" s="24" t="s">
        <v>166</v>
      </c>
      <c r="M8" s="24" t="s">
        <v>163</v>
      </c>
      <c r="N8" s="24" t="s">
        <v>164</v>
      </c>
      <c r="O8" s="53" t="s">
        <v>167</v>
      </c>
      <c r="P8" s="25" t="s">
        <v>192</v>
      </c>
      <c r="Q8" s="53"/>
      <c r="R8" s="53" t="s">
        <v>349</v>
      </c>
      <c r="S8" s="26" t="s">
        <v>169</v>
      </c>
    </row>
    <row r="9" spans="1:19" s="21" customFormat="1">
      <c r="A9" s="27" t="s">
        <v>347</v>
      </c>
      <c r="B9" s="87" t="s">
        <v>187</v>
      </c>
      <c r="C9" s="28" t="s">
        <v>165</v>
      </c>
      <c r="D9" s="88" t="s">
        <v>228</v>
      </c>
      <c r="E9" s="28" t="s">
        <v>229</v>
      </c>
      <c r="F9" s="27">
        <v>1</v>
      </c>
      <c r="G9" s="27">
        <v>1</v>
      </c>
      <c r="H9" s="27" t="s">
        <v>184</v>
      </c>
      <c r="I9" s="27" t="s">
        <v>4</v>
      </c>
      <c r="J9" s="29" t="s">
        <v>258</v>
      </c>
      <c r="K9" s="27">
        <v>10</v>
      </c>
      <c r="L9" s="27" t="s">
        <v>185</v>
      </c>
      <c r="M9" s="27">
        <v>1</v>
      </c>
      <c r="N9" s="27" t="s">
        <v>186</v>
      </c>
      <c r="O9" s="54">
        <v>16000000</v>
      </c>
      <c r="P9" s="30">
        <f>O9*(1-12.5%)</f>
        <v>14000000</v>
      </c>
      <c r="Q9" s="30"/>
      <c r="R9" s="30" t="s">
        <v>191</v>
      </c>
      <c r="S9" s="31">
        <f t="shared" ref="S9:S40" si="0">P9*G9</f>
        <v>14000000</v>
      </c>
    </row>
    <row r="10" spans="1:19" s="21" customFormat="1" ht="15" customHeight="1">
      <c r="A10" s="27" t="s">
        <v>347</v>
      </c>
      <c r="B10" s="87" t="s">
        <v>187</v>
      </c>
      <c r="C10" s="28" t="s">
        <v>165</v>
      </c>
      <c r="D10" s="88" t="s">
        <v>230</v>
      </c>
      <c r="E10" s="28" t="s">
        <v>188</v>
      </c>
      <c r="F10" s="27">
        <v>1</v>
      </c>
      <c r="G10" s="27">
        <v>1</v>
      </c>
      <c r="H10" s="27" t="s">
        <v>184</v>
      </c>
      <c r="I10" s="27" t="s">
        <v>4</v>
      </c>
      <c r="J10" s="29" t="s">
        <v>232</v>
      </c>
      <c r="K10" s="27">
        <v>10</v>
      </c>
      <c r="L10" s="27" t="s">
        <v>185</v>
      </c>
      <c r="M10" s="27">
        <v>1</v>
      </c>
      <c r="N10" s="27" t="s">
        <v>186</v>
      </c>
      <c r="O10" s="55">
        <v>7100000</v>
      </c>
      <c r="P10" s="30">
        <f t="shared" ref="P10:P73" si="1">O10*(1-12.5%)</f>
        <v>6212500</v>
      </c>
      <c r="Q10" s="30"/>
      <c r="R10" s="30" t="s">
        <v>191</v>
      </c>
      <c r="S10" s="31">
        <f t="shared" si="0"/>
        <v>6212500</v>
      </c>
    </row>
    <row r="11" spans="1:19" s="21" customFormat="1" ht="15" customHeight="1">
      <c r="A11" s="27" t="s">
        <v>347</v>
      </c>
      <c r="B11" s="87" t="s">
        <v>187</v>
      </c>
      <c r="C11" s="28" t="s">
        <v>165</v>
      </c>
      <c r="D11" s="88" t="s">
        <v>231</v>
      </c>
      <c r="E11" s="28" t="s">
        <v>190</v>
      </c>
      <c r="F11" s="27">
        <v>1</v>
      </c>
      <c r="G11" s="27">
        <v>1</v>
      </c>
      <c r="H11" s="27" t="s">
        <v>184</v>
      </c>
      <c r="I11" s="27" t="s">
        <v>4</v>
      </c>
      <c r="J11" s="29" t="s">
        <v>232</v>
      </c>
      <c r="K11" s="27">
        <v>10</v>
      </c>
      <c r="L11" s="27" t="s">
        <v>185</v>
      </c>
      <c r="M11" s="27">
        <v>1</v>
      </c>
      <c r="N11" s="27" t="s">
        <v>186</v>
      </c>
      <c r="O11" s="55">
        <v>7100000</v>
      </c>
      <c r="P11" s="30">
        <f t="shared" si="1"/>
        <v>6212500</v>
      </c>
      <c r="Q11" s="30"/>
      <c r="R11" s="30" t="s">
        <v>191</v>
      </c>
      <c r="S11" s="31">
        <f t="shared" si="0"/>
        <v>6212500</v>
      </c>
    </row>
    <row r="12" spans="1:19" s="21" customFormat="1" ht="15" customHeight="1">
      <c r="A12" s="27" t="s">
        <v>347</v>
      </c>
      <c r="B12" s="89" t="s">
        <v>187</v>
      </c>
      <c r="C12" s="90" t="s">
        <v>165</v>
      </c>
      <c r="D12" s="90" t="s">
        <v>234</v>
      </c>
      <c r="E12" s="90" t="s">
        <v>190</v>
      </c>
      <c r="F12" s="27">
        <v>1</v>
      </c>
      <c r="G12" s="27">
        <v>1</v>
      </c>
      <c r="H12" s="27" t="s">
        <v>184</v>
      </c>
      <c r="I12" s="27" t="s">
        <v>4</v>
      </c>
      <c r="J12" s="91" t="s">
        <v>199</v>
      </c>
      <c r="K12" s="27">
        <v>10</v>
      </c>
      <c r="L12" s="27" t="s">
        <v>185</v>
      </c>
      <c r="M12" s="27">
        <v>1</v>
      </c>
      <c r="N12" s="27" t="s">
        <v>186</v>
      </c>
      <c r="O12" s="56">
        <v>5700000</v>
      </c>
      <c r="P12" s="30">
        <f t="shared" si="1"/>
        <v>4987500</v>
      </c>
      <c r="Q12" s="32"/>
      <c r="R12" s="30" t="s">
        <v>191</v>
      </c>
      <c r="S12" s="31">
        <f t="shared" si="0"/>
        <v>4987500</v>
      </c>
    </row>
    <row r="13" spans="1:19" s="21" customFormat="1" ht="15" customHeight="1">
      <c r="A13" s="27" t="s">
        <v>347</v>
      </c>
      <c r="B13" s="92" t="s">
        <v>187</v>
      </c>
      <c r="C13" s="90" t="s">
        <v>165</v>
      </c>
      <c r="D13" s="93" t="s">
        <v>235</v>
      </c>
      <c r="E13" s="93" t="s">
        <v>189</v>
      </c>
      <c r="F13" s="27">
        <v>1</v>
      </c>
      <c r="G13" s="27">
        <v>1</v>
      </c>
      <c r="H13" s="27" t="s">
        <v>184</v>
      </c>
      <c r="I13" s="27" t="s">
        <v>4</v>
      </c>
      <c r="J13" s="27" t="s">
        <v>236</v>
      </c>
      <c r="K13" s="27">
        <v>10</v>
      </c>
      <c r="L13" s="27" t="s">
        <v>185</v>
      </c>
      <c r="M13" s="27">
        <v>1</v>
      </c>
      <c r="N13" s="27" t="s">
        <v>186</v>
      </c>
      <c r="O13" s="54">
        <v>5700000</v>
      </c>
      <c r="P13" s="30">
        <f t="shared" si="1"/>
        <v>4987500</v>
      </c>
      <c r="Q13" s="32"/>
      <c r="R13" s="30" t="s">
        <v>191</v>
      </c>
      <c r="S13" s="31">
        <f t="shared" si="0"/>
        <v>4987500</v>
      </c>
    </row>
    <row r="14" spans="1:19" s="21" customFormat="1" ht="15" customHeight="1">
      <c r="A14" s="27" t="s">
        <v>347</v>
      </c>
      <c r="B14" s="94" t="s">
        <v>187</v>
      </c>
      <c r="C14" s="95" t="s">
        <v>165</v>
      </c>
      <c r="D14" s="96" t="s">
        <v>237</v>
      </c>
      <c r="E14" s="96" t="s">
        <v>190</v>
      </c>
      <c r="F14" s="27">
        <v>1</v>
      </c>
      <c r="G14" s="27">
        <v>1</v>
      </c>
      <c r="H14" s="27" t="s">
        <v>184</v>
      </c>
      <c r="I14" s="27" t="s">
        <v>4</v>
      </c>
      <c r="J14" s="29" t="s">
        <v>232</v>
      </c>
      <c r="K14" s="27">
        <v>10</v>
      </c>
      <c r="L14" s="27" t="s">
        <v>185</v>
      </c>
      <c r="M14" s="27">
        <v>1</v>
      </c>
      <c r="N14" s="27" t="s">
        <v>186</v>
      </c>
      <c r="O14" s="54">
        <v>5700000</v>
      </c>
      <c r="P14" s="30">
        <f t="shared" si="1"/>
        <v>4987500</v>
      </c>
      <c r="Q14" s="30"/>
      <c r="R14" s="30" t="s">
        <v>191</v>
      </c>
      <c r="S14" s="31">
        <f t="shared" si="0"/>
        <v>4987500</v>
      </c>
    </row>
    <row r="15" spans="1:19" s="21" customFormat="1" ht="15" customHeight="1">
      <c r="A15" s="27" t="s">
        <v>347</v>
      </c>
      <c r="B15" s="87" t="s">
        <v>187</v>
      </c>
      <c r="C15" s="95" t="s">
        <v>165</v>
      </c>
      <c r="D15" s="28" t="s">
        <v>238</v>
      </c>
      <c r="E15" s="28" t="s">
        <v>190</v>
      </c>
      <c r="F15" s="27">
        <v>1</v>
      </c>
      <c r="G15" s="27">
        <v>1</v>
      </c>
      <c r="H15" s="27" t="s">
        <v>184</v>
      </c>
      <c r="I15" s="27" t="s">
        <v>4</v>
      </c>
      <c r="J15" s="29" t="s">
        <v>232</v>
      </c>
      <c r="K15" s="27">
        <v>10</v>
      </c>
      <c r="L15" s="27" t="s">
        <v>185</v>
      </c>
      <c r="M15" s="27">
        <v>1</v>
      </c>
      <c r="N15" s="27" t="s">
        <v>186</v>
      </c>
      <c r="O15" s="54">
        <v>5700000</v>
      </c>
      <c r="P15" s="30">
        <f t="shared" si="1"/>
        <v>4987500</v>
      </c>
      <c r="Q15" s="30"/>
      <c r="R15" s="30" t="s">
        <v>191</v>
      </c>
      <c r="S15" s="31">
        <f t="shared" si="0"/>
        <v>4987500</v>
      </c>
    </row>
    <row r="16" spans="1:19" s="21" customFormat="1" ht="15" customHeight="1">
      <c r="A16" s="27" t="s">
        <v>347</v>
      </c>
      <c r="B16" s="87" t="s">
        <v>187</v>
      </c>
      <c r="C16" s="97" t="s">
        <v>195</v>
      </c>
      <c r="D16" s="88" t="s">
        <v>239</v>
      </c>
      <c r="E16" s="28" t="s">
        <v>188</v>
      </c>
      <c r="F16" s="27">
        <v>1</v>
      </c>
      <c r="G16" s="27">
        <v>1</v>
      </c>
      <c r="H16" s="27" t="s">
        <v>184</v>
      </c>
      <c r="I16" s="27" t="s">
        <v>4</v>
      </c>
      <c r="J16" s="27" t="s">
        <v>236</v>
      </c>
      <c r="K16" s="27">
        <v>10</v>
      </c>
      <c r="L16" s="27" t="s">
        <v>185</v>
      </c>
      <c r="M16" s="27">
        <v>1</v>
      </c>
      <c r="N16" s="27" t="s">
        <v>186</v>
      </c>
      <c r="O16" s="54">
        <v>5500000</v>
      </c>
      <c r="P16" s="30">
        <f t="shared" si="1"/>
        <v>4812500</v>
      </c>
      <c r="Q16" s="30"/>
      <c r="R16" s="30" t="s">
        <v>191</v>
      </c>
      <c r="S16" s="31">
        <f t="shared" si="0"/>
        <v>4812500</v>
      </c>
    </row>
    <row r="17" spans="1:19" s="21" customFormat="1" ht="15" customHeight="1">
      <c r="A17" s="27" t="s">
        <v>347</v>
      </c>
      <c r="B17" s="87" t="s">
        <v>187</v>
      </c>
      <c r="C17" s="95" t="s">
        <v>165</v>
      </c>
      <c r="D17" s="88" t="s">
        <v>240</v>
      </c>
      <c r="E17" s="28" t="s">
        <v>190</v>
      </c>
      <c r="F17" s="27">
        <v>1</v>
      </c>
      <c r="G17" s="27">
        <v>1</v>
      </c>
      <c r="H17" s="27" t="s">
        <v>184</v>
      </c>
      <c r="I17" s="27" t="s">
        <v>4</v>
      </c>
      <c r="J17" s="27" t="s">
        <v>236</v>
      </c>
      <c r="K17" s="27">
        <v>10</v>
      </c>
      <c r="L17" s="27" t="s">
        <v>185</v>
      </c>
      <c r="M17" s="27">
        <v>1</v>
      </c>
      <c r="N17" s="27" t="s">
        <v>186</v>
      </c>
      <c r="O17" s="54">
        <v>4900000</v>
      </c>
      <c r="P17" s="30">
        <f t="shared" si="1"/>
        <v>4287500</v>
      </c>
      <c r="Q17" s="30"/>
      <c r="R17" s="30" t="s">
        <v>191</v>
      </c>
      <c r="S17" s="31">
        <f t="shared" si="0"/>
        <v>4287500</v>
      </c>
    </row>
    <row r="18" spans="1:19" s="21" customFormat="1" ht="15" customHeight="1">
      <c r="A18" s="27" t="s">
        <v>347</v>
      </c>
      <c r="B18" s="98" t="s">
        <v>187</v>
      </c>
      <c r="C18" s="97" t="s">
        <v>195</v>
      </c>
      <c r="D18" s="88" t="s">
        <v>241</v>
      </c>
      <c r="E18" s="28" t="s">
        <v>190</v>
      </c>
      <c r="F18" s="27">
        <v>1</v>
      </c>
      <c r="G18" s="27">
        <v>1</v>
      </c>
      <c r="H18" s="27" t="s">
        <v>184</v>
      </c>
      <c r="I18" s="27" t="s">
        <v>4</v>
      </c>
      <c r="J18" s="27" t="s">
        <v>236</v>
      </c>
      <c r="K18" s="27">
        <v>10</v>
      </c>
      <c r="L18" s="27" t="s">
        <v>185</v>
      </c>
      <c r="M18" s="27">
        <v>1</v>
      </c>
      <c r="N18" s="27" t="s">
        <v>186</v>
      </c>
      <c r="O18" s="54">
        <v>5500000</v>
      </c>
      <c r="P18" s="30">
        <f t="shared" si="1"/>
        <v>4812500</v>
      </c>
      <c r="Q18" s="30"/>
      <c r="R18" s="30" t="s">
        <v>191</v>
      </c>
      <c r="S18" s="31">
        <f t="shared" si="0"/>
        <v>4812500</v>
      </c>
    </row>
    <row r="19" spans="1:19" s="21" customFormat="1" ht="15" customHeight="1">
      <c r="A19" s="27" t="s">
        <v>347</v>
      </c>
      <c r="B19" s="87" t="s">
        <v>187</v>
      </c>
      <c r="C19" s="97" t="s">
        <v>195</v>
      </c>
      <c r="D19" s="97" t="s">
        <v>227</v>
      </c>
      <c r="E19" s="99" t="s">
        <v>190</v>
      </c>
      <c r="F19" s="27">
        <v>1</v>
      </c>
      <c r="G19" s="27">
        <v>1</v>
      </c>
      <c r="H19" s="27" t="s">
        <v>184</v>
      </c>
      <c r="I19" s="27" t="s">
        <v>4</v>
      </c>
      <c r="J19" s="33" t="s">
        <v>199</v>
      </c>
      <c r="K19" s="27">
        <v>10</v>
      </c>
      <c r="L19" s="27" t="s">
        <v>185</v>
      </c>
      <c r="M19" s="27">
        <v>1</v>
      </c>
      <c r="N19" s="27" t="s">
        <v>186</v>
      </c>
      <c r="O19" s="54">
        <v>5700000</v>
      </c>
      <c r="P19" s="30">
        <f t="shared" si="1"/>
        <v>4987500</v>
      </c>
      <c r="Q19" s="30"/>
      <c r="R19" s="30" t="s">
        <v>191</v>
      </c>
      <c r="S19" s="31">
        <f t="shared" si="0"/>
        <v>4987500</v>
      </c>
    </row>
    <row r="20" spans="1:19" s="21" customFormat="1" ht="15" customHeight="1">
      <c r="A20" s="27" t="s">
        <v>347</v>
      </c>
      <c r="B20" s="87" t="s">
        <v>187</v>
      </c>
      <c r="C20" s="97" t="s">
        <v>195</v>
      </c>
      <c r="D20" s="97" t="s">
        <v>225</v>
      </c>
      <c r="E20" s="99" t="s">
        <v>190</v>
      </c>
      <c r="F20" s="27">
        <v>1</v>
      </c>
      <c r="G20" s="27">
        <v>1</v>
      </c>
      <c r="H20" s="27" t="s">
        <v>184</v>
      </c>
      <c r="I20" s="27" t="s">
        <v>4</v>
      </c>
      <c r="J20" s="33" t="s">
        <v>199</v>
      </c>
      <c r="K20" s="27">
        <v>10</v>
      </c>
      <c r="L20" s="27" t="s">
        <v>185</v>
      </c>
      <c r="M20" s="27">
        <v>1</v>
      </c>
      <c r="N20" s="27" t="s">
        <v>186</v>
      </c>
      <c r="O20" s="54">
        <v>5700000</v>
      </c>
      <c r="P20" s="30">
        <f t="shared" si="1"/>
        <v>4987500</v>
      </c>
      <c r="Q20" s="30"/>
      <c r="R20" s="30" t="s">
        <v>191</v>
      </c>
      <c r="S20" s="31">
        <f t="shared" si="0"/>
        <v>4987500</v>
      </c>
    </row>
    <row r="21" spans="1:19" s="21" customFormat="1" ht="15" customHeight="1">
      <c r="A21" s="27" t="s">
        <v>347</v>
      </c>
      <c r="B21" s="87" t="s">
        <v>187</v>
      </c>
      <c r="C21" s="97" t="s">
        <v>195</v>
      </c>
      <c r="D21" s="97" t="s">
        <v>226</v>
      </c>
      <c r="E21" s="99" t="s">
        <v>190</v>
      </c>
      <c r="F21" s="27">
        <v>1</v>
      </c>
      <c r="G21" s="27">
        <v>1</v>
      </c>
      <c r="H21" s="27" t="s">
        <v>184</v>
      </c>
      <c r="I21" s="27" t="s">
        <v>4</v>
      </c>
      <c r="J21" s="33" t="s">
        <v>199</v>
      </c>
      <c r="K21" s="27">
        <v>10</v>
      </c>
      <c r="L21" s="27" t="s">
        <v>185</v>
      </c>
      <c r="M21" s="27">
        <v>1</v>
      </c>
      <c r="N21" s="27" t="s">
        <v>186</v>
      </c>
      <c r="O21" s="54">
        <v>5700000</v>
      </c>
      <c r="P21" s="30">
        <f t="shared" si="1"/>
        <v>4987500</v>
      </c>
      <c r="Q21" s="30"/>
      <c r="R21" s="30" t="s">
        <v>191</v>
      </c>
      <c r="S21" s="31">
        <f t="shared" si="0"/>
        <v>4987500</v>
      </c>
    </row>
    <row r="22" spans="1:19" s="21" customFormat="1" ht="15" customHeight="1">
      <c r="A22" s="27" t="s">
        <v>347</v>
      </c>
      <c r="B22" s="87" t="s">
        <v>187</v>
      </c>
      <c r="C22" s="97" t="s">
        <v>195</v>
      </c>
      <c r="D22" s="97" t="s">
        <v>223</v>
      </c>
      <c r="E22" s="99" t="s">
        <v>224</v>
      </c>
      <c r="F22" s="27">
        <v>1</v>
      </c>
      <c r="G22" s="27">
        <v>1</v>
      </c>
      <c r="H22" s="27" t="s">
        <v>184</v>
      </c>
      <c r="I22" s="27" t="s">
        <v>4</v>
      </c>
      <c r="J22" s="33" t="s">
        <v>199</v>
      </c>
      <c r="K22" s="27">
        <v>10</v>
      </c>
      <c r="L22" s="27" t="s">
        <v>185</v>
      </c>
      <c r="M22" s="27">
        <v>1</v>
      </c>
      <c r="N22" s="27" t="s">
        <v>186</v>
      </c>
      <c r="O22" s="54">
        <v>5700000</v>
      </c>
      <c r="P22" s="30">
        <f t="shared" si="1"/>
        <v>4987500</v>
      </c>
      <c r="Q22" s="30"/>
      <c r="R22" s="30" t="s">
        <v>191</v>
      </c>
      <c r="S22" s="31">
        <f t="shared" si="0"/>
        <v>4987500</v>
      </c>
    </row>
    <row r="23" spans="1:19" s="21" customFormat="1" ht="15" customHeight="1">
      <c r="A23" s="27" t="s">
        <v>347</v>
      </c>
      <c r="B23" s="87" t="s">
        <v>187</v>
      </c>
      <c r="C23" s="97" t="s">
        <v>195</v>
      </c>
      <c r="D23" s="97" t="s">
        <v>204</v>
      </c>
      <c r="E23" s="99" t="s">
        <v>188</v>
      </c>
      <c r="F23" s="27">
        <v>1</v>
      </c>
      <c r="G23" s="27">
        <v>1</v>
      </c>
      <c r="H23" s="27" t="s">
        <v>184</v>
      </c>
      <c r="I23" s="27" t="s">
        <v>4</v>
      </c>
      <c r="J23" s="33" t="s">
        <v>199</v>
      </c>
      <c r="K23" s="27">
        <v>10</v>
      </c>
      <c r="L23" s="27" t="s">
        <v>185</v>
      </c>
      <c r="M23" s="27">
        <v>1</v>
      </c>
      <c r="N23" s="27" t="s">
        <v>186</v>
      </c>
      <c r="O23" s="54">
        <v>7000000</v>
      </c>
      <c r="P23" s="30">
        <f t="shared" si="1"/>
        <v>6125000</v>
      </c>
      <c r="Q23" s="30"/>
      <c r="R23" s="30" t="s">
        <v>191</v>
      </c>
      <c r="S23" s="31">
        <f t="shared" si="0"/>
        <v>6125000</v>
      </c>
    </row>
    <row r="24" spans="1:19" s="21" customFormat="1" ht="15" customHeight="1">
      <c r="A24" s="27" t="s">
        <v>347</v>
      </c>
      <c r="B24" s="87" t="s">
        <v>187</v>
      </c>
      <c r="C24" s="97" t="s">
        <v>195</v>
      </c>
      <c r="D24" s="97" t="s">
        <v>202</v>
      </c>
      <c r="E24" s="99" t="s">
        <v>203</v>
      </c>
      <c r="F24" s="27">
        <v>1</v>
      </c>
      <c r="G24" s="27">
        <v>1</v>
      </c>
      <c r="H24" s="27" t="s">
        <v>184</v>
      </c>
      <c r="I24" s="27" t="s">
        <v>4</v>
      </c>
      <c r="J24" s="33" t="s">
        <v>199</v>
      </c>
      <c r="K24" s="27">
        <v>10</v>
      </c>
      <c r="L24" s="27" t="s">
        <v>185</v>
      </c>
      <c r="M24" s="27">
        <v>1</v>
      </c>
      <c r="N24" s="27" t="s">
        <v>186</v>
      </c>
      <c r="O24" s="54">
        <v>5700000</v>
      </c>
      <c r="P24" s="30">
        <f t="shared" si="1"/>
        <v>4987500</v>
      </c>
      <c r="Q24" s="30"/>
      <c r="R24" s="30" t="s">
        <v>191</v>
      </c>
      <c r="S24" s="31">
        <f t="shared" si="0"/>
        <v>4987500</v>
      </c>
    </row>
    <row r="25" spans="1:19" s="21" customFormat="1" ht="15" customHeight="1">
      <c r="A25" s="27" t="s">
        <v>347</v>
      </c>
      <c r="B25" s="87" t="s">
        <v>187</v>
      </c>
      <c r="C25" s="97" t="s">
        <v>195</v>
      </c>
      <c r="D25" s="97" t="s">
        <v>200</v>
      </c>
      <c r="E25" s="99" t="s">
        <v>201</v>
      </c>
      <c r="F25" s="27">
        <v>1</v>
      </c>
      <c r="G25" s="27">
        <v>1</v>
      </c>
      <c r="H25" s="27" t="s">
        <v>184</v>
      </c>
      <c r="I25" s="27" t="s">
        <v>4</v>
      </c>
      <c r="J25" s="33" t="s">
        <v>199</v>
      </c>
      <c r="K25" s="27">
        <v>10</v>
      </c>
      <c r="L25" s="27" t="s">
        <v>185</v>
      </c>
      <c r="M25" s="27">
        <v>1</v>
      </c>
      <c r="N25" s="27" t="s">
        <v>186</v>
      </c>
      <c r="O25" s="54">
        <v>6000000</v>
      </c>
      <c r="P25" s="30">
        <f t="shared" si="1"/>
        <v>5250000</v>
      </c>
      <c r="Q25" s="30"/>
      <c r="R25" s="30" t="s">
        <v>191</v>
      </c>
      <c r="S25" s="31">
        <f t="shared" si="0"/>
        <v>5250000</v>
      </c>
    </row>
    <row r="26" spans="1:19" s="21" customFormat="1" ht="15" customHeight="1">
      <c r="A26" s="27" t="s">
        <v>347</v>
      </c>
      <c r="B26" s="87" t="s">
        <v>187</v>
      </c>
      <c r="C26" s="97" t="s">
        <v>195</v>
      </c>
      <c r="D26" s="97" t="s">
        <v>196</v>
      </c>
      <c r="E26" s="99" t="s">
        <v>190</v>
      </c>
      <c r="F26" s="27">
        <v>1</v>
      </c>
      <c r="G26" s="27">
        <v>1</v>
      </c>
      <c r="H26" s="27" t="s">
        <v>184</v>
      </c>
      <c r="I26" s="27" t="s">
        <v>4</v>
      </c>
      <c r="J26" s="33" t="s">
        <v>199</v>
      </c>
      <c r="K26" s="27">
        <v>10</v>
      </c>
      <c r="L26" s="27" t="s">
        <v>185</v>
      </c>
      <c r="M26" s="27">
        <v>1</v>
      </c>
      <c r="N26" s="27" t="s">
        <v>186</v>
      </c>
      <c r="O26" s="54">
        <v>5700000</v>
      </c>
      <c r="P26" s="30">
        <f t="shared" si="1"/>
        <v>4987500</v>
      </c>
      <c r="Q26" s="30"/>
      <c r="R26" s="30" t="s">
        <v>191</v>
      </c>
      <c r="S26" s="31">
        <f t="shared" si="0"/>
        <v>4987500</v>
      </c>
    </row>
    <row r="27" spans="1:19" s="21" customFormat="1" ht="15" customHeight="1">
      <c r="A27" s="27" t="s">
        <v>347</v>
      </c>
      <c r="B27" s="87" t="s">
        <v>187</v>
      </c>
      <c r="C27" s="97" t="s">
        <v>195</v>
      </c>
      <c r="D27" s="97" t="s">
        <v>197</v>
      </c>
      <c r="E27" s="99" t="s">
        <v>190</v>
      </c>
      <c r="F27" s="27">
        <v>1</v>
      </c>
      <c r="G27" s="27">
        <v>1</v>
      </c>
      <c r="H27" s="27" t="s">
        <v>184</v>
      </c>
      <c r="I27" s="27" t="s">
        <v>4</v>
      </c>
      <c r="J27" s="33" t="s">
        <v>199</v>
      </c>
      <c r="K27" s="27">
        <v>10</v>
      </c>
      <c r="L27" s="27" t="s">
        <v>185</v>
      </c>
      <c r="M27" s="27">
        <v>1</v>
      </c>
      <c r="N27" s="27" t="s">
        <v>186</v>
      </c>
      <c r="O27" s="54">
        <v>5700000</v>
      </c>
      <c r="P27" s="30">
        <f t="shared" si="1"/>
        <v>4987500</v>
      </c>
      <c r="Q27" s="30"/>
      <c r="R27" s="30" t="s">
        <v>191</v>
      </c>
      <c r="S27" s="31">
        <f t="shared" si="0"/>
        <v>4987500</v>
      </c>
    </row>
    <row r="28" spans="1:19" s="21" customFormat="1" ht="15" customHeight="1">
      <c r="A28" s="27" t="s">
        <v>347</v>
      </c>
      <c r="B28" s="87" t="s">
        <v>187</v>
      </c>
      <c r="C28" s="97" t="s">
        <v>195</v>
      </c>
      <c r="D28" s="97" t="s">
        <v>198</v>
      </c>
      <c r="E28" s="99" t="s">
        <v>190</v>
      </c>
      <c r="F28" s="27">
        <v>1</v>
      </c>
      <c r="G28" s="27">
        <v>1</v>
      </c>
      <c r="H28" s="27" t="s">
        <v>184</v>
      </c>
      <c r="I28" s="27" t="s">
        <v>4</v>
      </c>
      <c r="J28" s="33" t="s">
        <v>199</v>
      </c>
      <c r="K28" s="27">
        <v>10</v>
      </c>
      <c r="L28" s="27" t="s">
        <v>185</v>
      </c>
      <c r="M28" s="27">
        <v>1</v>
      </c>
      <c r="N28" s="27" t="s">
        <v>186</v>
      </c>
      <c r="O28" s="54">
        <v>5700000</v>
      </c>
      <c r="P28" s="30">
        <f t="shared" si="1"/>
        <v>4987500</v>
      </c>
      <c r="Q28" s="30"/>
      <c r="R28" s="30" t="s">
        <v>191</v>
      </c>
      <c r="S28" s="31">
        <f t="shared" si="0"/>
        <v>4987500</v>
      </c>
    </row>
    <row r="29" spans="1:19" s="21" customFormat="1" ht="15" customHeight="1">
      <c r="A29" s="27" t="s">
        <v>347</v>
      </c>
      <c r="B29" s="87" t="s">
        <v>187</v>
      </c>
      <c r="C29" s="28" t="s">
        <v>165</v>
      </c>
      <c r="D29" s="88" t="s">
        <v>251</v>
      </c>
      <c r="E29" s="28" t="s">
        <v>188</v>
      </c>
      <c r="F29" s="27">
        <v>1</v>
      </c>
      <c r="G29" s="27">
        <v>1</v>
      </c>
      <c r="H29" s="27" t="s">
        <v>184</v>
      </c>
      <c r="I29" s="27" t="s">
        <v>4</v>
      </c>
      <c r="J29" s="29" t="s">
        <v>232</v>
      </c>
      <c r="K29" s="27">
        <v>10</v>
      </c>
      <c r="L29" s="27" t="s">
        <v>185</v>
      </c>
      <c r="M29" s="27">
        <v>1</v>
      </c>
      <c r="N29" s="27" t="s">
        <v>186</v>
      </c>
      <c r="O29" s="54">
        <v>7100000</v>
      </c>
      <c r="P29" s="30">
        <f t="shared" si="1"/>
        <v>6212500</v>
      </c>
      <c r="Q29" s="30"/>
      <c r="R29" s="30" t="s">
        <v>191</v>
      </c>
      <c r="S29" s="31">
        <f t="shared" si="0"/>
        <v>6212500</v>
      </c>
    </row>
    <row r="30" spans="1:19" s="21" customFormat="1" ht="15" customHeight="1">
      <c r="A30" s="27" t="s">
        <v>347</v>
      </c>
      <c r="B30" s="87" t="s">
        <v>187</v>
      </c>
      <c r="C30" s="28" t="s">
        <v>165</v>
      </c>
      <c r="D30" s="88" t="s">
        <v>252</v>
      </c>
      <c r="E30" s="28" t="s">
        <v>188</v>
      </c>
      <c r="F30" s="27">
        <v>1</v>
      </c>
      <c r="G30" s="27">
        <v>1</v>
      </c>
      <c r="H30" s="27" t="s">
        <v>184</v>
      </c>
      <c r="I30" s="27" t="s">
        <v>4</v>
      </c>
      <c r="J30" s="29" t="s">
        <v>232</v>
      </c>
      <c r="K30" s="27">
        <v>10</v>
      </c>
      <c r="L30" s="27" t="s">
        <v>185</v>
      </c>
      <c r="M30" s="27">
        <v>1</v>
      </c>
      <c r="N30" s="27" t="s">
        <v>186</v>
      </c>
      <c r="O30" s="54">
        <v>7100000</v>
      </c>
      <c r="P30" s="30">
        <f t="shared" si="1"/>
        <v>6212500</v>
      </c>
      <c r="Q30" s="30"/>
      <c r="R30" s="30" t="s">
        <v>191</v>
      </c>
      <c r="S30" s="31">
        <f t="shared" si="0"/>
        <v>6212500</v>
      </c>
    </row>
    <row r="31" spans="1:19" s="21" customFormat="1" ht="15" customHeight="1">
      <c r="A31" s="27" t="s">
        <v>347</v>
      </c>
      <c r="B31" s="87" t="s">
        <v>187</v>
      </c>
      <c r="C31" s="28" t="s">
        <v>165</v>
      </c>
      <c r="D31" s="88" t="s">
        <v>253</v>
      </c>
      <c r="E31" s="28" t="s">
        <v>190</v>
      </c>
      <c r="F31" s="27">
        <v>1</v>
      </c>
      <c r="G31" s="27">
        <v>1</v>
      </c>
      <c r="H31" s="27" t="s">
        <v>184</v>
      </c>
      <c r="I31" s="27" t="s">
        <v>4</v>
      </c>
      <c r="J31" s="29" t="s">
        <v>232</v>
      </c>
      <c r="K31" s="27">
        <v>10</v>
      </c>
      <c r="L31" s="27" t="s">
        <v>185</v>
      </c>
      <c r="M31" s="27">
        <v>1</v>
      </c>
      <c r="N31" s="27" t="s">
        <v>186</v>
      </c>
      <c r="O31" s="54">
        <v>7100000</v>
      </c>
      <c r="P31" s="30">
        <f t="shared" si="1"/>
        <v>6212500</v>
      </c>
      <c r="Q31" s="30"/>
      <c r="R31" s="30" t="s">
        <v>191</v>
      </c>
      <c r="S31" s="31">
        <f t="shared" si="0"/>
        <v>6212500</v>
      </c>
    </row>
    <row r="32" spans="1:19" s="21" customFormat="1" ht="15" customHeight="1">
      <c r="A32" s="27" t="s">
        <v>347</v>
      </c>
      <c r="B32" s="87" t="s">
        <v>187</v>
      </c>
      <c r="C32" s="97" t="s">
        <v>195</v>
      </c>
      <c r="D32" s="88" t="s">
        <v>254</v>
      </c>
      <c r="E32" s="28" t="s">
        <v>255</v>
      </c>
      <c r="F32" s="27">
        <v>1</v>
      </c>
      <c r="G32" s="27">
        <v>1</v>
      </c>
      <c r="H32" s="27" t="s">
        <v>184</v>
      </c>
      <c r="I32" s="27" t="s">
        <v>4</v>
      </c>
      <c r="J32" s="33" t="s">
        <v>257</v>
      </c>
      <c r="K32" s="27">
        <v>10</v>
      </c>
      <c r="L32" s="27" t="s">
        <v>185</v>
      </c>
      <c r="M32" s="27">
        <v>1</v>
      </c>
      <c r="N32" s="27" t="s">
        <v>186</v>
      </c>
      <c r="O32" s="58">
        <v>7865000</v>
      </c>
      <c r="P32" s="30">
        <f t="shared" si="1"/>
        <v>6881875</v>
      </c>
      <c r="Q32" s="30"/>
      <c r="R32" s="30" t="s">
        <v>191</v>
      </c>
      <c r="S32" s="31">
        <f t="shared" si="0"/>
        <v>6881875</v>
      </c>
    </row>
    <row r="33" spans="1:19" s="21" customFormat="1" ht="16" customHeight="1">
      <c r="A33" s="27" t="s">
        <v>347</v>
      </c>
      <c r="B33" s="87" t="s">
        <v>187</v>
      </c>
      <c r="C33" s="97" t="s">
        <v>195</v>
      </c>
      <c r="D33" s="97" t="s">
        <v>256</v>
      </c>
      <c r="E33" s="99" t="s">
        <v>190</v>
      </c>
      <c r="F33" s="27">
        <v>1</v>
      </c>
      <c r="G33" s="27">
        <v>1</v>
      </c>
      <c r="H33" s="27" t="s">
        <v>184</v>
      </c>
      <c r="I33" s="27" t="s">
        <v>4</v>
      </c>
      <c r="J33" s="33" t="s">
        <v>199</v>
      </c>
      <c r="K33" s="27">
        <v>10</v>
      </c>
      <c r="L33" s="27" t="s">
        <v>185</v>
      </c>
      <c r="M33" s="27">
        <v>1</v>
      </c>
      <c r="N33" s="27" t="s">
        <v>186</v>
      </c>
      <c r="O33" s="54">
        <v>5700000</v>
      </c>
      <c r="P33" s="30">
        <f t="shared" si="1"/>
        <v>4987500</v>
      </c>
      <c r="Q33" s="30"/>
      <c r="R33" s="30" t="s">
        <v>191</v>
      </c>
      <c r="S33" s="31">
        <f t="shared" si="0"/>
        <v>4987500</v>
      </c>
    </row>
    <row r="34" spans="1:19" s="21" customFormat="1" ht="15" customHeight="1">
      <c r="A34" s="27" t="s">
        <v>347</v>
      </c>
      <c r="B34" s="100" t="s">
        <v>187</v>
      </c>
      <c r="C34" s="101" t="s">
        <v>165</v>
      </c>
      <c r="D34" s="101" t="s">
        <v>307</v>
      </c>
      <c r="E34" s="101" t="s">
        <v>190</v>
      </c>
      <c r="F34" s="27">
        <v>1</v>
      </c>
      <c r="G34" s="27">
        <v>1</v>
      </c>
      <c r="H34" s="27" t="s">
        <v>184</v>
      </c>
      <c r="I34" s="27" t="s">
        <v>4</v>
      </c>
      <c r="J34" s="33" t="s">
        <v>199</v>
      </c>
      <c r="K34" s="27">
        <v>10</v>
      </c>
      <c r="L34" s="27" t="s">
        <v>185</v>
      </c>
      <c r="M34" s="27">
        <v>1</v>
      </c>
      <c r="N34" s="27" t="s">
        <v>186</v>
      </c>
      <c r="O34" s="54">
        <v>5700000</v>
      </c>
      <c r="P34" s="30">
        <f t="shared" si="1"/>
        <v>4987500</v>
      </c>
      <c r="Q34" s="30"/>
      <c r="R34" s="30" t="s">
        <v>191</v>
      </c>
      <c r="S34" s="31">
        <f t="shared" si="0"/>
        <v>4987500</v>
      </c>
    </row>
    <row r="35" spans="1:19" s="21" customFormat="1" ht="15" customHeight="1">
      <c r="A35" s="27" t="s">
        <v>347</v>
      </c>
      <c r="B35" s="100" t="s">
        <v>187</v>
      </c>
      <c r="C35" s="101" t="s">
        <v>165</v>
      </c>
      <c r="D35" s="101" t="s">
        <v>311</v>
      </c>
      <c r="E35" s="101" t="s">
        <v>188</v>
      </c>
      <c r="F35" s="27">
        <v>1</v>
      </c>
      <c r="G35" s="27">
        <v>1</v>
      </c>
      <c r="H35" s="27" t="s">
        <v>184</v>
      </c>
      <c r="I35" s="27" t="s">
        <v>4</v>
      </c>
      <c r="J35" s="33" t="s">
        <v>232</v>
      </c>
      <c r="K35" s="27">
        <v>10</v>
      </c>
      <c r="L35" s="27" t="s">
        <v>185</v>
      </c>
      <c r="M35" s="27">
        <v>1</v>
      </c>
      <c r="N35" s="27" t="s">
        <v>186</v>
      </c>
      <c r="O35" s="54">
        <v>7100000</v>
      </c>
      <c r="P35" s="30">
        <f t="shared" si="1"/>
        <v>6212500</v>
      </c>
      <c r="Q35" s="30"/>
      <c r="R35" s="30" t="s">
        <v>191</v>
      </c>
      <c r="S35" s="31">
        <f t="shared" si="0"/>
        <v>6212500</v>
      </c>
    </row>
    <row r="36" spans="1:19" s="21" customFormat="1" ht="15" customHeight="1">
      <c r="A36" s="27" t="s">
        <v>347</v>
      </c>
      <c r="B36" s="100" t="s">
        <v>187</v>
      </c>
      <c r="C36" s="101" t="s">
        <v>165</v>
      </c>
      <c r="D36" s="101" t="s">
        <v>312</v>
      </c>
      <c r="E36" s="101" t="s">
        <v>190</v>
      </c>
      <c r="F36" s="27">
        <v>1</v>
      </c>
      <c r="G36" s="27">
        <v>1</v>
      </c>
      <c r="H36" s="27" t="s">
        <v>184</v>
      </c>
      <c r="I36" s="27" t="s">
        <v>4</v>
      </c>
      <c r="J36" s="33" t="s">
        <v>199</v>
      </c>
      <c r="K36" s="27">
        <v>10</v>
      </c>
      <c r="L36" s="27" t="s">
        <v>185</v>
      </c>
      <c r="M36" s="27">
        <v>1</v>
      </c>
      <c r="N36" s="27" t="s">
        <v>186</v>
      </c>
      <c r="O36" s="54">
        <v>5700000</v>
      </c>
      <c r="P36" s="30">
        <f t="shared" si="1"/>
        <v>4987500</v>
      </c>
      <c r="Q36" s="30"/>
      <c r="R36" s="30" t="s">
        <v>191</v>
      </c>
      <c r="S36" s="31">
        <f t="shared" si="0"/>
        <v>4987500</v>
      </c>
    </row>
    <row r="37" spans="1:19" s="21" customFormat="1" ht="15" customHeight="1">
      <c r="A37" s="27" t="s">
        <v>347</v>
      </c>
      <c r="B37" s="100" t="s">
        <v>187</v>
      </c>
      <c r="C37" s="101" t="s">
        <v>165</v>
      </c>
      <c r="D37" s="101" t="s">
        <v>308</v>
      </c>
      <c r="E37" s="101" t="s">
        <v>309</v>
      </c>
      <c r="F37" s="27">
        <v>1</v>
      </c>
      <c r="G37" s="27">
        <v>1</v>
      </c>
      <c r="H37" s="27" t="s">
        <v>184</v>
      </c>
      <c r="I37" s="27" t="s">
        <v>4</v>
      </c>
      <c r="J37" s="33" t="s">
        <v>310</v>
      </c>
      <c r="K37" s="27">
        <v>10</v>
      </c>
      <c r="L37" s="27" t="s">
        <v>185</v>
      </c>
      <c r="M37" s="27">
        <v>1</v>
      </c>
      <c r="N37" s="27" t="s">
        <v>186</v>
      </c>
      <c r="O37" s="54">
        <v>14000000</v>
      </c>
      <c r="P37" s="30">
        <f t="shared" si="1"/>
        <v>12250000</v>
      </c>
      <c r="Q37" s="30"/>
      <c r="R37" s="30" t="s">
        <v>191</v>
      </c>
      <c r="S37" s="31">
        <f t="shared" si="0"/>
        <v>12250000</v>
      </c>
    </row>
    <row r="38" spans="1:19" s="79" customFormat="1" ht="15" customHeight="1">
      <c r="A38" s="27" t="s">
        <v>347</v>
      </c>
      <c r="B38" s="100" t="s">
        <v>187</v>
      </c>
      <c r="C38" s="101" t="s">
        <v>165</v>
      </c>
      <c r="D38" s="101" t="s">
        <v>292</v>
      </c>
      <c r="E38" s="101" t="s">
        <v>293</v>
      </c>
      <c r="F38" s="27">
        <v>1</v>
      </c>
      <c r="G38" s="27">
        <v>1</v>
      </c>
      <c r="H38" s="27" t="s">
        <v>184</v>
      </c>
      <c r="I38" s="27" t="s">
        <v>4</v>
      </c>
      <c r="J38" s="33" t="s">
        <v>294</v>
      </c>
      <c r="K38" s="27">
        <v>10</v>
      </c>
      <c r="L38" s="27" t="s">
        <v>185</v>
      </c>
      <c r="M38" s="27">
        <v>1</v>
      </c>
      <c r="N38" s="27" t="s">
        <v>186</v>
      </c>
      <c r="O38" s="54">
        <v>45000000</v>
      </c>
      <c r="P38" s="30">
        <f t="shared" si="1"/>
        <v>39375000</v>
      </c>
      <c r="Q38" s="30"/>
      <c r="R38" s="30" t="s">
        <v>191</v>
      </c>
      <c r="S38" s="31">
        <f t="shared" si="0"/>
        <v>39375000</v>
      </c>
    </row>
    <row r="39" spans="1:19" s="79" customFormat="1" ht="15" customHeight="1">
      <c r="A39" s="27" t="s">
        <v>347</v>
      </c>
      <c r="B39" s="100" t="s">
        <v>187</v>
      </c>
      <c r="C39" s="101" t="s">
        <v>165</v>
      </c>
      <c r="D39" s="101" t="s">
        <v>295</v>
      </c>
      <c r="E39" s="101" t="s">
        <v>296</v>
      </c>
      <c r="F39" s="27">
        <v>1</v>
      </c>
      <c r="G39" s="27">
        <v>1</v>
      </c>
      <c r="H39" s="27" t="s">
        <v>184</v>
      </c>
      <c r="I39" s="27" t="s">
        <v>4</v>
      </c>
      <c r="J39" s="33" t="s">
        <v>297</v>
      </c>
      <c r="K39" s="27">
        <v>10</v>
      </c>
      <c r="L39" s="27" t="s">
        <v>185</v>
      </c>
      <c r="M39" s="27">
        <v>1</v>
      </c>
      <c r="N39" s="27" t="s">
        <v>186</v>
      </c>
      <c r="O39" s="54">
        <v>20700000</v>
      </c>
      <c r="P39" s="30">
        <f t="shared" si="1"/>
        <v>18112500</v>
      </c>
      <c r="Q39" s="30"/>
      <c r="R39" s="30" t="s">
        <v>191</v>
      </c>
      <c r="S39" s="31">
        <f t="shared" si="0"/>
        <v>18112500</v>
      </c>
    </row>
    <row r="40" spans="1:19" s="79" customFormat="1" ht="15" customHeight="1">
      <c r="A40" s="27" t="s">
        <v>347</v>
      </c>
      <c r="B40" s="100" t="s">
        <v>187</v>
      </c>
      <c r="C40" s="101" t="s">
        <v>165</v>
      </c>
      <c r="D40" s="101" t="s">
        <v>298</v>
      </c>
      <c r="E40" s="101" t="s">
        <v>299</v>
      </c>
      <c r="F40" s="27">
        <v>1</v>
      </c>
      <c r="G40" s="27">
        <v>1</v>
      </c>
      <c r="H40" s="27" t="s">
        <v>184</v>
      </c>
      <c r="I40" s="27" t="s">
        <v>4</v>
      </c>
      <c r="J40" s="33" t="s">
        <v>300</v>
      </c>
      <c r="K40" s="27">
        <v>10</v>
      </c>
      <c r="L40" s="27" t="s">
        <v>185</v>
      </c>
      <c r="M40" s="27">
        <v>1</v>
      </c>
      <c r="N40" s="27" t="s">
        <v>186</v>
      </c>
      <c r="O40" s="54">
        <v>42450000</v>
      </c>
      <c r="P40" s="30">
        <f t="shared" si="1"/>
        <v>37143750</v>
      </c>
      <c r="Q40" s="30"/>
      <c r="R40" s="30" t="s">
        <v>191</v>
      </c>
      <c r="S40" s="31">
        <f t="shared" si="0"/>
        <v>37143750</v>
      </c>
    </row>
    <row r="41" spans="1:19" s="79" customFormat="1" ht="15" customHeight="1">
      <c r="A41" s="27" t="s">
        <v>347</v>
      </c>
      <c r="B41" s="100" t="s">
        <v>187</v>
      </c>
      <c r="C41" s="101" t="s">
        <v>165</v>
      </c>
      <c r="D41" s="101" t="s">
        <v>301</v>
      </c>
      <c r="E41" s="101" t="s">
        <v>302</v>
      </c>
      <c r="F41" s="27">
        <v>1</v>
      </c>
      <c r="G41" s="27">
        <v>1</v>
      </c>
      <c r="H41" s="27" t="s">
        <v>184</v>
      </c>
      <c r="I41" s="27" t="s">
        <v>4</v>
      </c>
      <c r="J41" s="33" t="s">
        <v>303</v>
      </c>
      <c r="K41" s="27">
        <v>10</v>
      </c>
      <c r="L41" s="27" t="s">
        <v>185</v>
      </c>
      <c r="M41" s="27">
        <v>1</v>
      </c>
      <c r="N41" s="27" t="s">
        <v>186</v>
      </c>
      <c r="O41" s="54">
        <v>17200000</v>
      </c>
      <c r="P41" s="30">
        <f t="shared" si="1"/>
        <v>15050000</v>
      </c>
      <c r="Q41" s="30"/>
      <c r="R41" s="30" t="s">
        <v>191</v>
      </c>
      <c r="S41" s="31">
        <f t="shared" ref="S41:S72" si="2">P41*G41</f>
        <v>15050000</v>
      </c>
    </row>
    <row r="42" spans="1:19" s="79" customFormat="1" ht="15" customHeight="1">
      <c r="A42" s="27" t="s">
        <v>347</v>
      </c>
      <c r="B42" s="100" t="s">
        <v>187</v>
      </c>
      <c r="C42" s="101" t="s">
        <v>165</v>
      </c>
      <c r="D42" s="101" t="s">
        <v>304</v>
      </c>
      <c r="E42" s="101" t="s">
        <v>305</v>
      </c>
      <c r="F42" s="27">
        <v>1</v>
      </c>
      <c r="G42" s="27">
        <v>1</v>
      </c>
      <c r="H42" s="27" t="s">
        <v>184</v>
      </c>
      <c r="I42" s="27" t="s">
        <v>4</v>
      </c>
      <c r="J42" s="33" t="s">
        <v>306</v>
      </c>
      <c r="K42" s="27">
        <v>10</v>
      </c>
      <c r="L42" s="27" t="s">
        <v>185</v>
      </c>
      <c r="M42" s="27">
        <v>1</v>
      </c>
      <c r="N42" s="27" t="s">
        <v>186</v>
      </c>
      <c r="O42" s="54">
        <v>18000000</v>
      </c>
      <c r="P42" s="30">
        <f t="shared" si="1"/>
        <v>15750000</v>
      </c>
      <c r="Q42" s="30"/>
      <c r="R42" s="30" t="s">
        <v>191</v>
      </c>
      <c r="S42" s="31">
        <f t="shared" si="2"/>
        <v>15750000</v>
      </c>
    </row>
    <row r="43" spans="1:19" s="79" customFormat="1" ht="15" customHeight="1">
      <c r="A43" s="27" t="s">
        <v>347</v>
      </c>
      <c r="B43" s="102" t="s">
        <v>187</v>
      </c>
      <c r="C43" s="101" t="s">
        <v>165</v>
      </c>
      <c r="D43" s="101" t="s">
        <v>322</v>
      </c>
      <c r="E43" s="101" t="s">
        <v>190</v>
      </c>
      <c r="F43" s="27">
        <v>1</v>
      </c>
      <c r="G43" s="27">
        <v>1</v>
      </c>
      <c r="H43" s="27" t="s">
        <v>184</v>
      </c>
      <c r="I43" s="27" t="s">
        <v>4</v>
      </c>
      <c r="J43" s="33" t="s">
        <v>199</v>
      </c>
      <c r="K43" s="27">
        <v>10</v>
      </c>
      <c r="L43" s="27" t="s">
        <v>185</v>
      </c>
      <c r="M43" s="27">
        <v>1</v>
      </c>
      <c r="N43" s="27" t="s">
        <v>186</v>
      </c>
      <c r="O43" s="54">
        <v>5700000</v>
      </c>
      <c r="P43" s="30">
        <f t="shared" si="1"/>
        <v>4987500</v>
      </c>
      <c r="Q43" s="30"/>
      <c r="R43" s="30" t="s">
        <v>191</v>
      </c>
      <c r="S43" s="31">
        <f t="shared" si="2"/>
        <v>4987500</v>
      </c>
    </row>
    <row r="44" spans="1:19" s="79" customFormat="1" ht="15" customHeight="1">
      <c r="A44" s="27" t="s">
        <v>347</v>
      </c>
      <c r="B44" s="102" t="s">
        <v>187</v>
      </c>
      <c r="C44" s="101" t="s">
        <v>165</v>
      </c>
      <c r="D44" s="101" t="s">
        <v>323</v>
      </c>
      <c r="E44" s="101" t="s">
        <v>190</v>
      </c>
      <c r="F44" s="27">
        <v>1</v>
      </c>
      <c r="G44" s="27">
        <v>1</v>
      </c>
      <c r="H44" s="27" t="s">
        <v>184</v>
      </c>
      <c r="I44" s="27" t="s">
        <v>4</v>
      </c>
      <c r="J44" s="33" t="s">
        <v>199</v>
      </c>
      <c r="K44" s="27">
        <v>10</v>
      </c>
      <c r="L44" s="27" t="s">
        <v>185</v>
      </c>
      <c r="M44" s="27">
        <v>1</v>
      </c>
      <c r="N44" s="27" t="s">
        <v>186</v>
      </c>
      <c r="O44" s="54">
        <v>5700000</v>
      </c>
      <c r="P44" s="30">
        <f t="shared" si="1"/>
        <v>4987500</v>
      </c>
      <c r="Q44" s="30"/>
      <c r="R44" s="30" t="s">
        <v>191</v>
      </c>
      <c r="S44" s="31">
        <f t="shared" si="2"/>
        <v>4987500</v>
      </c>
    </row>
    <row r="45" spans="1:19" s="79" customFormat="1" ht="15" customHeight="1">
      <c r="A45" s="27" t="s">
        <v>347</v>
      </c>
      <c r="B45" s="102" t="s">
        <v>187</v>
      </c>
      <c r="C45" s="101" t="s">
        <v>165</v>
      </c>
      <c r="D45" s="101" t="s">
        <v>324</v>
      </c>
      <c r="E45" s="101" t="s">
        <v>188</v>
      </c>
      <c r="F45" s="27">
        <v>1</v>
      </c>
      <c r="G45" s="27">
        <v>1</v>
      </c>
      <c r="H45" s="27" t="s">
        <v>184</v>
      </c>
      <c r="I45" s="27" t="s">
        <v>4</v>
      </c>
      <c r="J45" s="33" t="s">
        <v>199</v>
      </c>
      <c r="K45" s="27">
        <v>10</v>
      </c>
      <c r="L45" s="27" t="s">
        <v>185</v>
      </c>
      <c r="M45" s="27">
        <v>1</v>
      </c>
      <c r="N45" s="27" t="s">
        <v>186</v>
      </c>
      <c r="O45" s="54">
        <v>7200000</v>
      </c>
      <c r="P45" s="30">
        <f t="shared" si="1"/>
        <v>6300000</v>
      </c>
      <c r="Q45" s="30"/>
      <c r="R45" s="30" t="s">
        <v>191</v>
      </c>
      <c r="S45" s="31">
        <f t="shared" si="2"/>
        <v>6300000</v>
      </c>
    </row>
    <row r="46" spans="1:19" s="79" customFormat="1" ht="15" customHeight="1">
      <c r="A46" s="27" t="s">
        <v>347</v>
      </c>
      <c r="B46" s="102" t="s">
        <v>187</v>
      </c>
      <c r="C46" s="101" t="s">
        <v>165</v>
      </c>
      <c r="D46" s="101" t="s">
        <v>325</v>
      </c>
      <c r="E46" s="101" t="s">
        <v>190</v>
      </c>
      <c r="F46" s="27">
        <v>1</v>
      </c>
      <c r="G46" s="27">
        <v>1</v>
      </c>
      <c r="H46" s="27" t="s">
        <v>184</v>
      </c>
      <c r="I46" s="27" t="s">
        <v>4</v>
      </c>
      <c r="J46" s="33" t="s">
        <v>199</v>
      </c>
      <c r="K46" s="27">
        <v>10</v>
      </c>
      <c r="L46" s="27" t="s">
        <v>185</v>
      </c>
      <c r="M46" s="27">
        <v>1</v>
      </c>
      <c r="N46" s="27" t="s">
        <v>186</v>
      </c>
      <c r="O46" s="54">
        <v>5700000</v>
      </c>
      <c r="P46" s="30">
        <f t="shared" si="1"/>
        <v>4987500</v>
      </c>
      <c r="Q46" s="30"/>
      <c r="R46" s="30" t="s">
        <v>191</v>
      </c>
      <c r="S46" s="31">
        <f t="shared" si="2"/>
        <v>4987500</v>
      </c>
    </row>
    <row r="47" spans="1:19" s="79" customFormat="1" ht="15" customHeight="1">
      <c r="A47" s="27" t="s">
        <v>347</v>
      </c>
      <c r="B47" s="102" t="s">
        <v>187</v>
      </c>
      <c r="C47" s="101" t="s">
        <v>165</v>
      </c>
      <c r="D47" s="101" t="s">
        <v>326</v>
      </c>
      <c r="E47" s="101" t="s">
        <v>188</v>
      </c>
      <c r="F47" s="27">
        <v>1</v>
      </c>
      <c r="G47" s="27">
        <v>1</v>
      </c>
      <c r="H47" s="27" t="s">
        <v>184</v>
      </c>
      <c r="I47" s="27" t="s">
        <v>4</v>
      </c>
      <c r="J47" s="33" t="s">
        <v>199</v>
      </c>
      <c r="K47" s="27">
        <v>10</v>
      </c>
      <c r="L47" s="27" t="s">
        <v>185</v>
      </c>
      <c r="M47" s="27">
        <v>1</v>
      </c>
      <c r="N47" s="27" t="s">
        <v>186</v>
      </c>
      <c r="O47" s="54">
        <v>5700000</v>
      </c>
      <c r="P47" s="30">
        <f t="shared" si="1"/>
        <v>4987500</v>
      </c>
      <c r="Q47" s="30"/>
      <c r="R47" s="30" t="s">
        <v>191</v>
      </c>
      <c r="S47" s="31">
        <f t="shared" si="2"/>
        <v>4987500</v>
      </c>
    </row>
    <row r="48" spans="1:19" s="79" customFormat="1" ht="15" customHeight="1">
      <c r="A48" s="27" t="s">
        <v>347</v>
      </c>
      <c r="B48" s="102" t="s">
        <v>187</v>
      </c>
      <c r="C48" s="101" t="s">
        <v>165</v>
      </c>
      <c r="D48" s="101" t="s">
        <v>327</v>
      </c>
      <c r="E48" s="101" t="s">
        <v>190</v>
      </c>
      <c r="F48" s="27">
        <v>1</v>
      </c>
      <c r="G48" s="27">
        <v>1</v>
      </c>
      <c r="H48" s="27" t="s">
        <v>184</v>
      </c>
      <c r="I48" s="27" t="s">
        <v>4</v>
      </c>
      <c r="J48" s="33" t="s">
        <v>199</v>
      </c>
      <c r="K48" s="27">
        <v>10</v>
      </c>
      <c r="L48" s="27" t="s">
        <v>185</v>
      </c>
      <c r="M48" s="27">
        <v>1</v>
      </c>
      <c r="N48" s="27" t="s">
        <v>186</v>
      </c>
      <c r="O48" s="54">
        <v>5700000</v>
      </c>
      <c r="P48" s="30">
        <f t="shared" si="1"/>
        <v>4987500</v>
      </c>
      <c r="Q48" s="30"/>
      <c r="R48" s="30" t="s">
        <v>191</v>
      </c>
      <c r="S48" s="31">
        <f t="shared" si="2"/>
        <v>4987500</v>
      </c>
    </row>
    <row r="49" spans="1:19" s="79" customFormat="1" ht="15" customHeight="1">
      <c r="A49" s="27" t="s">
        <v>347</v>
      </c>
      <c r="B49" s="102" t="s">
        <v>187</v>
      </c>
      <c r="C49" s="101" t="s">
        <v>165</v>
      </c>
      <c r="D49" s="101" t="s">
        <v>331</v>
      </c>
      <c r="E49" s="101" t="s">
        <v>332</v>
      </c>
      <c r="F49" s="27">
        <v>1</v>
      </c>
      <c r="G49" s="27">
        <v>1</v>
      </c>
      <c r="H49" s="27" t="s">
        <v>184</v>
      </c>
      <c r="I49" s="27" t="s">
        <v>4</v>
      </c>
      <c r="J49" s="103" t="s">
        <v>336</v>
      </c>
      <c r="K49" s="27">
        <v>10</v>
      </c>
      <c r="L49" s="27" t="s">
        <v>185</v>
      </c>
      <c r="M49" s="27">
        <v>1</v>
      </c>
      <c r="N49" s="27" t="s">
        <v>186</v>
      </c>
      <c r="O49" s="54">
        <v>16000000</v>
      </c>
      <c r="P49" s="30">
        <f t="shared" si="1"/>
        <v>14000000</v>
      </c>
      <c r="Q49" s="30"/>
      <c r="R49" s="30" t="s">
        <v>191</v>
      </c>
      <c r="S49" s="31">
        <f t="shared" si="2"/>
        <v>14000000</v>
      </c>
    </row>
    <row r="50" spans="1:19" s="79" customFormat="1" ht="15" customHeight="1">
      <c r="A50" s="27" t="s">
        <v>347</v>
      </c>
      <c r="B50" s="102" t="s">
        <v>187</v>
      </c>
      <c r="C50" s="101" t="s">
        <v>165</v>
      </c>
      <c r="D50" s="101" t="s">
        <v>333</v>
      </c>
      <c r="E50" s="101" t="s">
        <v>334</v>
      </c>
      <c r="F50" s="27">
        <v>1</v>
      </c>
      <c r="G50" s="27">
        <v>1</v>
      </c>
      <c r="H50" s="27" t="s">
        <v>184</v>
      </c>
      <c r="I50" s="27" t="s">
        <v>4</v>
      </c>
      <c r="J50" s="103" t="s">
        <v>335</v>
      </c>
      <c r="K50" s="27">
        <v>10</v>
      </c>
      <c r="L50" s="27" t="s">
        <v>185</v>
      </c>
      <c r="M50" s="27">
        <v>1</v>
      </c>
      <c r="N50" s="27" t="s">
        <v>186</v>
      </c>
      <c r="O50" s="54">
        <v>19485000</v>
      </c>
      <c r="P50" s="30">
        <f t="shared" si="1"/>
        <v>17049375</v>
      </c>
      <c r="Q50" s="30"/>
      <c r="R50" s="30" t="s">
        <v>191</v>
      </c>
      <c r="S50" s="31">
        <f t="shared" si="2"/>
        <v>17049375</v>
      </c>
    </row>
    <row r="51" spans="1:19" s="79" customFormat="1" ht="15" customHeight="1">
      <c r="A51" s="27" t="s">
        <v>347</v>
      </c>
      <c r="B51" s="102" t="s">
        <v>187</v>
      </c>
      <c r="C51" s="101" t="s">
        <v>165</v>
      </c>
      <c r="D51" s="101" t="s">
        <v>337</v>
      </c>
      <c r="E51" s="101" t="s">
        <v>338</v>
      </c>
      <c r="F51" s="27">
        <v>1</v>
      </c>
      <c r="G51" s="27">
        <v>1</v>
      </c>
      <c r="H51" s="27" t="s">
        <v>184</v>
      </c>
      <c r="I51" s="27" t="s">
        <v>4</v>
      </c>
      <c r="J51" s="33" t="s">
        <v>310</v>
      </c>
      <c r="K51" s="27">
        <v>10</v>
      </c>
      <c r="L51" s="27" t="s">
        <v>185</v>
      </c>
      <c r="M51" s="27">
        <v>1</v>
      </c>
      <c r="N51" s="27" t="s">
        <v>186</v>
      </c>
      <c r="O51" s="54">
        <v>25000000</v>
      </c>
      <c r="P51" s="30">
        <f t="shared" si="1"/>
        <v>21875000</v>
      </c>
      <c r="Q51" s="30"/>
      <c r="R51" s="30" t="s">
        <v>191</v>
      </c>
      <c r="S51" s="31">
        <f t="shared" si="2"/>
        <v>21875000</v>
      </c>
    </row>
    <row r="52" spans="1:19" s="79" customFormat="1" ht="15" customHeight="1">
      <c r="A52" s="27" t="s">
        <v>347</v>
      </c>
      <c r="B52" s="102" t="s">
        <v>187</v>
      </c>
      <c r="C52" s="101" t="s">
        <v>165</v>
      </c>
      <c r="D52" s="101" t="s">
        <v>339</v>
      </c>
      <c r="E52" s="101" t="s">
        <v>340</v>
      </c>
      <c r="F52" s="27">
        <v>1</v>
      </c>
      <c r="G52" s="27">
        <v>1</v>
      </c>
      <c r="H52" s="27" t="s">
        <v>184</v>
      </c>
      <c r="I52" s="27" t="s">
        <v>4</v>
      </c>
      <c r="J52" s="33" t="s">
        <v>310</v>
      </c>
      <c r="K52" s="27">
        <v>10</v>
      </c>
      <c r="L52" s="27" t="s">
        <v>185</v>
      </c>
      <c r="M52" s="27">
        <v>1</v>
      </c>
      <c r="N52" s="27" t="s">
        <v>186</v>
      </c>
      <c r="O52" s="54">
        <v>14000000</v>
      </c>
      <c r="P52" s="30">
        <f t="shared" si="1"/>
        <v>12250000</v>
      </c>
      <c r="Q52" s="30"/>
      <c r="R52" s="30" t="s">
        <v>191</v>
      </c>
      <c r="S52" s="31">
        <f t="shared" si="2"/>
        <v>12250000</v>
      </c>
    </row>
    <row r="53" spans="1:19" s="79" customFormat="1" ht="15" customHeight="1">
      <c r="A53" s="27" t="s">
        <v>347</v>
      </c>
      <c r="B53" s="102" t="s">
        <v>187</v>
      </c>
      <c r="C53" s="101" t="s">
        <v>165</v>
      </c>
      <c r="D53" s="101" t="s">
        <v>341</v>
      </c>
      <c r="E53" s="101" t="s">
        <v>342</v>
      </c>
      <c r="F53" s="27">
        <v>1</v>
      </c>
      <c r="G53" s="27">
        <v>1</v>
      </c>
      <c r="H53" s="27" t="s">
        <v>184</v>
      </c>
      <c r="I53" s="27" t="s">
        <v>4</v>
      </c>
      <c r="J53" s="33" t="s">
        <v>310</v>
      </c>
      <c r="K53" s="27">
        <v>10</v>
      </c>
      <c r="L53" s="27" t="s">
        <v>185</v>
      </c>
      <c r="M53" s="27">
        <v>1</v>
      </c>
      <c r="N53" s="27" t="s">
        <v>186</v>
      </c>
      <c r="O53" s="54">
        <v>10000000</v>
      </c>
      <c r="P53" s="30">
        <f t="shared" si="1"/>
        <v>8750000</v>
      </c>
      <c r="Q53" s="30"/>
      <c r="R53" s="30" t="s">
        <v>191</v>
      </c>
      <c r="S53" s="31">
        <f t="shared" si="2"/>
        <v>8750000</v>
      </c>
    </row>
    <row r="54" spans="1:19" s="79" customFormat="1" ht="15" customHeight="1">
      <c r="A54" s="27" t="s">
        <v>347</v>
      </c>
      <c r="B54" s="106" t="s">
        <v>187</v>
      </c>
      <c r="C54" s="107" t="s">
        <v>165</v>
      </c>
      <c r="D54" s="107" t="s">
        <v>343</v>
      </c>
      <c r="E54" s="107" t="s">
        <v>344</v>
      </c>
      <c r="F54" s="27">
        <v>1</v>
      </c>
      <c r="G54" s="27">
        <v>1</v>
      </c>
      <c r="H54" s="27" t="s">
        <v>184</v>
      </c>
      <c r="I54" s="27" t="s">
        <v>4</v>
      </c>
      <c r="J54" s="108" t="s">
        <v>345</v>
      </c>
      <c r="K54" s="27">
        <v>10</v>
      </c>
      <c r="L54" s="27" t="s">
        <v>185</v>
      </c>
      <c r="M54" s="27">
        <v>1</v>
      </c>
      <c r="N54" s="27" t="s">
        <v>186</v>
      </c>
      <c r="O54" s="54">
        <v>28315000</v>
      </c>
      <c r="P54" s="30">
        <f t="shared" si="1"/>
        <v>24775625</v>
      </c>
      <c r="Q54" s="30"/>
      <c r="R54" s="30" t="s">
        <v>191</v>
      </c>
      <c r="S54" s="31">
        <f t="shared" si="2"/>
        <v>24775625</v>
      </c>
    </row>
    <row r="55" spans="1:19" s="21" customFormat="1" ht="15" customHeight="1">
      <c r="A55" s="27" t="s">
        <v>347</v>
      </c>
      <c r="B55" s="109" t="s">
        <v>187</v>
      </c>
      <c r="C55" s="34" t="s">
        <v>205</v>
      </c>
      <c r="D55" s="35" t="s">
        <v>207</v>
      </c>
      <c r="E55" s="28" t="s">
        <v>201</v>
      </c>
      <c r="F55" s="27">
        <v>1</v>
      </c>
      <c r="G55" s="27">
        <v>1</v>
      </c>
      <c r="H55" s="27" t="s">
        <v>184</v>
      </c>
      <c r="I55" s="27" t="s">
        <v>4</v>
      </c>
      <c r="J55" s="33" t="s">
        <v>199</v>
      </c>
      <c r="K55" s="27">
        <v>10</v>
      </c>
      <c r="L55" s="27" t="s">
        <v>185</v>
      </c>
      <c r="M55" s="27">
        <v>1</v>
      </c>
      <c r="N55" s="27" t="s">
        <v>186</v>
      </c>
      <c r="O55" s="54">
        <v>3500000</v>
      </c>
      <c r="P55" s="30">
        <f t="shared" si="1"/>
        <v>3062500</v>
      </c>
      <c r="Q55" s="30"/>
      <c r="R55" s="30" t="s">
        <v>191</v>
      </c>
      <c r="S55" s="31">
        <f t="shared" si="2"/>
        <v>3062500</v>
      </c>
    </row>
    <row r="56" spans="1:19" s="21" customFormat="1" ht="15" customHeight="1">
      <c r="A56" s="27" t="s">
        <v>347</v>
      </c>
      <c r="B56" s="109" t="s">
        <v>187</v>
      </c>
      <c r="C56" s="34" t="s">
        <v>205</v>
      </c>
      <c r="D56" s="35" t="s">
        <v>208</v>
      </c>
      <c r="E56" s="28" t="s">
        <v>201</v>
      </c>
      <c r="F56" s="27">
        <v>1</v>
      </c>
      <c r="G56" s="27">
        <v>1</v>
      </c>
      <c r="H56" s="27" t="s">
        <v>184</v>
      </c>
      <c r="I56" s="27" t="s">
        <v>4</v>
      </c>
      <c r="J56" s="33" t="s">
        <v>199</v>
      </c>
      <c r="K56" s="27">
        <v>10</v>
      </c>
      <c r="L56" s="27" t="s">
        <v>185</v>
      </c>
      <c r="M56" s="27">
        <v>1</v>
      </c>
      <c r="N56" s="27" t="s">
        <v>186</v>
      </c>
      <c r="O56" s="54">
        <v>3500000</v>
      </c>
      <c r="P56" s="30">
        <f t="shared" si="1"/>
        <v>3062500</v>
      </c>
      <c r="Q56" s="30"/>
      <c r="R56" s="30" t="s">
        <v>191</v>
      </c>
      <c r="S56" s="31">
        <f t="shared" si="2"/>
        <v>3062500</v>
      </c>
    </row>
    <row r="57" spans="1:19" s="21" customFormat="1" ht="15" customHeight="1">
      <c r="A57" s="27" t="s">
        <v>347</v>
      </c>
      <c r="B57" s="109" t="s">
        <v>187</v>
      </c>
      <c r="C57" s="34" t="s">
        <v>205</v>
      </c>
      <c r="D57" s="35" t="s">
        <v>209</v>
      </c>
      <c r="E57" s="28" t="s">
        <v>201</v>
      </c>
      <c r="F57" s="27">
        <v>1</v>
      </c>
      <c r="G57" s="27">
        <v>1</v>
      </c>
      <c r="H57" s="27" t="s">
        <v>184</v>
      </c>
      <c r="I57" s="27" t="s">
        <v>4</v>
      </c>
      <c r="J57" s="33" t="s">
        <v>199</v>
      </c>
      <c r="K57" s="27">
        <v>10</v>
      </c>
      <c r="L57" s="27" t="s">
        <v>185</v>
      </c>
      <c r="M57" s="27">
        <v>1</v>
      </c>
      <c r="N57" s="27" t="s">
        <v>186</v>
      </c>
      <c r="O57" s="54">
        <v>3500000</v>
      </c>
      <c r="P57" s="30">
        <f t="shared" si="1"/>
        <v>3062500</v>
      </c>
      <c r="Q57" s="30"/>
      <c r="R57" s="30" t="s">
        <v>191</v>
      </c>
      <c r="S57" s="31">
        <f t="shared" si="2"/>
        <v>3062500</v>
      </c>
    </row>
    <row r="58" spans="1:19" s="21" customFormat="1" ht="15" customHeight="1">
      <c r="A58" s="27" t="s">
        <v>347</v>
      </c>
      <c r="B58" s="109" t="s">
        <v>187</v>
      </c>
      <c r="C58" s="34" t="s">
        <v>205</v>
      </c>
      <c r="D58" s="35" t="s">
        <v>210</v>
      </c>
      <c r="E58" s="28" t="s">
        <v>201</v>
      </c>
      <c r="F58" s="27">
        <v>1</v>
      </c>
      <c r="G58" s="27">
        <v>1</v>
      </c>
      <c r="H58" s="27" t="s">
        <v>184</v>
      </c>
      <c r="I58" s="27" t="s">
        <v>4</v>
      </c>
      <c r="J58" s="33" t="s">
        <v>199</v>
      </c>
      <c r="K58" s="27">
        <v>10</v>
      </c>
      <c r="L58" s="27" t="s">
        <v>185</v>
      </c>
      <c r="M58" s="27">
        <v>1</v>
      </c>
      <c r="N58" s="27" t="s">
        <v>186</v>
      </c>
      <c r="O58" s="54">
        <v>3500000</v>
      </c>
      <c r="P58" s="30">
        <f t="shared" si="1"/>
        <v>3062500</v>
      </c>
      <c r="Q58" s="30"/>
      <c r="R58" s="30" t="s">
        <v>191</v>
      </c>
      <c r="S58" s="31">
        <f t="shared" si="2"/>
        <v>3062500</v>
      </c>
    </row>
    <row r="59" spans="1:19" s="21" customFormat="1" ht="15" customHeight="1">
      <c r="A59" s="27" t="s">
        <v>347</v>
      </c>
      <c r="B59" s="109" t="s">
        <v>187</v>
      </c>
      <c r="C59" s="34" t="s">
        <v>205</v>
      </c>
      <c r="D59" s="35" t="s">
        <v>211</v>
      </c>
      <c r="E59" s="36" t="s">
        <v>201</v>
      </c>
      <c r="F59" s="27">
        <v>1</v>
      </c>
      <c r="G59" s="27">
        <v>1</v>
      </c>
      <c r="H59" s="27" t="s">
        <v>184</v>
      </c>
      <c r="I59" s="27" t="s">
        <v>4</v>
      </c>
      <c r="J59" s="33" t="s">
        <v>199</v>
      </c>
      <c r="K59" s="27">
        <v>10</v>
      </c>
      <c r="L59" s="27" t="s">
        <v>185</v>
      </c>
      <c r="M59" s="27">
        <v>1</v>
      </c>
      <c r="N59" s="27" t="s">
        <v>186</v>
      </c>
      <c r="O59" s="54">
        <v>3500000</v>
      </c>
      <c r="P59" s="30">
        <f t="shared" si="1"/>
        <v>3062500</v>
      </c>
      <c r="Q59" s="30"/>
      <c r="R59" s="30" t="s">
        <v>191</v>
      </c>
      <c r="S59" s="31">
        <f t="shared" si="2"/>
        <v>3062500</v>
      </c>
    </row>
    <row r="60" spans="1:19" s="21" customFormat="1" ht="15" customHeight="1">
      <c r="A60" s="27" t="s">
        <v>347</v>
      </c>
      <c r="B60" s="109" t="s">
        <v>187</v>
      </c>
      <c r="C60" s="34" t="s">
        <v>205</v>
      </c>
      <c r="D60" s="35" t="s">
        <v>212</v>
      </c>
      <c r="E60" s="28" t="s">
        <v>213</v>
      </c>
      <c r="F60" s="27">
        <v>1</v>
      </c>
      <c r="G60" s="27">
        <v>1</v>
      </c>
      <c r="H60" s="27" t="s">
        <v>184</v>
      </c>
      <c r="I60" s="27" t="s">
        <v>4</v>
      </c>
      <c r="J60" s="33" t="s">
        <v>199</v>
      </c>
      <c r="K60" s="27">
        <v>10</v>
      </c>
      <c r="L60" s="27" t="s">
        <v>185</v>
      </c>
      <c r="M60" s="27">
        <v>1</v>
      </c>
      <c r="N60" s="27" t="s">
        <v>186</v>
      </c>
      <c r="O60" s="54">
        <v>3500000</v>
      </c>
      <c r="P60" s="30">
        <f t="shared" si="1"/>
        <v>3062500</v>
      </c>
      <c r="Q60" s="30"/>
      <c r="R60" s="30" t="s">
        <v>191</v>
      </c>
      <c r="S60" s="31">
        <f t="shared" si="2"/>
        <v>3062500</v>
      </c>
    </row>
    <row r="61" spans="1:19" s="21" customFormat="1" ht="15" customHeight="1">
      <c r="A61" s="27" t="s">
        <v>347</v>
      </c>
      <c r="B61" s="109" t="s">
        <v>187</v>
      </c>
      <c r="C61" s="37" t="s">
        <v>205</v>
      </c>
      <c r="D61" s="38" t="s">
        <v>214</v>
      </c>
      <c r="E61" s="36" t="s">
        <v>188</v>
      </c>
      <c r="F61" s="27">
        <v>1</v>
      </c>
      <c r="G61" s="27">
        <v>1</v>
      </c>
      <c r="H61" s="27" t="s">
        <v>184</v>
      </c>
      <c r="I61" s="27" t="s">
        <v>4</v>
      </c>
      <c r="J61" s="33" t="s">
        <v>199</v>
      </c>
      <c r="K61" s="27">
        <v>10</v>
      </c>
      <c r="L61" s="27" t="s">
        <v>185</v>
      </c>
      <c r="M61" s="27">
        <v>1</v>
      </c>
      <c r="N61" s="27" t="s">
        <v>186</v>
      </c>
      <c r="O61" s="54">
        <v>3500000</v>
      </c>
      <c r="P61" s="30">
        <f t="shared" si="1"/>
        <v>3062500</v>
      </c>
      <c r="Q61" s="30"/>
      <c r="R61" s="30" t="s">
        <v>191</v>
      </c>
      <c r="S61" s="31">
        <f t="shared" si="2"/>
        <v>3062500</v>
      </c>
    </row>
    <row r="62" spans="1:19" s="21" customFormat="1" ht="15" customHeight="1">
      <c r="A62" s="27" t="s">
        <v>347</v>
      </c>
      <c r="B62" s="100" t="s">
        <v>187</v>
      </c>
      <c r="C62" s="101" t="s">
        <v>205</v>
      </c>
      <c r="D62" s="101" t="s">
        <v>313</v>
      </c>
      <c r="E62" s="101" t="s">
        <v>190</v>
      </c>
      <c r="F62" s="27">
        <v>1</v>
      </c>
      <c r="G62" s="27">
        <v>1</v>
      </c>
      <c r="H62" s="27" t="s">
        <v>184</v>
      </c>
      <c r="I62" s="27" t="s">
        <v>4</v>
      </c>
      <c r="J62" s="33" t="s">
        <v>199</v>
      </c>
      <c r="K62" s="27">
        <v>10</v>
      </c>
      <c r="L62" s="27" t="s">
        <v>185</v>
      </c>
      <c r="M62" s="27">
        <v>1</v>
      </c>
      <c r="N62" s="27" t="s">
        <v>186</v>
      </c>
      <c r="O62" s="54">
        <v>3500000</v>
      </c>
      <c r="P62" s="30">
        <f t="shared" si="1"/>
        <v>3062500</v>
      </c>
      <c r="Q62" s="30"/>
      <c r="R62" s="30" t="s">
        <v>191</v>
      </c>
      <c r="S62" s="31">
        <f t="shared" si="2"/>
        <v>3062500</v>
      </c>
    </row>
    <row r="63" spans="1:19" s="21" customFormat="1" ht="15" customHeight="1">
      <c r="A63" s="27" t="s">
        <v>347</v>
      </c>
      <c r="B63" s="100" t="s">
        <v>187</v>
      </c>
      <c r="C63" s="101" t="s">
        <v>205</v>
      </c>
      <c r="D63" s="101" t="s">
        <v>314</v>
      </c>
      <c r="E63" s="101" t="s">
        <v>190</v>
      </c>
      <c r="F63" s="27">
        <v>1</v>
      </c>
      <c r="G63" s="27">
        <v>1</v>
      </c>
      <c r="H63" s="27" t="s">
        <v>184</v>
      </c>
      <c r="I63" s="27" t="s">
        <v>4</v>
      </c>
      <c r="J63" s="33" t="s">
        <v>199</v>
      </c>
      <c r="K63" s="27">
        <v>10</v>
      </c>
      <c r="L63" s="27" t="s">
        <v>185</v>
      </c>
      <c r="M63" s="27">
        <v>1</v>
      </c>
      <c r="N63" s="27" t="s">
        <v>186</v>
      </c>
      <c r="O63" s="54">
        <v>3500000</v>
      </c>
      <c r="P63" s="30">
        <f t="shared" si="1"/>
        <v>3062500</v>
      </c>
      <c r="Q63" s="30"/>
      <c r="R63" s="30" t="s">
        <v>191</v>
      </c>
      <c r="S63" s="31">
        <f t="shared" si="2"/>
        <v>3062500</v>
      </c>
    </row>
    <row r="64" spans="1:19" s="21" customFormat="1" ht="15" customHeight="1">
      <c r="A64" s="27" t="s">
        <v>347</v>
      </c>
      <c r="B64" s="100" t="s">
        <v>187</v>
      </c>
      <c r="C64" s="101" t="s">
        <v>205</v>
      </c>
      <c r="D64" s="101" t="s">
        <v>315</v>
      </c>
      <c r="E64" s="101" t="s">
        <v>201</v>
      </c>
      <c r="F64" s="27">
        <v>1</v>
      </c>
      <c r="G64" s="27">
        <v>1</v>
      </c>
      <c r="H64" s="27" t="s">
        <v>184</v>
      </c>
      <c r="I64" s="27" t="s">
        <v>4</v>
      </c>
      <c r="J64" s="33" t="s">
        <v>199</v>
      </c>
      <c r="K64" s="27">
        <v>10</v>
      </c>
      <c r="L64" s="27" t="s">
        <v>185</v>
      </c>
      <c r="M64" s="27">
        <v>1</v>
      </c>
      <c r="N64" s="27" t="s">
        <v>186</v>
      </c>
      <c r="O64" s="54">
        <v>8250000</v>
      </c>
      <c r="P64" s="30">
        <f t="shared" si="1"/>
        <v>7218750</v>
      </c>
      <c r="Q64" s="30"/>
      <c r="R64" s="30" t="s">
        <v>191</v>
      </c>
      <c r="S64" s="31">
        <f t="shared" si="2"/>
        <v>7218750</v>
      </c>
    </row>
    <row r="65" spans="1:19" s="21" customFormat="1" ht="15" customHeight="1">
      <c r="A65" s="27" t="s">
        <v>347</v>
      </c>
      <c r="B65" s="100" t="s">
        <v>187</v>
      </c>
      <c r="C65" s="101" t="s">
        <v>205</v>
      </c>
      <c r="D65" s="101" t="s">
        <v>316</v>
      </c>
      <c r="E65" s="101" t="s">
        <v>317</v>
      </c>
      <c r="F65" s="27">
        <v>1</v>
      </c>
      <c r="G65" s="27">
        <v>1</v>
      </c>
      <c r="H65" s="27" t="s">
        <v>184</v>
      </c>
      <c r="I65" s="27" t="s">
        <v>4</v>
      </c>
      <c r="J65" s="33" t="s">
        <v>199</v>
      </c>
      <c r="K65" s="27">
        <v>10</v>
      </c>
      <c r="L65" s="27" t="s">
        <v>185</v>
      </c>
      <c r="M65" s="27">
        <v>1</v>
      </c>
      <c r="N65" s="27" t="s">
        <v>186</v>
      </c>
      <c r="O65" s="54">
        <v>8250000</v>
      </c>
      <c r="P65" s="30">
        <f t="shared" si="1"/>
        <v>7218750</v>
      </c>
      <c r="Q65" s="30"/>
      <c r="R65" s="30" t="s">
        <v>191</v>
      </c>
      <c r="S65" s="31">
        <f t="shared" si="2"/>
        <v>7218750</v>
      </c>
    </row>
    <row r="66" spans="1:19" s="21" customFormat="1" ht="15" customHeight="1">
      <c r="A66" s="27" t="s">
        <v>347</v>
      </c>
      <c r="B66" s="109" t="s">
        <v>187</v>
      </c>
      <c r="C66" s="37" t="s">
        <v>242</v>
      </c>
      <c r="D66" s="38" t="s">
        <v>243</v>
      </c>
      <c r="E66" s="36" t="s">
        <v>201</v>
      </c>
      <c r="F66" s="27">
        <v>1</v>
      </c>
      <c r="G66" s="27">
        <v>1</v>
      </c>
      <c r="H66" s="27" t="s">
        <v>184</v>
      </c>
      <c r="I66" s="27" t="s">
        <v>4</v>
      </c>
      <c r="J66" s="33" t="s">
        <v>199</v>
      </c>
      <c r="K66" s="27">
        <v>10</v>
      </c>
      <c r="L66" s="27" t="s">
        <v>185</v>
      </c>
      <c r="M66" s="27">
        <v>1</v>
      </c>
      <c r="N66" s="27" t="s">
        <v>186</v>
      </c>
      <c r="O66" s="54">
        <v>3500000</v>
      </c>
      <c r="P66" s="30">
        <f t="shared" si="1"/>
        <v>3062500</v>
      </c>
      <c r="Q66" s="30"/>
      <c r="R66" s="30" t="s">
        <v>191</v>
      </c>
      <c r="S66" s="31">
        <f t="shared" si="2"/>
        <v>3062500</v>
      </c>
    </row>
    <row r="67" spans="1:19" s="21" customFormat="1" ht="15" customHeight="1">
      <c r="A67" s="27" t="s">
        <v>347</v>
      </c>
      <c r="B67" s="109" t="s">
        <v>187</v>
      </c>
      <c r="C67" s="37" t="s">
        <v>242</v>
      </c>
      <c r="D67" s="38" t="s">
        <v>244</v>
      </c>
      <c r="E67" s="36" t="s">
        <v>201</v>
      </c>
      <c r="F67" s="27">
        <v>1</v>
      </c>
      <c r="G67" s="27">
        <v>1</v>
      </c>
      <c r="H67" s="27" t="s">
        <v>184</v>
      </c>
      <c r="I67" s="27" t="s">
        <v>4</v>
      </c>
      <c r="J67" s="33" t="s">
        <v>199</v>
      </c>
      <c r="K67" s="27">
        <v>10</v>
      </c>
      <c r="L67" s="27" t="s">
        <v>185</v>
      </c>
      <c r="M67" s="27">
        <v>1</v>
      </c>
      <c r="N67" s="27" t="s">
        <v>186</v>
      </c>
      <c r="O67" s="54">
        <v>3500000</v>
      </c>
      <c r="P67" s="30">
        <f t="shared" si="1"/>
        <v>3062500</v>
      </c>
      <c r="Q67" s="30"/>
      <c r="R67" s="30" t="s">
        <v>191</v>
      </c>
      <c r="S67" s="31">
        <f t="shared" si="2"/>
        <v>3062500</v>
      </c>
    </row>
    <row r="68" spans="1:19" s="21" customFormat="1" ht="15" customHeight="1">
      <c r="A68" s="27" t="s">
        <v>347</v>
      </c>
      <c r="B68" s="109" t="s">
        <v>187</v>
      </c>
      <c r="C68" s="37" t="s">
        <v>242</v>
      </c>
      <c r="D68" s="38" t="s">
        <v>245</v>
      </c>
      <c r="E68" s="36" t="s">
        <v>201</v>
      </c>
      <c r="F68" s="27">
        <v>1</v>
      </c>
      <c r="G68" s="27">
        <v>1</v>
      </c>
      <c r="H68" s="27" t="s">
        <v>184</v>
      </c>
      <c r="I68" s="27" t="s">
        <v>4</v>
      </c>
      <c r="J68" s="33" t="s">
        <v>199</v>
      </c>
      <c r="K68" s="27">
        <v>10</v>
      </c>
      <c r="L68" s="27" t="s">
        <v>185</v>
      </c>
      <c r="M68" s="27">
        <v>1</v>
      </c>
      <c r="N68" s="27" t="s">
        <v>186</v>
      </c>
      <c r="O68" s="54">
        <v>3500000</v>
      </c>
      <c r="P68" s="30">
        <f t="shared" si="1"/>
        <v>3062500</v>
      </c>
      <c r="Q68" s="30"/>
      <c r="R68" s="30" t="s">
        <v>191</v>
      </c>
      <c r="S68" s="31">
        <f t="shared" si="2"/>
        <v>3062500</v>
      </c>
    </row>
    <row r="69" spans="1:19" s="21" customFormat="1" ht="15" customHeight="1">
      <c r="A69" s="27" t="s">
        <v>347</v>
      </c>
      <c r="B69" s="109" t="s">
        <v>187</v>
      </c>
      <c r="C69" s="37" t="s">
        <v>242</v>
      </c>
      <c r="D69" s="38" t="s">
        <v>246</v>
      </c>
      <c r="E69" s="36" t="s">
        <v>201</v>
      </c>
      <c r="F69" s="27">
        <v>1</v>
      </c>
      <c r="G69" s="27">
        <v>1</v>
      </c>
      <c r="H69" s="27" t="s">
        <v>184</v>
      </c>
      <c r="I69" s="27" t="s">
        <v>4</v>
      </c>
      <c r="J69" s="33" t="s">
        <v>199</v>
      </c>
      <c r="K69" s="27">
        <v>10</v>
      </c>
      <c r="L69" s="27" t="s">
        <v>185</v>
      </c>
      <c r="M69" s="27">
        <v>1</v>
      </c>
      <c r="N69" s="27" t="s">
        <v>186</v>
      </c>
      <c r="O69" s="54">
        <v>3500000</v>
      </c>
      <c r="P69" s="30">
        <f t="shared" si="1"/>
        <v>3062500</v>
      </c>
      <c r="Q69" s="30"/>
      <c r="R69" s="30" t="s">
        <v>191</v>
      </c>
      <c r="S69" s="31">
        <f t="shared" si="2"/>
        <v>3062500</v>
      </c>
    </row>
    <row r="70" spans="1:19" s="21" customFormat="1" ht="15" customHeight="1">
      <c r="A70" s="27" t="s">
        <v>347</v>
      </c>
      <c r="B70" s="109" t="s">
        <v>187</v>
      </c>
      <c r="C70" s="34" t="s">
        <v>242</v>
      </c>
      <c r="D70" s="35" t="s">
        <v>247</v>
      </c>
      <c r="E70" s="36" t="s">
        <v>190</v>
      </c>
      <c r="F70" s="27">
        <v>1</v>
      </c>
      <c r="G70" s="27">
        <v>1</v>
      </c>
      <c r="H70" s="27" t="s">
        <v>184</v>
      </c>
      <c r="I70" s="27" t="s">
        <v>4</v>
      </c>
      <c r="J70" s="33" t="s">
        <v>199</v>
      </c>
      <c r="K70" s="27">
        <v>10</v>
      </c>
      <c r="L70" s="27" t="s">
        <v>185</v>
      </c>
      <c r="M70" s="27">
        <v>1</v>
      </c>
      <c r="N70" s="27" t="s">
        <v>186</v>
      </c>
      <c r="O70" s="54">
        <v>5500000</v>
      </c>
      <c r="P70" s="30">
        <f t="shared" si="1"/>
        <v>4812500</v>
      </c>
      <c r="Q70" s="30"/>
      <c r="R70" s="30" t="s">
        <v>191</v>
      </c>
      <c r="S70" s="31">
        <f t="shared" si="2"/>
        <v>4812500</v>
      </c>
    </row>
    <row r="71" spans="1:19" s="21" customFormat="1" ht="15" customHeight="1">
      <c r="A71" s="27" t="s">
        <v>347</v>
      </c>
      <c r="B71" s="109" t="s">
        <v>187</v>
      </c>
      <c r="C71" s="37" t="s">
        <v>242</v>
      </c>
      <c r="D71" s="38" t="s">
        <v>248</v>
      </c>
      <c r="E71" s="36" t="s">
        <v>190</v>
      </c>
      <c r="F71" s="27">
        <v>1</v>
      </c>
      <c r="G71" s="27">
        <v>1</v>
      </c>
      <c r="H71" s="27" t="s">
        <v>184</v>
      </c>
      <c r="I71" s="27" t="s">
        <v>4</v>
      </c>
      <c r="J71" s="33" t="s">
        <v>199</v>
      </c>
      <c r="K71" s="27">
        <v>10</v>
      </c>
      <c r="L71" s="27" t="s">
        <v>185</v>
      </c>
      <c r="M71" s="27">
        <v>1</v>
      </c>
      <c r="N71" s="27" t="s">
        <v>186</v>
      </c>
      <c r="O71" s="54">
        <v>3500000</v>
      </c>
      <c r="P71" s="30">
        <f t="shared" si="1"/>
        <v>3062500</v>
      </c>
      <c r="Q71" s="30"/>
      <c r="R71" s="30" t="s">
        <v>191</v>
      </c>
      <c r="S71" s="31">
        <f t="shared" si="2"/>
        <v>3062500</v>
      </c>
    </row>
    <row r="72" spans="1:19" s="21" customFormat="1" ht="15" customHeight="1">
      <c r="A72" s="27" t="s">
        <v>347</v>
      </c>
      <c r="B72" s="100" t="s">
        <v>187</v>
      </c>
      <c r="C72" s="101" t="s">
        <v>260</v>
      </c>
      <c r="D72" s="101" t="s">
        <v>318</v>
      </c>
      <c r="E72" s="101" t="s">
        <v>190</v>
      </c>
      <c r="F72" s="27">
        <v>1</v>
      </c>
      <c r="G72" s="27">
        <v>1</v>
      </c>
      <c r="H72" s="27" t="s">
        <v>184</v>
      </c>
      <c r="I72" s="27" t="s">
        <v>4</v>
      </c>
      <c r="J72" s="33" t="s">
        <v>199</v>
      </c>
      <c r="K72" s="27">
        <v>10</v>
      </c>
      <c r="L72" s="27" t="s">
        <v>185</v>
      </c>
      <c r="M72" s="27">
        <v>1</v>
      </c>
      <c r="N72" s="27" t="s">
        <v>186</v>
      </c>
      <c r="O72" s="54">
        <v>3500000</v>
      </c>
      <c r="P72" s="30">
        <f t="shared" si="1"/>
        <v>3062500</v>
      </c>
      <c r="Q72" s="30"/>
      <c r="R72" s="30" t="s">
        <v>191</v>
      </c>
      <c r="S72" s="31">
        <f t="shared" si="2"/>
        <v>3062500</v>
      </c>
    </row>
    <row r="73" spans="1:19" s="21" customFormat="1" ht="15" customHeight="1">
      <c r="A73" s="27" t="s">
        <v>347</v>
      </c>
      <c r="B73" s="100" t="s">
        <v>187</v>
      </c>
      <c r="C73" s="101" t="s">
        <v>260</v>
      </c>
      <c r="D73" s="101" t="s">
        <v>249</v>
      </c>
      <c r="E73" s="101" t="s">
        <v>201</v>
      </c>
      <c r="F73" s="27">
        <v>1</v>
      </c>
      <c r="G73" s="27">
        <v>1</v>
      </c>
      <c r="H73" s="27" t="s">
        <v>184</v>
      </c>
      <c r="I73" s="27" t="s">
        <v>4</v>
      </c>
      <c r="J73" s="33" t="s">
        <v>199</v>
      </c>
      <c r="K73" s="27">
        <v>10</v>
      </c>
      <c r="L73" s="27" t="s">
        <v>185</v>
      </c>
      <c r="M73" s="27">
        <v>1</v>
      </c>
      <c r="N73" s="27" t="s">
        <v>186</v>
      </c>
      <c r="O73" s="54">
        <v>3500000</v>
      </c>
      <c r="P73" s="30">
        <f t="shared" si="1"/>
        <v>3062500</v>
      </c>
      <c r="Q73" s="30"/>
      <c r="R73" s="30" t="s">
        <v>191</v>
      </c>
      <c r="S73" s="31">
        <f t="shared" ref="S73:S103" si="3">P73*G73</f>
        <v>3062500</v>
      </c>
    </row>
    <row r="74" spans="1:19" s="21" customFormat="1" ht="15" customHeight="1">
      <c r="A74" s="27" t="s">
        <v>347</v>
      </c>
      <c r="B74" s="100" t="s">
        <v>187</v>
      </c>
      <c r="C74" s="101" t="s">
        <v>260</v>
      </c>
      <c r="D74" s="101" t="s">
        <v>319</v>
      </c>
      <c r="E74" s="101" t="s">
        <v>201</v>
      </c>
      <c r="F74" s="27">
        <v>1</v>
      </c>
      <c r="G74" s="27">
        <v>1</v>
      </c>
      <c r="H74" s="27" t="s">
        <v>184</v>
      </c>
      <c r="I74" s="27" t="s">
        <v>4</v>
      </c>
      <c r="J74" s="33" t="s">
        <v>199</v>
      </c>
      <c r="K74" s="27">
        <v>10</v>
      </c>
      <c r="L74" s="27" t="s">
        <v>185</v>
      </c>
      <c r="M74" s="27">
        <v>1</v>
      </c>
      <c r="N74" s="27" t="s">
        <v>186</v>
      </c>
      <c r="O74" s="54">
        <v>3500000</v>
      </c>
      <c r="P74" s="30">
        <f t="shared" ref="P74:P103" si="4">O74*(1-12.5%)</f>
        <v>3062500</v>
      </c>
      <c r="Q74" s="30"/>
      <c r="R74" s="30" t="s">
        <v>191</v>
      </c>
      <c r="S74" s="31">
        <f t="shared" si="3"/>
        <v>3062500</v>
      </c>
    </row>
    <row r="75" spans="1:19" s="21" customFormat="1" ht="15" customHeight="1">
      <c r="A75" s="27" t="s">
        <v>347</v>
      </c>
      <c r="B75" s="100" t="s">
        <v>187</v>
      </c>
      <c r="C75" s="101" t="s">
        <v>260</v>
      </c>
      <c r="D75" s="101" t="s">
        <v>320</v>
      </c>
      <c r="E75" s="101" t="s">
        <v>190</v>
      </c>
      <c r="F75" s="27">
        <v>1</v>
      </c>
      <c r="G75" s="27">
        <v>1</v>
      </c>
      <c r="H75" s="27" t="s">
        <v>184</v>
      </c>
      <c r="I75" s="27" t="s">
        <v>4</v>
      </c>
      <c r="J75" s="33" t="s">
        <v>199</v>
      </c>
      <c r="K75" s="27">
        <v>10</v>
      </c>
      <c r="L75" s="27" t="s">
        <v>185</v>
      </c>
      <c r="M75" s="27">
        <v>1</v>
      </c>
      <c r="N75" s="27" t="s">
        <v>186</v>
      </c>
      <c r="O75" s="54">
        <v>3500000</v>
      </c>
      <c r="P75" s="30">
        <f t="shared" si="4"/>
        <v>3062500</v>
      </c>
      <c r="Q75" s="30"/>
      <c r="R75" s="30" t="s">
        <v>191</v>
      </c>
      <c r="S75" s="31">
        <f t="shared" si="3"/>
        <v>3062500</v>
      </c>
    </row>
    <row r="76" spans="1:19" s="21" customFormat="1" ht="15" customHeight="1">
      <c r="A76" s="27" t="s">
        <v>347</v>
      </c>
      <c r="B76" s="109" t="s">
        <v>187</v>
      </c>
      <c r="C76" s="34" t="s">
        <v>206</v>
      </c>
      <c r="D76" s="28" t="s">
        <v>215</v>
      </c>
      <c r="E76" s="28" t="s">
        <v>190</v>
      </c>
      <c r="F76" s="27">
        <v>1</v>
      </c>
      <c r="G76" s="27">
        <v>1</v>
      </c>
      <c r="H76" s="27" t="s">
        <v>184</v>
      </c>
      <c r="I76" s="27" t="s">
        <v>4</v>
      </c>
      <c r="J76" s="33" t="s">
        <v>199</v>
      </c>
      <c r="K76" s="27">
        <v>10</v>
      </c>
      <c r="L76" s="27" t="s">
        <v>185</v>
      </c>
      <c r="M76" s="27">
        <v>1</v>
      </c>
      <c r="N76" s="27" t="s">
        <v>186</v>
      </c>
      <c r="O76" s="54">
        <v>3500000</v>
      </c>
      <c r="P76" s="30">
        <f t="shared" si="4"/>
        <v>3062500</v>
      </c>
      <c r="Q76" s="30"/>
      <c r="R76" s="30" t="s">
        <v>191</v>
      </c>
      <c r="S76" s="31">
        <f t="shared" si="3"/>
        <v>3062500</v>
      </c>
    </row>
    <row r="77" spans="1:19" s="21" customFormat="1" ht="15" customHeight="1">
      <c r="A77" s="27" t="s">
        <v>347</v>
      </c>
      <c r="B77" s="109" t="s">
        <v>187</v>
      </c>
      <c r="C77" s="34" t="s">
        <v>206</v>
      </c>
      <c r="D77" s="28" t="s">
        <v>216</v>
      </c>
      <c r="E77" s="28" t="s">
        <v>190</v>
      </c>
      <c r="F77" s="27">
        <v>1</v>
      </c>
      <c r="G77" s="27">
        <v>1</v>
      </c>
      <c r="H77" s="27" t="s">
        <v>184</v>
      </c>
      <c r="I77" s="27" t="s">
        <v>4</v>
      </c>
      <c r="J77" s="33" t="s">
        <v>199</v>
      </c>
      <c r="K77" s="27">
        <v>10</v>
      </c>
      <c r="L77" s="27" t="s">
        <v>185</v>
      </c>
      <c r="M77" s="27">
        <v>1</v>
      </c>
      <c r="N77" s="27" t="s">
        <v>186</v>
      </c>
      <c r="O77" s="54">
        <v>3500000</v>
      </c>
      <c r="P77" s="30">
        <f t="shared" si="4"/>
        <v>3062500</v>
      </c>
      <c r="Q77" s="30"/>
      <c r="R77" s="30" t="s">
        <v>191</v>
      </c>
      <c r="S77" s="31">
        <f t="shared" si="3"/>
        <v>3062500</v>
      </c>
    </row>
    <row r="78" spans="1:19" s="21" customFormat="1" ht="15" customHeight="1">
      <c r="A78" s="27" t="s">
        <v>347</v>
      </c>
      <c r="B78" s="109" t="s">
        <v>187</v>
      </c>
      <c r="C78" s="34" t="s">
        <v>206</v>
      </c>
      <c r="D78" s="28" t="s">
        <v>218</v>
      </c>
      <c r="E78" s="28" t="s">
        <v>190</v>
      </c>
      <c r="F78" s="27">
        <v>1</v>
      </c>
      <c r="G78" s="27">
        <v>1</v>
      </c>
      <c r="H78" s="27" t="s">
        <v>184</v>
      </c>
      <c r="I78" s="27" t="s">
        <v>4</v>
      </c>
      <c r="J78" s="33" t="s">
        <v>199</v>
      </c>
      <c r="K78" s="27">
        <v>10</v>
      </c>
      <c r="L78" s="27" t="s">
        <v>185</v>
      </c>
      <c r="M78" s="27">
        <v>1</v>
      </c>
      <c r="N78" s="27" t="s">
        <v>186</v>
      </c>
      <c r="O78" s="54">
        <v>3500000</v>
      </c>
      <c r="P78" s="30">
        <f t="shared" si="4"/>
        <v>3062500</v>
      </c>
      <c r="Q78" s="30"/>
      <c r="R78" s="30" t="s">
        <v>191</v>
      </c>
      <c r="S78" s="31">
        <f t="shared" si="3"/>
        <v>3062500</v>
      </c>
    </row>
    <row r="79" spans="1:19" s="21" customFormat="1" ht="15" customHeight="1">
      <c r="A79" s="27" t="s">
        <v>347</v>
      </c>
      <c r="B79" s="109" t="s">
        <v>187</v>
      </c>
      <c r="C79" s="34" t="s">
        <v>206</v>
      </c>
      <c r="D79" s="28" t="s">
        <v>220</v>
      </c>
      <c r="E79" s="28" t="s">
        <v>201</v>
      </c>
      <c r="F79" s="27">
        <v>1</v>
      </c>
      <c r="G79" s="27">
        <v>1</v>
      </c>
      <c r="H79" s="27" t="s">
        <v>184</v>
      </c>
      <c r="I79" s="27" t="s">
        <v>4</v>
      </c>
      <c r="J79" s="33" t="s">
        <v>199</v>
      </c>
      <c r="K79" s="27">
        <v>10</v>
      </c>
      <c r="L79" s="27" t="s">
        <v>185</v>
      </c>
      <c r="M79" s="27">
        <v>1</v>
      </c>
      <c r="N79" s="27" t="s">
        <v>186</v>
      </c>
      <c r="O79" s="54">
        <v>3500000</v>
      </c>
      <c r="P79" s="30">
        <f t="shared" si="4"/>
        <v>3062500</v>
      </c>
      <c r="Q79" s="30"/>
      <c r="R79" s="30" t="s">
        <v>191</v>
      </c>
      <c r="S79" s="31">
        <f t="shared" si="3"/>
        <v>3062500</v>
      </c>
    </row>
    <row r="80" spans="1:19" s="21" customFormat="1" ht="15" customHeight="1">
      <c r="A80" s="27" t="s">
        <v>347</v>
      </c>
      <c r="B80" s="109" t="s">
        <v>187</v>
      </c>
      <c r="C80" s="34" t="s">
        <v>206</v>
      </c>
      <c r="D80" s="28" t="s">
        <v>221</v>
      </c>
      <c r="E80" s="28" t="s">
        <v>201</v>
      </c>
      <c r="F80" s="27">
        <v>1</v>
      </c>
      <c r="G80" s="27">
        <v>1</v>
      </c>
      <c r="H80" s="27" t="s">
        <v>184</v>
      </c>
      <c r="I80" s="27" t="s">
        <v>4</v>
      </c>
      <c r="J80" s="33" t="s">
        <v>199</v>
      </c>
      <c r="K80" s="27">
        <v>10</v>
      </c>
      <c r="L80" s="27" t="s">
        <v>185</v>
      </c>
      <c r="M80" s="27">
        <v>1</v>
      </c>
      <c r="N80" s="27" t="s">
        <v>186</v>
      </c>
      <c r="O80" s="54">
        <v>3500000</v>
      </c>
      <c r="P80" s="30">
        <f t="shared" si="4"/>
        <v>3062500</v>
      </c>
      <c r="Q80" s="30"/>
      <c r="R80" s="30" t="s">
        <v>191</v>
      </c>
      <c r="S80" s="31">
        <f t="shared" si="3"/>
        <v>3062500</v>
      </c>
    </row>
    <row r="81" spans="1:19" s="21" customFormat="1" ht="15" customHeight="1">
      <c r="A81" s="27" t="s">
        <v>347</v>
      </c>
      <c r="B81" s="109" t="s">
        <v>187</v>
      </c>
      <c r="C81" s="34" t="s">
        <v>206</v>
      </c>
      <c r="D81" s="28" t="s">
        <v>222</v>
      </c>
      <c r="E81" s="28" t="s">
        <v>188</v>
      </c>
      <c r="F81" s="27">
        <v>1</v>
      </c>
      <c r="G81" s="27">
        <v>1</v>
      </c>
      <c r="H81" s="27" t="s">
        <v>184</v>
      </c>
      <c r="I81" s="27" t="s">
        <v>4</v>
      </c>
      <c r="J81" s="33" t="s">
        <v>199</v>
      </c>
      <c r="K81" s="27">
        <v>10</v>
      </c>
      <c r="L81" s="27" t="s">
        <v>185</v>
      </c>
      <c r="M81" s="27">
        <v>1</v>
      </c>
      <c r="N81" s="27" t="s">
        <v>186</v>
      </c>
      <c r="O81" s="54">
        <v>3500000</v>
      </c>
      <c r="P81" s="30">
        <f t="shared" si="4"/>
        <v>3062500</v>
      </c>
      <c r="Q81" s="30"/>
      <c r="R81" s="30" t="s">
        <v>191</v>
      </c>
      <c r="S81" s="31">
        <f t="shared" si="3"/>
        <v>3062500</v>
      </c>
    </row>
    <row r="82" spans="1:19" s="21" customFormat="1" ht="15" customHeight="1">
      <c r="A82" s="27" t="s">
        <v>347</v>
      </c>
      <c r="B82" s="100" t="s">
        <v>187</v>
      </c>
      <c r="C82" s="101" t="s">
        <v>206</v>
      </c>
      <c r="D82" s="101" t="s">
        <v>217</v>
      </c>
      <c r="E82" s="101" t="s">
        <v>190</v>
      </c>
      <c r="F82" s="27">
        <v>1</v>
      </c>
      <c r="G82" s="27">
        <v>1</v>
      </c>
      <c r="H82" s="27" t="s">
        <v>184</v>
      </c>
      <c r="I82" s="27" t="s">
        <v>4</v>
      </c>
      <c r="J82" s="33" t="s">
        <v>199</v>
      </c>
      <c r="K82" s="27">
        <v>10</v>
      </c>
      <c r="L82" s="27" t="s">
        <v>185</v>
      </c>
      <c r="M82" s="27">
        <v>1</v>
      </c>
      <c r="N82" s="27" t="s">
        <v>186</v>
      </c>
      <c r="O82" s="54">
        <v>3500000</v>
      </c>
      <c r="P82" s="30">
        <f t="shared" si="4"/>
        <v>3062500</v>
      </c>
      <c r="Q82" s="30"/>
      <c r="R82" s="30" t="s">
        <v>191</v>
      </c>
      <c r="S82" s="31">
        <f t="shared" si="3"/>
        <v>3062500</v>
      </c>
    </row>
    <row r="83" spans="1:19" s="21" customFormat="1" ht="15" customHeight="1">
      <c r="A83" s="27" t="s">
        <v>347</v>
      </c>
      <c r="B83" s="100" t="s">
        <v>187</v>
      </c>
      <c r="C83" s="101" t="s">
        <v>206</v>
      </c>
      <c r="D83" s="101" t="s">
        <v>219</v>
      </c>
      <c r="E83" s="101" t="s">
        <v>201</v>
      </c>
      <c r="F83" s="27">
        <v>1</v>
      </c>
      <c r="G83" s="27">
        <v>1</v>
      </c>
      <c r="H83" s="27" t="s">
        <v>184</v>
      </c>
      <c r="I83" s="27" t="s">
        <v>4</v>
      </c>
      <c r="J83" s="33" t="s">
        <v>199</v>
      </c>
      <c r="K83" s="27">
        <v>10</v>
      </c>
      <c r="L83" s="27" t="s">
        <v>185</v>
      </c>
      <c r="M83" s="27">
        <v>1</v>
      </c>
      <c r="N83" s="27" t="s">
        <v>186</v>
      </c>
      <c r="O83" s="54">
        <v>3500000</v>
      </c>
      <c r="P83" s="30">
        <f t="shared" si="4"/>
        <v>3062500</v>
      </c>
      <c r="Q83" s="30"/>
      <c r="R83" s="30" t="s">
        <v>191</v>
      </c>
      <c r="S83" s="31">
        <f t="shared" si="3"/>
        <v>3062500</v>
      </c>
    </row>
    <row r="84" spans="1:19" s="21" customFormat="1" ht="15" customHeight="1">
      <c r="A84" s="112" t="s">
        <v>347</v>
      </c>
      <c r="B84" s="113" t="s">
        <v>187</v>
      </c>
      <c r="C84" s="114" t="s">
        <v>206</v>
      </c>
      <c r="D84" s="114" t="s">
        <v>321</v>
      </c>
      <c r="E84" s="114" t="s">
        <v>201</v>
      </c>
      <c r="F84" s="112">
        <v>1</v>
      </c>
      <c r="G84" s="112">
        <v>1</v>
      </c>
      <c r="H84" s="112" t="s">
        <v>184</v>
      </c>
      <c r="I84" s="112" t="s">
        <v>4</v>
      </c>
      <c r="J84" s="115" t="s">
        <v>199</v>
      </c>
      <c r="K84" s="112">
        <v>10</v>
      </c>
      <c r="L84" s="112" t="s">
        <v>185</v>
      </c>
      <c r="M84" s="112">
        <v>1</v>
      </c>
      <c r="N84" s="112" t="s">
        <v>186</v>
      </c>
      <c r="O84" s="116">
        <v>3500000</v>
      </c>
      <c r="P84" s="30">
        <f t="shared" si="4"/>
        <v>3062500</v>
      </c>
      <c r="Q84" s="117"/>
      <c r="R84" s="30" t="s">
        <v>191</v>
      </c>
      <c r="S84" s="118">
        <f t="shared" si="3"/>
        <v>3062500</v>
      </c>
    </row>
    <row r="85" spans="1:19" s="21" customFormat="1" ht="15" customHeight="1">
      <c r="A85" s="112" t="s">
        <v>347</v>
      </c>
      <c r="B85" s="147" t="s">
        <v>187</v>
      </c>
      <c r="C85" s="148" t="s">
        <v>352</v>
      </c>
      <c r="D85" s="148" t="s">
        <v>353</v>
      </c>
      <c r="E85" s="148" t="s">
        <v>190</v>
      </c>
      <c r="F85" s="27">
        <v>1</v>
      </c>
      <c r="G85" s="27">
        <v>1</v>
      </c>
      <c r="H85" s="27" t="s">
        <v>184</v>
      </c>
      <c r="I85" s="27" t="s">
        <v>4</v>
      </c>
      <c r="J85" s="33" t="s">
        <v>199</v>
      </c>
      <c r="K85" s="27">
        <v>10</v>
      </c>
      <c r="L85" s="27" t="s">
        <v>185</v>
      </c>
      <c r="M85" s="27">
        <v>1</v>
      </c>
      <c r="N85" s="27" t="s">
        <v>186</v>
      </c>
      <c r="O85" s="54">
        <v>3500000</v>
      </c>
      <c r="P85" s="30">
        <f t="shared" si="4"/>
        <v>3062500</v>
      </c>
      <c r="Q85" s="30"/>
      <c r="R85" s="30" t="s">
        <v>191</v>
      </c>
      <c r="S85" s="31">
        <f t="shared" si="3"/>
        <v>3062500</v>
      </c>
    </row>
    <row r="86" spans="1:19" s="21" customFormat="1" ht="15" customHeight="1">
      <c r="A86" s="112" t="s">
        <v>347</v>
      </c>
      <c r="B86" s="102" t="s">
        <v>187</v>
      </c>
      <c r="C86" s="149" t="s">
        <v>352</v>
      </c>
      <c r="D86" s="149" t="s">
        <v>354</v>
      </c>
      <c r="E86" s="149" t="s">
        <v>201</v>
      </c>
      <c r="F86" s="27">
        <v>1</v>
      </c>
      <c r="G86" s="27">
        <v>1</v>
      </c>
      <c r="H86" s="27" t="s">
        <v>184</v>
      </c>
      <c r="I86" s="27" t="s">
        <v>4</v>
      </c>
      <c r="J86" s="33" t="s">
        <v>199</v>
      </c>
      <c r="K86" s="27">
        <v>10</v>
      </c>
      <c r="L86" s="27" t="s">
        <v>185</v>
      </c>
      <c r="M86" s="27">
        <v>1</v>
      </c>
      <c r="N86" s="27" t="s">
        <v>186</v>
      </c>
      <c r="O86" s="116">
        <v>3500000</v>
      </c>
      <c r="P86" s="30">
        <f t="shared" si="4"/>
        <v>3062500</v>
      </c>
      <c r="Q86" s="117"/>
      <c r="R86" s="30" t="s">
        <v>191</v>
      </c>
      <c r="S86" s="118">
        <f t="shared" si="3"/>
        <v>3062500</v>
      </c>
    </row>
    <row r="87" spans="1:19" s="21" customFormat="1" ht="15" customHeight="1">
      <c r="A87" s="112" t="s">
        <v>347</v>
      </c>
      <c r="B87" s="102" t="s">
        <v>187</v>
      </c>
      <c r="C87" s="149" t="s">
        <v>352</v>
      </c>
      <c r="D87" s="149" t="s">
        <v>355</v>
      </c>
      <c r="E87" s="149" t="s">
        <v>201</v>
      </c>
      <c r="F87" s="27">
        <v>1</v>
      </c>
      <c r="G87" s="27">
        <v>1</v>
      </c>
      <c r="H87" s="27" t="s">
        <v>184</v>
      </c>
      <c r="I87" s="27" t="s">
        <v>4</v>
      </c>
      <c r="J87" s="33" t="s">
        <v>199</v>
      </c>
      <c r="K87" s="27">
        <v>10</v>
      </c>
      <c r="L87" s="27" t="s">
        <v>185</v>
      </c>
      <c r="M87" s="27">
        <v>1</v>
      </c>
      <c r="N87" s="27" t="s">
        <v>186</v>
      </c>
      <c r="O87" s="54">
        <v>3500000</v>
      </c>
      <c r="P87" s="30">
        <f t="shared" si="4"/>
        <v>3062500</v>
      </c>
      <c r="Q87" s="30"/>
      <c r="R87" s="30" t="s">
        <v>191</v>
      </c>
      <c r="S87" s="31">
        <f t="shared" si="3"/>
        <v>3062500</v>
      </c>
    </row>
    <row r="88" spans="1:19" s="21" customFormat="1" ht="15" customHeight="1">
      <c r="A88" s="112" t="s">
        <v>347</v>
      </c>
      <c r="B88" s="102" t="s">
        <v>187</v>
      </c>
      <c r="C88" s="149" t="s">
        <v>352</v>
      </c>
      <c r="D88" s="149" t="s">
        <v>356</v>
      </c>
      <c r="E88" s="149" t="s">
        <v>190</v>
      </c>
      <c r="F88" s="27">
        <v>1</v>
      </c>
      <c r="G88" s="27">
        <v>1</v>
      </c>
      <c r="H88" s="27" t="s">
        <v>184</v>
      </c>
      <c r="I88" s="27" t="s">
        <v>4</v>
      </c>
      <c r="J88" s="33" t="s">
        <v>199</v>
      </c>
      <c r="K88" s="27">
        <v>10</v>
      </c>
      <c r="L88" s="27" t="s">
        <v>185</v>
      </c>
      <c r="M88" s="27">
        <v>1</v>
      </c>
      <c r="N88" s="27" t="s">
        <v>186</v>
      </c>
      <c r="O88" s="116">
        <v>3500000</v>
      </c>
      <c r="P88" s="30">
        <f t="shared" si="4"/>
        <v>3062500</v>
      </c>
      <c r="Q88" s="117"/>
      <c r="R88" s="30" t="s">
        <v>191</v>
      </c>
      <c r="S88" s="118">
        <f t="shared" si="3"/>
        <v>3062500</v>
      </c>
    </row>
    <row r="89" spans="1:19" s="21" customFormat="1" ht="15" customHeight="1">
      <c r="A89" s="112" t="s">
        <v>347</v>
      </c>
      <c r="B89" s="102" t="s">
        <v>187</v>
      </c>
      <c r="C89" s="149" t="s">
        <v>352</v>
      </c>
      <c r="D89" s="149" t="s">
        <v>357</v>
      </c>
      <c r="E89" s="149" t="s">
        <v>190</v>
      </c>
      <c r="F89" s="27">
        <v>1</v>
      </c>
      <c r="G89" s="27">
        <v>1</v>
      </c>
      <c r="H89" s="27" t="s">
        <v>184</v>
      </c>
      <c r="I89" s="27" t="s">
        <v>4</v>
      </c>
      <c r="J89" s="33" t="s">
        <v>199</v>
      </c>
      <c r="K89" s="27">
        <v>10</v>
      </c>
      <c r="L89" s="27" t="s">
        <v>185</v>
      </c>
      <c r="M89" s="27">
        <v>1</v>
      </c>
      <c r="N89" s="27" t="s">
        <v>186</v>
      </c>
      <c r="O89" s="54">
        <v>3500000</v>
      </c>
      <c r="P89" s="30">
        <f t="shared" si="4"/>
        <v>3062500</v>
      </c>
      <c r="Q89" s="30"/>
      <c r="R89" s="30" t="s">
        <v>191</v>
      </c>
      <c r="S89" s="31">
        <f t="shared" si="3"/>
        <v>3062500</v>
      </c>
    </row>
    <row r="90" spans="1:19" s="21" customFormat="1" ht="15" customHeight="1">
      <c r="A90" s="112" t="s">
        <v>347</v>
      </c>
      <c r="B90" s="102" t="s">
        <v>187</v>
      </c>
      <c r="C90" s="149" t="s">
        <v>352</v>
      </c>
      <c r="D90" s="149" t="s">
        <v>358</v>
      </c>
      <c r="E90" s="149" t="s">
        <v>190</v>
      </c>
      <c r="F90" s="27">
        <v>1</v>
      </c>
      <c r="G90" s="27">
        <v>1</v>
      </c>
      <c r="H90" s="27" t="s">
        <v>184</v>
      </c>
      <c r="I90" s="27" t="s">
        <v>4</v>
      </c>
      <c r="J90" s="33" t="s">
        <v>199</v>
      </c>
      <c r="K90" s="27">
        <v>10</v>
      </c>
      <c r="L90" s="27" t="s">
        <v>185</v>
      </c>
      <c r="M90" s="27">
        <v>1</v>
      </c>
      <c r="N90" s="27" t="s">
        <v>186</v>
      </c>
      <c r="O90" s="116">
        <v>3500000</v>
      </c>
      <c r="P90" s="30">
        <f t="shared" si="4"/>
        <v>3062500</v>
      </c>
      <c r="Q90" s="117"/>
      <c r="R90" s="30" t="s">
        <v>191</v>
      </c>
      <c r="S90" s="118">
        <f t="shared" si="3"/>
        <v>3062500</v>
      </c>
    </row>
    <row r="91" spans="1:19" s="21" customFormat="1" ht="15" customHeight="1">
      <c r="A91" s="112" t="s">
        <v>347</v>
      </c>
      <c r="B91" s="102" t="s">
        <v>187</v>
      </c>
      <c r="C91" s="149" t="s">
        <v>352</v>
      </c>
      <c r="D91" s="149" t="s">
        <v>359</v>
      </c>
      <c r="E91" s="149" t="s">
        <v>190</v>
      </c>
      <c r="F91" s="27">
        <v>1</v>
      </c>
      <c r="G91" s="27">
        <v>1</v>
      </c>
      <c r="H91" s="27" t="s">
        <v>184</v>
      </c>
      <c r="I91" s="27" t="s">
        <v>4</v>
      </c>
      <c r="J91" s="33" t="s">
        <v>199</v>
      </c>
      <c r="K91" s="27">
        <v>10</v>
      </c>
      <c r="L91" s="27" t="s">
        <v>185</v>
      </c>
      <c r="M91" s="27">
        <v>1</v>
      </c>
      <c r="N91" s="27" t="s">
        <v>186</v>
      </c>
      <c r="O91" s="54">
        <v>3500000</v>
      </c>
      <c r="P91" s="30">
        <f t="shared" si="4"/>
        <v>3062500</v>
      </c>
      <c r="Q91" s="30"/>
      <c r="R91" s="30" t="s">
        <v>191</v>
      </c>
      <c r="S91" s="31">
        <f t="shared" si="3"/>
        <v>3062500</v>
      </c>
    </row>
    <row r="92" spans="1:19" s="21" customFormat="1" ht="15" customHeight="1">
      <c r="A92" s="112" t="s">
        <v>347</v>
      </c>
      <c r="B92" s="102" t="s">
        <v>187</v>
      </c>
      <c r="C92" s="149" t="s">
        <v>352</v>
      </c>
      <c r="D92" s="149" t="s">
        <v>360</v>
      </c>
      <c r="E92" s="149" t="s">
        <v>361</v>
      </c>
      <c r="F92" s="27">
        <v>1</v>
      </c>
      <c r="G92" s="27">
        <v>1</v>
      </c>
      <c r="H92" s="27" t="s">
        <v>184</v>
      </c>
      <c r="I92" s="27" t="s">
        <v>4</v>
      </c>
      <c r="J92" s="33" t="s">
        <v>199</v>
      </c>
      <c r="K92" s="27">
        <v>10</v>
      </c>
      <c r="L92" s="27" t="s">
        <v>185</v>
      </c>
      <c r="M92" s="27">
        <v>1</v>
      </c>
      <c r="N92" s="27" t="s">
        <v>186</v>
      </c>
      <c r="O92" s="116">
        <v>3500000</v>
      </c>
      <c r="P92" s="30">
        <f t="shared" si="4"/>
        <v>3062500</v>
      </c>
      <c r="Q92" s="117"/>
      <c r="R92" s="30" t="s">
        <v>191</v>
      </c>
      <c r="S92" s="118">
        <f t="shared" si="3"/>
        <v>3062500</v>
      </c>
    </row>
    <row r="93" spans="1:19" s="21" customFormat="1" ht="15" customHeight="1">
      <c r="A93" s="112" t="s">
        <v>347</v>
      </c>
      <c r="B93" s="102" t="s">
        <v>187</v>
      </c>
      <c r="C93" s="149" t="s">
        <v>352</v>
      </c>
      <c r="D93" s="149" t="s">
        <v>362</v>
      </c>
      <c r="E93" s="149" t="s">
        <v>201</v>
      </c>
      <c r="F93" s="27">
        <v>1</v>
      </c>
      <c r="G93" s="27">
        <v>1</v>
      </c>
      <c r="H93" s="27" t="s">
        <v>184</v>
      </c>
      <c r="I93" s="27" t="s">
        <v>4</v>
      </c>
      <c r="J93" s="33" t="s">
        <v>199</v>
      </c>
      <c r="K93" s="27">
        <v>10</v>
      </c>
      <c r="L93" s="27" t="s">
        <v>185</v>
      </c>
      <c r="M93" s="27">
        <v>1</v>
      </c>
      <c r="N93" s="27" t="s">
        <v>186</v>
      </c>
      <c r="O93" s="54">
        <v>3500000</v>
      </c>
      <c r="P93" s="30">
        <f t="shared" si="4"/>
        <v>3062500</v>
      </c>
      <c r="Q93" s="30"/>
      <c r="R93" s="30" t="s">
        <v>191</v>
      </c>
      <c r="S93" s="31">
        <f t="shared" si="3"/>
        <v>3062500</v>
      </c>
    </row>
    <row r="94" spans="1:19" s="21" customFormat="1" ht="15" customHeight="1">
      <c r="A94" s="112" t="s">
        <v>347</v>
      </c>
      <c r="B94" s="102" t="s">
        <v>187</v>
      </c>
      <c r="C94" s="149" t="s">
        <v>352</v>
      </c>
      <c r="D94" s="149" t="s">
        <v>363</v>
      </c>
      <c r="E94" s="149" t="s">
        <v>188</v>
      </c>
      <c r="F94" s="27">
        <v>1</v>
      </c>
      <c r="G94" s="27">
        <v>1</v>
      </c>
      <c r="H94" s="27" t="s">
        <v>184</v>
      </c>
      <c r="I94" s="27" t="s">
        <v>4</v>
      </c>
      <c r="J94" s="33" t="s">
        <v>199</v>
      </c>
      <c r="K94" s="27">
        <v>10</v>
      </c>
      <c r="L94" s="27" t="s">
        <v>185</v>
      </c>
      <c r="M94" s="27">
        <v>1</v>
      </c>
      <c r="N94" s="27" t="s">
        <v>186</v>
      </c>
      <c r="O94" s="116">
        <v>3500000</v>
      </c>
      <c r="P94" s="30">
        <f t="shared" si="4"/>
        <v>3062500</v>
      </c>
      <c r="Q94" s="117"/>
      <c r="R94" s="30" t="s">
        <v>191</v>
      </c>
      <c r="S94" s="118">
        <f t="shared" si="3"/>
        <v>3062500</v>
      </c>
    </row>
    <row r="95" spans="1:19" s="21" customFormat="1" ht="15" customHeight="1">
      <c r="A95" s="112" t="s">
        <v>347</v>
      </c>
      <c r="B95" s="102" t="s">
        <v>187</v>
      </c>
      <c r="C95" s="149" t="s">
        <v>364</v>
      </c>
      <c r="D95" s="149" t="s">
        <v>365</v>
      </c>
      <c r="E95" s="149" t="s">
        <v>201</v>
      </c>
      <c r="F95" s="27">
        <v>1</v>
      </c>
      <c r="G95" s="27">
        <v>1</v>
      </c>
      <c r="H95" s="27" t="s">
        <v>184</v>
      </c>
      <c r="I95" s="27" t="s">
        <v>4</v>
      </c>
      <c r="J95" s="33" t="s">
        <v>199</v>
      </c>
      <c r="K95" s="27">
        <v>10</v>
      </c>
      <c r="L95" s="27" t="s">
        <v>185</v>
      </c>
      <c r="M95" s="27">
        <v>1</v>
      </c>
      <c r="N95" s="27" t="s">
        <v>186</v>
      </c>
      <c r="O95" s="54">
        <v>3500000</v>
      </c>
      <c r="P95" s="30">
        <f t="shared" si="4"/>
        <v>3062500</v>
      </c>
      <c r="Q95" s="30"/>
      <c r="R95" s="30" t="s">
        <v>191</v>
      </c>
      <c r="S95" s="31">
        <f t="shared" si="3"/>
        <v>3062500</v>
      </c>
    </row>
    <row r="96" spans="1:19" s="21" customFormat="1" ht="15" customHeight="1">
      <c r="A96" s="112" t="s">
        <v>347</v>
      </c>
      <c r="B96" s="102" t="s">
        <v>187</v>
      </c>
      <c r="C96" s="149" t="s">
        <v>364</v>
      </c>
      <c r="D96" s="149" t="s">
        <v>366</v>
      </c>
      <c r="E96" s="149" t="s">
        <v>201</v>
      </c>
      <c r="F96" s="27">
        <v>1</v>
      </c>
      <c r="G96" s="27">
        <v>1</v>
      </c>
      <c r="H96" s="27" t="s">
        <v>184</v>
      </c>
      <c r="I96" s="27" t="s">
        <v>4</v>
      </c>
      <c r="J96" s="33" t="s">
        <v>199</v>
      </c>
      <c r="K96" s="27">
        <v>10</v>
      </c>
      <c r="L96" s="27" t="s">
        <v>185</v>
      </c>
      <c r="M96" s="27">
        <v>1</v>
      </c>
      <c r="N96" s="27" t="s">
        <v>186</v>
      </c>
      <c r="O96" s="116">
        <v>3500000</v>
      </c>
      <c r="P96" s="30">
        <f t="shared" si="4"/>
        <v>3062500</v>
      </c>
      <c r="Q96" s="117"/>
      <c r="R96" s="30" t="s">
        <v>191</v>
      </c>
      <c r="S96" s="118">
        <f t="shared" si="3"/>
        <v>3062500</v>
      </c>
    </row>
    <row r="97" spans="1:20" s="21" customFormat="1" ht="15" customHeight="1">
      <c r="A97" s="112" t="s">
        <v>347</v>
      </c>
      <c r="B97" s="102" t="s">
        <v>187</v>
      </c>
      <c r="C97" s="149" t="s">
        <v>364</v>
      </c>
      <c r="D97" s="149" t="s">
        <v>367</v>
      </c>
      <c r="E97" s="149" t="s">
        <v>201</v>
      </c>
      <c r="F97" s="27">
        <v>1</v>
      </c>
      <c r="G97" s="27">
        <v>1</v>
      </c>
      <c r="H97" s="27" t="s">
        <v>184</v>
      </c>
      <c r="I97" s="27" t="s">
        <v>4</v>
      </c>
      <c r="J97" s="33" t="s">
        <v>199</v>
      </c>
      <c r="K97" s="27">
        <v>10</v>
      </c>
      <c r="L97" s="27" t="s">
        <v>185</v>
      </c>
      <c r="M97" s="27">
        <v>1</v>
      </c>
      <c r="N97" s="27" t="s">
        <v>186</v>
      </c>
      <c r="O97" s="54">
        <v>3500000</v>
      </c>
      <c r="P97" s="30">
        <f t="shared" si="4"/>
        <v>3062500</v>
      </c>
      <c r="Q97" s="30"/>
      <c r="R97" s="30" t="s">
        <v>191</v>
      </c>
      <c r="S97" s="31">
        <f t="shared" si="3"/>
        <v>3062500</v>
      </c>
    </row>
    <row r="98" spans="1:20" s="21" customFormat="1" ht="15" customHeight="1">
      <c r="A98" s="112" t="s">
        <v>347</v>
      </c>
      <c r="B98" s="102" t="s">
        <v>187</v>
      </c>
      <c r="C98" s="149" t="s">
        <v>364</v>
      </c>
      <c r="D98" s="149" t="s">
        <v>368</v>
      </c>
      <c r="E98" s="149" t="s">
        <v>190</v>
      </c>
      <c r="F98" s="27">
        <v>1</v>
      </c>
      <c r="G98" s="27">
        <v>1</v>
      </c>
      <c r="H98" s="27" t="s">
        <v>184</v>
      </c>
      <c r="I98" s="27" t="s">
        <v>4</v>
      </c>
      <c r="J98" s="33" t="s">
        <v>199</v>
      </c>
      <c r="K98" s="27">
        <v>10</v>
      </c>
      <c r="L98" s="27" t="s">
        <v>185</v>
      </c>
      <c r="M98" s="27">
        <v>1</v>
      </c>
      <c r="N98" s="27" t="s">
        <v>186</v>
      </c>
      <c r="O98" s="116">
        <v>3500000</v>
      </c>
      <c r="P98" s="30">
        <f t="shared" si="4"/>
        <v>3062500</v>
      </c>
      <c r="Q98" s="117"/>
      <c r="R98" s="30" t="s">
        <v>191</v>
      </c>
      <c r="S98" s="118">
        <f t="shared" si="3"/>
        <v>3062500</v>
      </c>
    </row>
    <row r="99" spans="1:20" s="21" customFormat="1" ht="15" customHeight="1">
      <c r="A99" s="112" t="s">
        <v>347</v>
      </c>
      <c r="B99" s="102" t="s">
        <v>187</v>
      </c>
      <c r="C99" s="149" t="s">
        <v>364</v>
      </c>
      <c r="D99" s="149" t="s">
        <v>369</v>
      </c>
      <c r="E99" s="149" t="s">
        <v>190</v>
      </c>
      <c r="F99" s="27">
        <v>1</v>
      </c>
      <c r="G99" s="27">
        <v>1</v>
      </c>
      <c r="H99" s="27" t="s">
        <v>184</v>
      </c>
      <c r="I99" s="27" t="s">
        <v>4</v>
      </c>
      <c r="J99" s="33" t="s">
        <v>199</v>
      </c>
      <c r="K99" s="27">
        <v>10</v>
      </c>
      <c r="L99" s="27" t="s">
        <v>185</v>
      </c>
      <c r="M99" s="27">
        <v>1</v>
      </c>
      <c r="N99" s="27" t="s">
        <v>186</v>
      </c>
      <c r="O99" s="54">
        <v>3500000</v>
      </c>
      <c r="P99" s="30">
        <f t="shared" si="4"/>
        <v>3062500</v>
      </c>
      <c r="Q99" s="30"/>
      <c r="R99" s="30" t="s">
        <v>191</v>
      </c>
      <c r="S99" s="31">
        <f t="shared" si="3"/>
        <v>3062500</v>
      </c>
    </row>
    <row r="100" spans="1:20" s="21" customFormat="1" ht="15" customHeight="1">
      <c r="A100" s="112" t="s">
        <v>347</v>
      </c>
      <c r="B100" s="106" t="s">
        <v>187</v>
      </c>
      <c r="C100" s="150" t="s">
        <v>364</v>
      </c>
      <c r="D100" s="150" t="s">
        <v>370</v>
      </c>
      <c r="E100" s="150" t="s">
        <v>201</v>
      </c>
      <c r="F100" s="27">
        <v>1</v>
      </c>
      <c r="G100" s="27">
        <v>1</v>
      </c>
      <c r="H100" s="27" t="s">
        <v>184</v>
      </c>
      <c r="I100" s="27" t="s">
        <v>4</v>
      </c>
      <c r="J100" s="33" t="s">
        <v>199</v>
      </c>
      <c r="K100" s="27">
        <v>10</v>
      </c>
      <c r="L100" s="27" t="s">
        <v>185</v>
      </c>
      <c r="M100" s="27">
        <v>1</v>
      </c>
      <c r="N100" s="27" t="s">
        <v>186</v>
      </c>
      <c r="O100" s="116">
        <v>3500000</v>
      </c>
      <c r="P100" s="30">
        <f t="shared" si="4"/>
        <v>3062500</v>
      </c>
      <c r="Q100" s="117"/>
      <c r="R100" s="30" t="s">
        <v>191</v>
      </c>
      <c r="S100" s="118">
        <f t="shared" si="3"/>
        <v>3062500</v>
      </c>
    </row>
    <row r="101" spans="1:20" s="21" customFormat="1" ht="15" customHeight="1">
      <c r="A101" s="112" t="s">
        <v>347</v>
      </c>
      <c r="B101" s="106" t="s">
        <v>187</v>
      </c>
      <c r="C101" s="150" t="s">
        <v>364</v>
      </c>
      <c r="D101" s="150" t="s">
        <v>371</v>
      </c>
      <c r="E101" s="150" t="s">
        <v>201</v>
      </c>
      <c r="F101" s="27">
        <v>1</v>
      </c>
      <c r="G101" s="27">
        <v>1</v>
      </c>
      <c r="H101" s="27" t="s">
        <v>184</v>
      </c>
      <c r="I101" s="27" t="s">
        <v>4</v>
      </c>
      <c r="J101" s="33" t="s">
        <v>199</v>
      </c>
      <c r="K101" s="27">
        <v>10</v>
      </c>
      <c r="L101" s="27" t="s">
        <v>185</v>
      </c>
      <c r="M101" s="27">
        <v>1</v>
      </c>
      <c r="N101" s="27" t="s">
        <v>186</v>
      </c>
      <c r="O101" s="54">
        <v>3500000</v>
      </c>
      <c r="P101" s="30">
        <f t="shared" si="4"/>
        <v>3062500</v>
      </c>
      <c r="Q101" s="30"/>
      <c r="R101" s="30" t="s">
        <v>191</v>
      </c>
      <c r="S101" s="31">
        <f t="shared" si="3"/>
        <v>3062500</v>
      </c>
    </row>
    <row r="102" spans="1:20" s="21" customFormat="1" ht="15" customHeight="1">
      <c r="A102" s="112" t="s">
        <v>347</v>
      </c>
      <c r="B102" s="106" t="s">
        <v>187</v>
      </c>
      <c r="C102" s="150" t="s">
        <v>364</v>
      </c>
      <c r="D102" s="150" t="s">
        <v>372</v>
      </c>
      <c r="E102" s="150" t="s">
        <v>188</v>
      </c>
      <c r="F102" s="27">
        <v>1</v>
      </c>
      <c r="G102" s="27">
        <v>1</v>
      </c>
      <c r="H102" s="27" t="s">
        <v>184</v>
      </c>
      <c r="I102" s="27" t="s">
        <v>4</v>
      </c>
      <c r="J102" s="33" t="s">
        <v>199</v>
      </c>
      <c r="K102" s="27">
        <v>10</v>
      </c>
      <c r="L102" s="27" t="s">
        <v>185</v>
      </c>
      <c r="M102" s="27">
        <v>1</v>
      </c>
      <c r="N102" s="27" t="s">
        <v>186</v>
      </c>
      <c r="O102" s="116">
        <v>3500000</v>
      </c>
      <c r="P102" s="30">
        <f t="shared" si="4"/>
        <v>3062500</v>
      </c>
      <c r="Q102" s="117"/>
      <c r="R102" s="30" t="s">
        <v>191</v>
      </c>
      <c r="S102" s="118">
        <f t="shared" si="3"/>
        <v>3062500</v>
      </c>
    </row>
    <row r="103" spans="1:20" s="21" customFormat="1" ht="15" customHeight="1">
      <c r="A103" s="112" t="s">
        <v>347</v>
      </c>
      <c r="B103" s="106" t="s">
        <v>187</v>
      </c>
      <c r="C103" s="150" t="s">
        <v>364</v>
      </c>
      <c r="D103" s="150" t="s">
        <v>373</v>
      </c>
      <c r="E103" s="150" t="s">
        <v>201</v>
      </c>
      <c r="F103" s="27">
        <v>1</v>
      </c>
      <c r="G103" s="27">
        <v>1</v>
      </c>
      <c r="H103" s="27" t="s">
        <v>184</v>
      </c>
      <c r="I103" s="27" t="s">
        <v>4</v>
      </c>
      <c r="J103" s="33" t="s">
        <v>199</v>
      </c>
      <c r="K103" s="27">
        <v>10</v>
      </c>
      <c r="L103" s="27" t="s">
        <v>185</v>
      </c>
      <c r="M103" s="27">
        <v>1</v>
      </c>
      <c r="N103" s="27" t="s">
        <v>186</v>
      </c>
      <c r="O103" s="116">
        <v>3500000</v>
      </c>
      <c r="P103" s="30">
        <f t="shared" si="4"/>
        <v>3062500</v>
      </c>
      <c r="Q103" s="117"/>
      <c r="R103" s="30" t="s">
        <v>191</v>
      </c>
      <c r="S103" s="118">
        <f t="shared" si="3"/>
        <v>3062500</v>
      </c>
    </row>
    <row r="104" spans="1:20" s="111" customFormat="1" ht="19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4"/>
      <c r="N104" s="124"/>
      <c r="O104" s="124"/>
      <c r="P104" s="124"/>
      <c r="Q104" s="124"/>
      <c r="R104" s="124"/>
      <c r="S104" s="124"/>
    </row>
    <row r="105" spans="1:20" s="45" customFormat="1" ht="30" customHeight="1">
      <c r="A105" s="135" t="s">
        <v>193</v>
      </c>
      <c r="B105" s="136" t="s">
        <v>187</v>
      </c>
      <c r="C105" s="135" t="s">
        <v>165</v>
      </c>
      <c r="D105" s="137" t="s">
        <v>250</v>
      </c>
      <c r="E105" s="137" t="s">
        <v>350</v>
      </c>
      <c r="F105" s="135">
        <v>12</v>
      </c>
      <c r="G105" s="135">
        <v>4</v>
      </c>
      <c r="H105" s="138" t="s">
        <v>348</v>
      </c>
      <c r="I105" s="135" t="s">
        <v>3</v>
      </c>
      <c r="J105" s="139"/>
      <c r="K105" s="135" t="s">
        <v>191</v>
      </c>
      <c r="L105" s="135" t="s">
        <v>191</v>
      </c>
      <c r="M105" s="140" t="s">
        <v>191</v>
      </c>
      <c r="N105" s="141" t="s">
        <v>191</v>
      </c>
      <c r="O105" s="142">
        <v>2500000</v>
      </c>
      <c r="P105" s="143">
        <v>2250000</v>
      </c>
      <c r="Q105" s="154"/>
      <c r="R105" s="144">
        <v>1200000</v>
      </c>
      <c r="S105" s="145">
        <f>P105*G105*F105+R105*F105</f>
        <v>122400000</v>
      </c>
      <c r="T105" s="133"/>
    </row>
    <row r="106" spans="1:20" s="45" customFormat="1" ht="30" customHeight="1">
      <c r="A106" s="27" t="s">
        <v>346</v>
      </c>
      <c r="B106" s="156" t="s">
        <v>187</v>
      </c>
      <c r="C106" s="44" t="s">
        <v>165</v>
      </c>
      <c r="D106" s="44" t="s">
        <v>279</v>
      </c>
      <c r="E106" s="33" t="s">
        <v>191</v>
      </c>
      <c r="F106" s="27">
        <v>1</v>
      </c>
      <c r="G106" s="27">
        <v>1</v>
      </c>
      <c r="H106" s="46" t="s">
        <v>291</v>
      </c>
      <c r="I106" s="27" t="s">
        <v>4</v>
      </c>
      <c r="J106" s="44"/>
      <c r="K106" s="27">
        <v>10</v>
      </c>
      <c r="L106" s="57" t="s">
        <v>185</v>
      </c>
      <c r="M106" s="125">
        <v>1</v>
      </c>
      <c r="N106" s="125">
        <v>300</v>
      </c>
      <c r="O106" s="126">
        <v>2600000</v>
      </c>
      <c r="P106" s="127">
        <v>2340000</v>
      </c>
      <c r="Q106" s="155"/>
      <c r="R106" s="30" t="s">
        <v>191</v>
      </c>
      <c r="S106" s="128">
        <f t="shared" ref="S106:S120" si="5">P106*G106</f>
        <v>2340000</v>
      </c>
    </row>
    <row r="107" spans="1:20" s="45" customFormat="1" ht="30" customHeight="1">
      <c r="A107" s="27" t="s">
        <v>346</v>
      </c>
      <c r="B107" s="157"/>
      <c r="C107" s="44" t="s">
        <v>165</v>
      </c>
      <c r="D107" s="44" t="s">
        <v>280</v>
      </c>
      <c r="E107" s="33" t="s">
        <v>191</v>
      </c>
      <c r="F107" s="27">
        <v>1</v>
      </c>
      <c r="G107" s="27">
        <v>1</v>
      </c>
      <c r="H107" s="46" t="s">
        <v>291</v>
      </c>
      <c r="I107" s="27" t="s">
        <v>4</v>
      </c>
      <c r="J107" s="44"/>
      <c r="K107" s="27">
        <v>10</v>
      </c>
      <c r="L107" s="57" t="s">
        <v>185</v>
      </c>
      <c r="M107" s="125">
        <v>1</v>
      </c>
      <c r="N107" s="125">
        <v>300</v>
      </c>
      <c r="O107" s="126">
        <v>2600000</v>
      </c>
      <c r="P107" s="127">
        <v>2340000</v>
      </c>
      <c r="Q107" s="155"/>
      <c r="R107" s="30" t="s">
        <v>191</v>
      </c>
      <c r="S107" s="128">
        <f t="shared" si="5"/>
        <v>2340000</v>
      </c>
    </row>
    <row r="108" spans="1:20" s="45" customFormat="1" ht="30" customHeight="1">
      <c r="A108" s="27" t="s">
        <v>346</v>
      </c>
      <c r="B108" s="157"/>
      <c r="C108" s="44" t="s">
        <v>165</v>
      </c>
      <c r="D108" s="44" t="s">
        <v>281</v>
      </c>
      <c r="E108" s="33" t="s">
        <v>191</v>
      </c>
      <c r="F108" s="27">
        <v>1</v>
      </c>
      <c r="G108" s="27">
        <v>1</v>
      </c>
      <c r="H108" s="46" t="s">
        <v>291</v>
      </c>
      <c r="I108" s="27" t="s">
        <v>4</v>
      </c>
      <c r="J108" s="44"/>
      <c r="K108" s="27">
        <v>10</v>
      </c>
      <c r="L108" s="57" t="s">
        <v>185</v>
      </c>
      <c r="M108" s="125">
        <v>1</v>
      </c>
      <c r="N108" s="125">
        <v>300</v>
      </c>
      <c r="O108" s="126">
        <v>2600000</v>
      </c>
      <c r="P108" s="127">
        <v>2340000</v>
      </c>
      <c r="Q108" s="155"/>
      <c r="R108" s="30" t="s">
        <v>191</v>
      </c>
      <c r="S108" s="128">
        <f t="shared" si="5"/>
        <v>2340000</v>
      </c>
    </row>
    <row r="109" spans="1:20" s="45" customFormat="1" ht="30" customHeight="1">
      <c r="A109" s="27" t="s">
        <v>346</v>
      </c>
      <c r="B109" s="157"/>
      <c r="C109" s="44" t="s">
        <v>165</v>
      </c>
      <c r="D109" s="44" t="s">
        <v>282</v>
      </c>
      <c r="E109" s="33" t="s">
        <v>191</v>
      </c>
      <c r="F109" s="27">
        <v>1</v>
      </c>
      <c r="G109" s="27">
        <v>1</v>
      </c>
      <c r="H109" s="46" t="s">
        <v>291</v>
      </c>
      <c r="I109" s="27" t="s">
        <v>4</v>
      </c>
      <c r="J109" s="44"/>
      <c r="K109" s="27">
        <v>10</v>
      </c>
      <c r="L109" s="57" t="s">
        <v>185</v>
      </c>
      <c r="M109" s="125">
        <v>1</v>
      </c>
      <c r="N109" s="125">
        <v>300</v>
      </c>
      <c r="O109" s="126">
        <v>2600000</v>
      </c>
      <c r="P109" s="127">
        <v>2340000</v>
      </c>
      <c r="Q109" s="155"/>
      <c r="R109" s="30" t="s">
        <v>191</v>
      </c>
      <c r="S109" s="128">
        <f t="shared" si="5"/>
        <v>2340000</v>
      </c>
    </row>
    <row r="110" spans="1:20" s="45" customFormat="1" ht="30" customHeight="1">
      <c r="A110" s="27" t="s">
        <v>346</v>
      </c>
      <c r="B110" s="157"/>
      <c r="C110" s="44" t="s">
        <v>165</v>
      </c>
      <c r="D110" s="44" t="s">
        <v>283</v>
      </c>
      <c r="E110" s="33" t="s">
        <v>191</v>
      </c>
      <c r="F110" s="27">
        <v>1</v>
      </c>
      <c r="G110" s="27">
        <v>1</v>
      </c>
      <c r="H110" s="46" t="s">
        <v>291</v>
      </c>
      <c r="I110" s="27" t="s">
        <v>4</v>
      </c>
      <c r="J110" s="44"/>
      <c r="K110" s="27">
        <v>10</v>
      </c>
      <c r="L110" s="57" t="s">
        <v>185</v>
      </c>
      <c r="M110" s="125">
        <v>1</v>
      </c>
      <c r="N110" s="125">
        <v>300</v>
      </c>
      <c r="O110" s="126">
        <v>2600000</v>
      </c>
      <c r="P110" s="127">
        <v>2340000</v>
      </c>
      <c r="Q110" s="155"/>
      <c r="R110" s="30" t="s">
        <v>191</v>
      </c>
      <c r="S110" s="128">
        <f t="shared" si="5"/>
        <v>2340000</v>
      </c>
    </row>
    <row r="111" spans="1:20" s="45" customFormat="1" ht="30" customHeight="1">
      <c r="A111" s="27" t="s">
        <v>346</v>
      </c>
      <c r="B111" s="157"/>
      <c r="C111" s="44" t="s">
        <v>165</v>
      </c>
      <c r="D111" s="44" t="s">
        <v>284</v>
      </c>
      <c r="E111" s="33" t="s">
        <v>191</v>
      </c>
      <c r="F111" s="27">
        <v>1</v>
      </c>
      <c r="G111" s="27">
        <v>1</v>
      </c>
      <c r="H111" s="46" t="s">
        <v>291</v>
      </c>
      <c r="I111" s="27" t="s">
        <v>4</v>
      </c>
      <c r="J111" s="44"/>
      <c r="K111" s="27">
        <v>10</v>
      </c>
      <c r="L111" s="27" t="s">
        <v>185</v>
      </c>
      <c r="M111" s="119">
        <v>1</v>
      </c>
      <c r="N111" s="119">
        <v>300</v>
      </c>
      <c r="O111" s="123">
        <v>2600000</v>
      </c>
      <c r="P111" s="120">
        <v>2340000</v>
      </c>
      <c r="Q111" s="120"/>
      <c r="R111" s="30" t="s">
        <v>191</v>
      </c>
      <c r="S111" s="121">
        <f t="shared" si="5"/>
        <v>2340000</v>
      </c>
    </row>
    <row r="112" spans="1:20" s="45" customFormat="1" ht="30" customHeight="1">
      <c r="A112" s="27" t="s">
        <v>346</v>
      </c>
      <c r="B112" s="157"/>
      <c r="C112" s="44" t="s">
        <v>165</v>
      </c>
      <c r="D112" s="44" t="s">
        <v>285</v>
      </c>
      <c r="E112" s="33" t="s">
        <v>191</v>
      </c>
      <c r="F112" s="27">
        <v>1</v>
      </c>
      <c r="G112" s="27">
        <v>1</v>
      </c>
      <c r="H112" s="46" t="s">
        <v>291</v>
      </c>
      <c r="I112" s="27" t="s">
        <v>4</v>
      </c>
      <c r="J112" s="44"/>
      <c r="K112" s="27">
        <v>10</v>
      </c>
      <c r="L112" s="27" t="s">
        <v>185</v>
      </c>
      <c r="M112" s="27">
        <v>1</v>
      </c>
      <c r="N112" s="27">
        <v>300</v>
      </c>
      <c r="O112" s="54">
        <v>2600000</v>
      </c>
      <c r="P112" s="32">
        <v>2340000</v>
      </c>
      <c r="Q112" s="32"/>
      <c r="R112" s="30" t="s">
        <v>191</v>
      </c>
      <c r="S112" s="31">
        <f t="shared" si="5"/>
        <v>2340000</v>
      </c>
    </row>
    <row r="113" spans="1:21" s="45" customFormat="1" ht="30" customHeight="1">
      <c r="A113" s="27" t="s">
        <v>346</v>
      </c>
      <c r="B113" s="157"/>
      <c r="C113" s="44" t="s">
        <v>165</v>
      </c>
      <c r="D113" s="44" t="s">
        <v>286</v>
      </c>
      <c r="E113" s="33" t="s">
        <v>191</v>
      </c>
      <c r="F113" s="27">
        <v>1</v>
      </c>
      <c r="G113" s="27">
        <v>1</v>
      </c>
      <c r="H113" s="46" t="s">
        <v>291</v>
      </c>
      <c r="I113" s="27" t="s">
        <v>4</v>
      </c>
      <c r="J113" s="44"/>
      <c r="K113" s="27">
        <v>10</v>
      </c>
      <c r="L113" s="27" t="s">
        <v>185</v>
      </c>
      <c r="M113" s="27">
        <v>1</v>
      </c>
      <c r="N113" s="27">
        <v>300</v>
      </c>
      <c r="O113" s="54">
        <v>2600000</v>
      </c>
      <c r="P113" s="32">
        <v>2340000</v>
      </c>
      <c r="Q113" s="32"/>
      <c r="R113" s="30" t="s">
        <v>191</v>
      </c>
      <c r="S113" s="31">
        <f t="shared" si="5"/>
        <v>2340000</v>
      </c>
    </row>
    <row r="114" spans="1:21" s="45" customFormat="1" ht="30" customHeight="1">
      <c r="A114" s="27" t="s">
        <v>346</v>
      </c>
      <c r="B114" s="157"/>
      <c r="C114" s="44" t="s">
        <v>165</v>
      </c>
      <c r="D114" s="44" t="s">
        <v>287</v>
      </c>
      <c r="E114" s="33" t="s">
        <v>191</v>
      </c>
      <c r="F114" s="27">
        <v>1</v>
      </c>
      <c r="G114" s="27">
        <v>1</v>
      </c>
      <c r="H114" s="46" t="s">
        <v>291</v>
      </c>
      <c r="I114" s="27" t="s">
        <v>4</v>
      </c>
      <c r="J114" s="44"/>
      <c r="K114" s="27">
        <v>10</v>
      </c>
      <c r="L114" s="27" t="s">
        <v>185</v>
      </c>
      <c r="M114" s="27">
        <v>1</v>
      </c>
      <c r="N114" s="27">
        <v>300</v>
      </c>
      <c r="O114" s="54">
        <v>2600000</v>
      </c>
      <c r="P114" s="32">
        <v>2340000</v>
      </c>
      <c r="Q114" s="32"/>
      <c r="R114" s="30" t="s">
        <v>191</v>
      </c>
      <c r="S114" s="31">
        <f t="shared" si="5"/>
        <v>2340000</v>
      </c>
    </row>
    <row r="115" spans="1:21" s="45" customFormat="1" ht="30" customHeight="1">
      <c r="A115" s="27" t="s">
        <v>346</v>
      </c>
      <c r="B115" s="157"/>
      <c r="C115" s="44" t="s">
        <v>165</v>
      </c>
      <c r="D115" s="44" t="s">
        <v>288</v>
      </c>
      <c r="E115" s="33" t="s">
        <v>191</v>
      </c>
      <c r="F115" s="27">
        <v>1</v>
      </c>
      <c r="G115" s="27">
        <v>1</v>
      </c>
      <c r="H115" s="46" t="s">
        <v>291</v>
      </c>
      <c r="I115" s="27" t="s">
        <v>4</v>
      </c>
      <c r="J115" s="44"/>
      <c r="K115" s="27">
        <v>10</v>
      </c>
      <c r="L115" s="27" t="s">
        <v>185</v>
      </c>
      <c r="M115" s="27">
        <v>1</v>
      </c>
      <c r="N115" s="27">
        <v>300</v>
      </c>
      <c r="O115" s="54">
        <v>2600000</v>
      </c>
      <c r="P115" s="32">
        <v>2340000</v>
      </c>
      <c r="Q115" s="32"/>
      <c r="R115" s="30" t="s">
        <v>191</v>
      </c>
      <c r="S115" s="31">
        <f t="shared" si="5"/>
        <v>2340000</v>
      </c>
    </row>
    <row r="116" spans="1:21" s="45" customFormat="1" ht="30" customHeight="1">
      <c r="A116" s="27" t="s">
        <v>346</v>
      </c>
      <c r="B116" s="157"/>
      <c r="C116" s="44" t="s">
        <v>165</v>
      </c>
      <c r="D116" s="44" t="s">
        <v>289</v>
      </c>
      <c r="E116" s="33" t="s">
        <v>191</v>
      </c>
      <c r="F116" s="27">
        <v>1</v>
      </c>
      <c r="G116" s="27">
        <v>1</v>
      </c>
      <c r="H116" s="46" t="s">
        <v>291</v>
      </c>
      <c r="I116" s="27" t="s">
        <v>4</v>
      </c>
      <c r="J116" s="44"/>
      <c r="K116" s="27">
        <v>10</v>
      </c>
      <c r="L116" s="27" t="s">
        <v>185</v>
      </c>
      <c r="M116" s="27">
        <v>1</v>
      </c>
      <c r="N116" s="27">
        <v>300</v>
      </c>
      <c r="O116" s="54">
        <v>2600000</v>
      </c>
      <c r="P116" s="32">
        <v>2340000</v>
      </c>
      <c r="Q116" s="32"/>
      <c r="R116" s="30" t="s">
        <v>191</v>
      </c>
      <c r="S116" s="31">
        <f t="shared" si="5"/>
        <v>2340000</v>
      </c>
    </row>
    <row r="117" spans="1:21" s="45" customFormat="1" ht="30" customHeight="1">
      <c r="A117" s="27" t="s">
        <v>346</v>
      </c>
      <c r="B117" s="157"/>
      <c r="C117" s="44" t="s">
        <v>165</v>
      </c>
      <c r="D117" s="44" t="s">
        <v>290</v>
      </c>
      <c r="E117" s="33" t="s">
        <v>191</v>
      </c>
      <c r="F117" s="27">
        <v>1</v>
      </c>
      <c r="G117" s="27">
        <v>1</v>
      </c>
      <c r="H117" s="46" t="s">
        <v>291</v>
      </c>
      <c r="I117" s="27" t="s">
        <v>4</v>
      </c>
      <c r="J117" s="44"/>
      <c r="K117" s="27">
        <v>10</v>
      </c>
      <c r="L117" s="27" t="s">
        <v>185</v>
      </c>
      <c r="M117" s="27">
        <v>1</v>
      </c>
      <c r="N117" s="27">
        <v>300</v>
      </c>
      <c r="O117" s="54">
        <v>2600000</v>
      </c>
      <c r="P117" s="32">
        <v>2340000</v>
      </c>
      <c r="Q117" s="32"/>
      <c r="R117" s="30" t="s">
        <v>191</v>
      </c>
      <c r="S117" s="31">
        <f t="shared" si="5"/>
        <v>2340000</v>
      </c>
    </row>
    <row r="118" spans="1:21" s="45" customFormat="1" ht="30" customHeight="1">
      <c r="A118" s="27" t="s">
        <v>346</v>
      </c>
      <c r="B118" s="157"/>
      <c r="C118" s="110" t="s">
        <v>165</v>
      </c>
      <c r="D118" s="110" t="s">
        <v>328</v>
      </c>
      <c r="E118" s="33" t="s">
        <v>191</v>
      </c>
      <c r="F118" s="27">
        <v>1</v>
      </c>
      <c r="G118" s="27">
        <v>1</v>
      </c>
      <c r="H118" s="46" t="s">
        <v>291</v>
      </c>
      <c r="I118" s="27" t="s">
        <v>4</v>
      </c>
      <c r="J118" s="44"/>
      <c r="K118" s="27">
        <v>10</v>
      </c>
      <c r="L118" s="27" t="s">
        <v>185</v>
      </c>
      <c r="M118" s="27">
        <v>1</v>
      </c>
      <c r="N118" s="27">
        <v>300</v>
      </c>
      <c r="O118" s="54">
        <v>2600000</v>
      </c>
      <c r="P118" s="32">
        <v>2340000</v>
      </c>
      <c r="Q118" s="32"/>
      <c r="R118" s="30" t="s">
        <v>191</v>
      </c>
      <c r="S118" s="31">
        <f t="shared" si="5"/>
        <v>2340000</v>
      </c>
    </row>
    <row r="119" spans="1:21" s="45" customFormat="1" ht="30" customHeight="1">
      <c r="A119" s="27" t="s">
        <v>346</v>
      </c>
      <c r="B119" s="157"/>
      <c r="C119" s="44" t="s">
        <v>165</v>
      </c>
      <c r="D119" s="44" t="s">
        <v>329</v>
      </c>
      <c r="E119" s="33" t="s">
        <v>191</v>
      </c>
      <c r="F119" s="27">
        <v>1</v>
      </c>
      <c r="G119" s="27">
        <v>1</v>
      </c>
      <c r="H119" s="46" t="s">
        <v>291</v>
      </c>
      <c r="I119" s="27" t="s">
        <v>4</v>
      </c>
      <c r="J119" s="44"/>
      <c r="K119" s="27">
        <v>10</v>
      </c>
      <c r="L119" s="27" t="s">
        <v>185</v>
      </c>
      <c r="M119" s="27">
        <v>1</v>
      </c>
      <c r="N119" s="27">
        <v>300</v>
      </c>
      <c r="O119" s="54">
        <v>2600000</v>
      </c>
      <c r="P119" s="32">
        <v>2340000</v>
      </c>
      <c r="Q119" s="32"/>
      <c r="R119" s="30" t="s">
        <v>191</v>
      </c>
      <c r="S119" s="31">
        <f t="shared" si="5"/>
        <v>2340000</v>
      </c>
    </row>
    <row r="120" spans="1:21" s="45" customFormat="1" ht="30" customHeight="1">
      <c r="A120" s="27" t="s">
        <v>346</v>
      </c>
      <c r="B120" s="158"/>
      <c r="C120" s="110" t="s">
        <v>165</v>
      </c>
      <c r="D120" s="110" t="s">
        <v>330</v>
      </c>
      <c r="E120" s="33" t="s">
        <v>191</v>
      </c>
      <c r="F120" s="27">
        <v>1</v>
      </c>
      <c r="G120" s="27">
        <v>1</v>
      </c>
      <c r="H120" s="46" t="s">
        <v>291</v>
      </c>
      <c r="I120" s="27" t="s">
        <v>4</v>
      </c>
      <c r="J120" s="44"/>
      <c r="K120" s="27">
        <v>10</v>
      </c>
      <c r="L120" s="27" t="s">
        <v>185</v>
      </c>
      <c r="M120" s="27">
        <v>1</v>
      </c>
      <c r="N120" s="27">
        <v>300</v>
      </c>
      <c r="O120" s="54">
        <v>2600000</v>
      </c>
      <c r="P120" s="32">
        <v>2340000</v>
      </c>
      <c r="Q120" s="32"/>
      <c r="R120" s="30" t="s">
        <v>191</v>
      </c>
      <c r="S120" s="31">
        <f t="shared" si="5"/>
        <v>2340000</v>
      </c>
    </row>
    <row r="121" spans="1:21" ht="15" customHeight="1">
      <c r="A121" s="39"/>
      <c r="B121" s="40"/>
      <c r="C121" s="41"/>
      <c r="D121" s="42"/>
      <c r="E121" s="41"/>
      <c r="F121" s="41"/>
      <c r="G121" s="41"/>
      <c r="H121" s="41"/>
      <c r="I121" s="41"/>
      <c r="J121" s="41"/>
      <c r="K121" s="23"/>
      <c r="L121" s="41"/>
      <c r="M121" s="41"/>
      <c r="N121" s="22"/>
      <c r="O121" s="43">
        <f>SUM(O9:O120)</f>
        <v>711215000</v>
      </c>
      <c r="P121" s="43">
        <f>SUM(P9:P120)</f>
        <v>623350625</v>
      </c>
      <c r="Q121" s="43"/>
      <c r="R121" s="43"/>
      <c r="S121" s="43">
        <f>SUM(S9:S120)</f>
        <v>743500625</v>
      </c>
    </row>
    <row r="122" spans="1:21" ht="1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</row>
    <row r="123" spans="1:21" ht="17" thickBo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2"/>
      <c r="Q123" s="52"/>
      <c r="R123" s="51"/>
      <c r="S123" s="51"/>
      <c r="T123" s="51"/>
      <c r="U123" s="6"/>
    </row>
    <row r="124" spans="1:21" ht="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2"/>
      <c r="Q124" s="52"/>
      <c r="R124" s="14" t="s">
        <v>170</v>
      </c>
      <c r="S124" s="48">
        <f>S121</f>
        <v>743500625</v>
      </c>
      <c r="T124" s="6"/>
    </row>
    <row r="125" spans="1:21" ht="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2"/>
      <c r="Q125" s="52"/>
      <c r="R125" s="16" t="s">
        <v>351</v>
      </c>
      <c r="S125" s="49">
        <f>S124*2%</f>
        <v>14870012.5</v>
      </c>
      <c r="T125" s="6"/>
    </row>
    <row r="126" spans="1:21" ht="25" customHeight="1" thickBo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2"/>
      <c r="Q126" s="52"/>
      <c r="R126" s="18" t="s">
        <v>171</v>
      </c>
      <c r="S126" s="50">
        <f>(S124+S125)*1.12</f>
        <v>849375114.00000012</v>
      </c>
      <c r="T126" s="6"/>
    </row>
    <row r="127" spans="1:21">
      <c r="P127" s="13"/>
      <c r="Q127" s="13"/>
      <c r="T127" s="6"/>
      <c r="U127" s="6"/>
    </row>
    <row r="128" spans="1:21">
      <c r="P128" s="13"/>
      <c r="Q128" s="13"/>
      <c r="R128" s="78"/>
      <c r="S128" s="78"/>
      <c r="T128" s="6"/>
      <c r="U128" s="6"/>
    </row>
    <row r="129" spans="16:21">
      <c r="P129" s="13"/>
      <c r="Q129" s="13"/>
      <c r="R129" s="78"/>
      <c r="S129" s="78"/>
      <c r="T129" s="78"/>
      <c r="U129" s="6"/>
    </row>
    <row r="130" spans="16:21">
      <c r="P130" s="13"/>
      <c r="Q130" s="13"/>
      <c r="R130" s="78"/>
      <c r="S130" s="78"/>
      <c r="T130" s="6"/>
      <c r="U130" s="6"/>
    </row>
    <row r="131" spans="16:21">
      <c r="P131" s="13"/>
      <c r="Q131" s="13"/>
      <c r="R131" s="78"/>
      <c r="S131" s="78"/>
      <c r="T131" s="6"/>
      <c r="U131" s="6"/>
    </row>
    <row r="132" spans="16:21">
      <c r="S132" s="78"/>
      <c r="T132" s="6"/>
    </row>
    <row r="133" spans="16:21">
      <c r="T133" s="6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K121 P106:Q120 N121 Q55:Q84" name="Диапазон1"/>
    <protectedRange algorithmName="SHA-512" hashValue="20tZejZtY/ZGRcGLZm0ZbWfCu51ejQGMqdRYwv0b9rb/5Q/ejFDHQOXySZDQbnMuPhvZC4Bfbq/BWdBxp9Ls4w==" saltValue="Q+V8rXhHsE4u/j5xUQJeAg==" spinCount="100000" sqref="G106:G120 G56:G84" name="Диапазон1_1_2"/>
    <protectedRange algorithmName="SHA-512" hashValue="20tZejZtY/ZGRcGLZm0ZbWfCu51ejQGMqdRYwv0b9rb/5Q/ejFDHQOXySZDQbnMuPhvZC4Bfbq/BWdBxp9Ls4w==" saltValue="Q+V8rXhHsE4u/j5xUQJeAg==" spinCount="100000" sqref="K106:K120 M106:N120" name="Диапазон1_3"/>
    <protectedRange algorithmName="SHA-512" hashValue="20tZejZtY/ZGRcGLZm0ZbWfCu51ejQGMqdRYwv0b9rb/5Q/ejFDHQOXySZDQbnMuPhvZC4Bfbq/BWdBxp9Ls4w==" saltValue="Q+V8rXhHsE4u/j5xUQJeAg==" spinCount="100000" sqref="I106:I120 O106:O120 O55:O84" name="Диапазон1_1_3"/>
    <protectedRange algorithmName="SHA-512" hashValue="20tZejZtY/ZGRcGLZm0ZbWfCu51ejQGMqdRYwv0b9rb/5Q/ejFDHQOXySZDQbnMuPhvZC4Bfbq/BWdBxp9Ls4w==" saltValue="Q+V8rXhHsE4u/j5xUQJeAg==" spinCount="100000" sqref="H106:H120" name="Диапазон1_5"/>
    <protectedRange algorithmName="SHA-512" hashValue="20tZejZtY/ZGRcGLZm0ZbWfCu51ejQGMqdRYwv0b9rb/5Q/ejFDHQOXySZDQbnMuPhvZC4Bfbq/BWdBxp9Ls4w==" saltValue="Q+V8rXhHsE4u/j5xUQJeAg==" spinCount="100000" sqref="D55:E65 C106:E120 D76:E84" name="Диапазон1_2_2"/>
    <protectedRange algorithmName="SHA-512" hashValue="20tZejZtY/ZGRcGLZm0ZbWfCu51ejQGMqdRYwv0b9rb/5Q/ejFDHQOXySZDQbnMuPhvZC4Bfbq/BWdBxp9Ls4w==" saltValue="Q+V8rXhHsE4u/j5xUQJeAg==" spinCount="100000" sqref="J106:J120 J55:J84" name="Диапазон1_4_1"/>
    <protectedRange algorithmName="SHA-512" hashValue="20tZejZtY/ZGRcGLZm0ZbWfCu51ejQGMqdRYwv0b9rb/5Q/ejFDHQOXySZDQbnMuPhvZC4Bfbq/BWdBxp9Ls4w==" saltValue="Q+V8rXhHsE4u/j5xUQJeAg==" spinCount="100000" sqref="B106:B120 B55:B84" name="Диапазон1_9_1"/>
    <protectedRange algorithmName="SHA-512" hashValue="20tZejZtY/ZGRcGLZm0ZbWfCu51ejQGMqdRYwv0b9rb/5Q/ejFDHQOXySZDQbnMuPhvZC4Bfbq/BWdBxp9Ls4w==" saltValue="Q+V8rXhHsE4u/j5xUQJeAg==" spinCount="100000" sqref="L106:L120 N56:N84 L56:L84" name="Диапазон1_4"/>
    <protectedRange algorithmName="SHA-512" hashValue="20tZejZtY/ZGRcGLZm0ZbWfCu51ejQGMqdRYwv0b9rb/5Q/ejFDHQOXySZDQbnMuPhvZC4Bfbq/BWdBxp9Ls4w==" saltValue="Q+V8rXhHsE4u/j5xUQJeAg==" spinCount="100000" sqref="M56:M84" name="Диапазон1_1_1"/>
    <protectedRange algorithmName="SHA-512" hashValue="20tZejZtY/ZGRcGLZm0ZbWfCu51ejQGMqdRYwv0b9rb/5Q/ejFDHQOXySZDQbnMuPhvZC4Bfbq/BWdBxp9Ls4w==" saltValue="Q+V8rXhHsE4u/j5xUQJeAg==" spinCount="100000" sqref="K56:K84" name="Диапазон1_7_1"/>
    <protectedRange algorithmName="SHA-512" hashValue="20tZejZtY/ZGRcGLZm0ZbWfCu51ejQGMqdRYwv0b9rb/5Q/ejFDHQOXySZDQbnMuPhvZC4Bfbq/BWdBxp9Ls4w==" saltValue="Q+V8rXhHsE4u/j5xUQJeAg==" spinCount="100000" sqref="F106:F120 H56:H84 F56:F84" name="Диапазон1_5_2_1"/>
    <protectedRange algorithmName="SHA-512" hashValue="20tZejZtY/ZGRcGLZm0ZbWfCu51ejQGMqdRYwv0b9rb/5Q/ejFDHQOXySZDQbnMuPhvZC4Bfbq/BWdBxp9Ls4w==" saltValue="Q+V8rXhHsE4u/j5xUQJeAg==" spinCount="100000" sqref="D66:E75" name="Диапазон1_2_2_1"/>
    <protectedRange algorithmName="SHA-512" hashValue="20tZejZtY/ZGRcGLZm0ZbWfCu51ejQGMqdRYwv0b9rb/5Q/ejFDHQOXySZDQbnMuPhvZC4Bfbq/BWdBxp9Ls4w==" saltValue="Q+V8rXhHsE4u/j5xUQJeAg==" spinCount="100000" sqref="C66:C75" name="Диапазон1_2_1_2"/>
    <protectedRange algorithmName="SHA-512" hashValue="20tZejZtY/ZGRcGLZm0ZbWfCu51ejQGMqdRYwv0b9rb/5Q/ejFDHQOXySZDQbnMuPhvZC4Bfbq/BWdBxp9Ls4w==" saltValue="Q+V8rXhHsE4u/j5xUQJeAg==" spinCount="100000" sqref="P104:R104" name="Диапазон1_10"/>
    <protectedRange algorithmName="SHA-512" hashValue="20tZejZtY/ZGRcGLZm0ZbWfCu51ejQGMqdRYwv0b9rb/5Q/ejFDHQOXySZDQbnMuPhvZC4Bfbq/BWdBxp9Ls4w==" saltValue="Q+V8rXhHsE4u/j5xUQJeAg==" spinCount="100000" sqref="O104" name="Диапазон1_14_2"/>
    <protectedRange algorithmName="SHA-512" hashValue="20tZejZtY/ZGRcGLZm0ZbWfCu51ejQGMqdRYwv0b9rb/5Q/ejFDHQOXySZDQbnMuPhvZC4Bfbq/BWdBxp9Ls4w==" saltValue="Q+V8rXhHsE4u/j5xUQJeAg==" spinCount="100000" sqref="G104" name="Диапазон1_1_2_2"/>
    <protectedRange algorithmName="SHA-512" hashValue="20tZejZtY/ZGRcGLZm0ZbWfCu51ejQGMqdRYwv0b9rb/5Q/ejFDHQOXySZDQbnMuPhvZC4Bfbq/BWdBxp9Ls4w==" saltValue="Q+V8rXhHsE4u/j5xUQJeAg==" spinCount="100000" sqref="D104:E104" name="Диапазон1_2_2_2"/>
    <protectedRange algorithmName="SHA-512" hashValue="20tZejZtY/ZGRcGLZm0ZbWfCu51ejQGMqdRYwv0b9rb/5Q/ejFDHQOXySZDQbnMuPhvZC4Bfbq/BWdBxp9Ls4w==" saltValue="Q+V8rXhHsE4u/j5xUQJeAg==" spinCount="100000" sqref="J104" name="Диапазон1_4_1_1"/>
    <protectedRange algorithmName="SHA-512" hashValue="20tZejZtY/ZGRcGLZm0ZbWfCu51ejQGMqdRYwv0b9rb/5Q/ejFDHQOXySZDQbnMuPhvZC4Bfbq/BWdBxp9Ls4w==" saltValue="Q+V8rXhHsE4u/j5xUQJeAg==" spinCount="100000" sqref="B104" name="Диапазон1_9_1_1"/>
    <protectedRange algorithmName="SHA-512" hashValue="20tZejZtY/ZGRcGLZm0ZbWfCu51ejQGMqdRYwv0b9rb/5Q/ejFDHQOXySZDQbnMuPhvZC4Bfbq/BWdBxp9Ls4w==" saltValue="Q+V8rXhHsE4u/j5xUQJeAg==" spinCount="100000" sqref="L104 N104" name="Диапазон1_4_4"/>
    <protectedRange algorithmName="SHA-512" hashValue="20tZejZtY/ZGRcGLZm0ZbWfCu51ejQGMqdRYwv0b9rb/5Q/ejFDHQOXySZDQbnMuPhvZC4Bfbq/BWdBxp9Ls4w==" saltValue="Q+V8rXhHsE4u/j5xUQJeAg==" spinCount="100000" sqref="M104" name="Диапазон1_1_1_1"/>
    <protectedRange algorithmName="SHA-512" hashValue="20tZejZtY/ZGRcGLZm0ZbWfCu51ejQGMqdRYwv0b9rb/5Q/ejFDHQOXySZDQbnMuPhvZC4Bfbq/BWdBxp9Ls4w==" saltValue="Q+V8rXhHsE4u/j5xUQJeAg==" spinCount="100000" sqref="C104" name="Диапазон1_2_1_3"/>
    <protectedRange algorithmName="SHA-512" hashValue="20tZejZtY/ZGRcGLZm0ZbWfCu51ejQGMqdRYwv0b9rb/5Q/ejFDHQOXySZDQbnMuPhvZC4Bfbq/BWdBxp9Ls4w==" saltValue="Q+V8rXhHsE4u/j5xUQJeAg==" spinCount="100000" sqref="K104" name="Диапазон1_7_1_1"/>
    <protectedRange algorithmName="SHA-512" hashValue="20tZejZtY/ZGRcGLZm0ZbWfCu51ejQGMqdRYwv0b9rb/5Q/ejFDHQOXySZDQbnMuPhvZC4Bfbq/BWdBxp9Ls4w==" saltValue="Q+V8rXhHsE4u/j5xUQJeAg==" spinCount="100000" sqref="I104" name="Диапазон1_1_2_1_1"/>
    <protectedRange algorithmName="SHA-512" hashValue="20tZejZtY/ZGRcGLZm0ZbWfCu51ejQGMqdRYwv0b9rb/5Q/ejFDHQOXySZDQbnMuPhvZC4Bfbq/BWdBxp9Ls4w==" saltValue="Q+V8rXhHsE4u/j5xUQJeAg==" spinCount="100000" sqref="F104 H104" name="Диапазон1_5_2_1_1"/>
    <protectedRange algorithmName="SHA-512" hashValue="20tZejZtY/ZGRcGLZm0ZbWfCu51ejQGMqdRYwv0b9rb/5Q/ejFDHQOXySZDQbnMuPhvZC4Bfbq/BWdBxp9Ls4w==" saltValue="Q+V8rXhHsE4u/j5xUQJeAg==" spinCount="100000" sqref="S104" name="Диапазон1_9_2"/>
    <protectedRange algorithmName="SHA-512" hashValue="20tZejZtY/ZGRcGLZm0ZbWfCu51ejQGMqdRYwv0b9rb/5Q/ejFDHQOXySZDQbnMuPhvZC4Bfbq/BWdBxp9Ls4w==" saltValue="Q+V8rXhHsE4u/j5xUQJeAg==" spinCount="100000" sqref="L9:L11 L14:L16 N9:N11 P9:R9 N14:N16 Q14:Q33 Q43 Q46 Q48:Q54 Q10:Q11 R10:R84 R106:R120 P10:P103" name="Диапазон1_9"/>
    <protectedRange algorithmName="SHA-512" hashValue="20tZejZtY/ZGRcGLZm0ZbWfCu51ejQGMqdRYwv0b9rb/5Q/ejFDHQOXySZDQbnMuPhvZC4Bfbq/BWdBxp9Ls4w==" saltValue="Q+V8rXhHsE4u/j5xUQJeAg==" spinCount="100000" sqref="M9:M11 M14:M16" name="Диапазон1_1_5"/>
    <protectedRange algorithmName="SHA-512" hashValue="20tZejZtY/ZGRcGLZm0ZbWfCu51ejQGMqdRYwv0b9rb/5Q/ejFDHQOXySZDQbnMuPhvZC4Bfbq/BWdBxp9Ls4w==" saltValue="Q+V8rXhHsE4u/j5xUQJeAg==" spinCount="100000" sqref="O16 O9:O11" name="Диапазон1_14_3"/>
    <protectedRange algorithmName="SHA-512" hashValue="20tZejZtY/ZGRcGLZm0ZbWfCu51ejQGMqdRYwv0b9rb/5Q/ejFDHQOXySZDQbnMuPhvZC4Bfbq/BWdBxp9Ls4w==" saltValue="Q+V8rXhHsE4u/j5xUQJeAg==" spinCount="100000" sqref="D9:D11" name="Диапазон1_17_1"/>
    <protectedRange algorithmName="SHA-512" hashValue="20tZejZtY/ZGRcGLZm0ZbWfCu51ejQGMqdRYwv0b9rb/5Q/ejFDHQOXySZDQbnMuPhvZC4Bfbq/BWdBxp9Ls4w==" saltValue="Q+V8rXhHsE4u/j5xUQJeAg==" spinCount="100000" sqref="C9:C11 C14:C16" name="Диапазон1_2_5"/>
    <protectedRange algorithmName="SHA-512" hashValue="20tZejZtY/ZGRcGLZm0ZbWfCu51ejQGMqdRYwv0b9rb/5Q/ejFDHQOXySZDQbnMuPhvZC4Bfbq/BWdBxp9Ls4w==" saltValue="Q+V8rXhHsE4u/j5xUQJeAg==" spinCount="100000" sqref="J9:J11 J14:J15 J29:J31" name="Диапазон1_6_1"/>
    <protectedRange algorithmName="SHA-512" hashValue="20tZejZtY/ZGRcGLZm0ZbWfCu51ejQGMqdRYwv0b9rb/5Q/ejFDHQOXySZDQbnMuPhvZC4Bfbq/BWdBxp9Ls4w==" saltValue="Q+V8rXhHsE4u/j5xUQJeAg==" spinCount="100000" sqref="K9:K11 K14:K16" name="Диапазон1_7_2"/>
    <protectedRange algorithmName="SHA-512" hashValue="20tZejZtY/ZGRcGLZm0ZbWfCu51ejQGMqdRYwv0b9rb/5Q/ejFDHQOXySZDQbnMuPhvZC4Bfbq/BWdBxp9Ls4w==" saltValue="Q+V8rXhHsE4u/j5xUQJeAg==" spinCount="100000" sqref="I9:I11 I14:I16 G9:G33" name="Диапазон1_1_2_3"/>
    <protectedRange algorithmName="SHA-512" hashValue="20tZejZtY/ZGRcGLZm0ZbWfCu51ejQGMqdRYwv0b9rb/5Q/ejFDHQOXySZDQbnMuPhvZC4Bfbq/BWdBxp9Ls4w==" saltValue="Q+V8rXhHsE4u/j5xUQJeAg==" spinCount="100000" sqref="F9:F11 H9:H11 F14:F16 H14:H16" name="Диапазон1_5_2_2"/>
    <protectedRange algorithmName="SHA-512" hashValue="20tZejZtY/ZGRcGLZm0ZbWfCu51ejQGMqdRYwv0b9rb/5Q/ejFDHQOXySZDQbnMuPhvZC4Bfbq/BWdBxp9Ls4w==" saltValue="Q+V8rXhHsE4u/j5xUQJeAg==" spinCount="100000" sqref="E14:E16 E18" name="Диапазон1_8_2"/>
    <protectedRange algorithmName="SHA-512" hashValue="20tZejZtY/ZGRcGLZm0ZbWfCu51ejQGMqdRYwv0b9rb/5Q/ejFDHQOXySZDQbnMuPhvZC4Bfbq/BWdBxp9Ls4w==" saltValue="Q+V8rXhHsE4u/j5xUQJeAg==" spinCount="100000" sqref="D14:D16" name="Диапазон1_2_3_2"/>
    <protectedRange algorithmName="SHA-512" hashValue="20tZejZtY/ZGRcGLZm0ZbWfCu51ejQGMqdRYwv0b9rb/5Q/ejFDHQOXySZDQbnMuPhvZC4Bfbq/BWdBxp9Ls4w==" saltValue="Q+V8rXhHsE4u/j5xUQJeAg==" spinCount="100000" sqref="B9:B11 B14:B16" name="Диапазон1_2_1_1_2"/>
    <protectedRange algorithmName="SHA-512" hashValue="20tZejZtY/ZGRcGLZm0ZbWfCu51ejQGMqdRYwv0b9rb/5Q/ejFDHQOXySZDQbnMuPhvZC4Bfbq/BWdBxp9Ls4w==" saltValue="Q+V8rXhHsE4u/j5xUQJeAg==" spinCount="100000" sqref="O19:O33 O43 O46 O48:O54" name="Диапазон1_1_3_1"/>
    <protectedRange algorithmName="SHA-512" hashValue="20tZejZtY/ZGRcGLZm0ZbWfCu51ejQGMqdRYwv0b9rb/5Q/ejFDHQOXySZDQbnMuPhvZC4Bfbq/BWdBxp9Ls4w==" saltValue="Q+V8rXhHsE4u/j5xUQJeAg==" spinCount="100000" sqref="D19:E33" name="Диапазон1_2_2_3"/>
    <protectedRange algorithmName="SHA-512" hashValue="20tZejZtY/ZGRcGLZm0ZbWfCu51ejQGMqdRYwv0b9rb/5Q/ejFDHQOXySZDQbnMuPhvZC4Bfbq/BWdBxp9Ls4w==" saltValue="Q+V8rXhHsE4u/j5xUQJeAg==" spinCount="100000" sqref="J19:J28 J32:J33" name="Диапазон1_4_1_2"/>
    <protectedRange algorithmName="SHA-512" hashValue="20tZejZtY/ZGRcGLZm0ZbWfCu51ejQGMqdRYwv0b9rb/5Q/ejFDHQOXySZDQbnMuPhvZC4Bfbq/BWdBxp9Ls4w==" saltValue="Q+V8rXhHsE4u/j5xUQJeAg==" spinCount="100000" sqref="B19:B33" name="Диапазон1_9_1_2"/>
    <protectedRange algorithmName="SHA-512" hashValue="20tZejZtY/ZGRcGLZm0ZbWfCu51ejQGMqdRYwv0b9rb/5Q/ejFDHQOXySZDQbnMuPhvZC4Bfbq/BWdBxp9Ls4w==" saltValue="Q+V8rXhHsE4u/j5xUQJeAg==" spinCount="100000" sqref="L17:L33 N17:N33" name="Диапазон1_4_2"/>
    <protectedRange algorithmName="SHA-512" hashValue="20tZejZtY/ZGRcGLZm0ZbWfCu51ejQGMqdRYwv0b9rb/5Q/ejFDHQOXySZDQbnMuPhvZC4Bfbq/BWdBxp9Ls4w==" saltValue="Q+V8rXhHsE4u/j5xUQJeAg==" spinCount="100000" sqref="M17:M33" name="Диапазон1_1_1_2"/>
    <protectedRange algorithmName="SHA-512" hashValue="20tZejZtY/ZGRcGLZm0ZbWfCu51ejQGMqdRYwv0b9rb/5Q/ejFDHQOXySZDQbnMuPhvZC4Bfbq/BWdBxp9Ls4w==" saltValue="Q+V8rXhHsE4u/j5xUQJeAg==" spinCount="100000" sqref="O17:O18" name="Диапазон1_14_1_1"/>
    <protectedRange algorithmName="SHA-512" hashValue="20tZejZtY/ZGRcGLZm0ZbWfCu51ejQGMqdRYwv0b9rb/5Q/ejFDHQOXySZDQbnMuPhvZC4Bfbq/BWdBxp9Ls4w==" saltValue="Q+V8rXhHsE4u/j5xUQJeAg==" spinCount="100000" sqref="C17:C33" name="Диапазон1_2_1_4"/>
    <protectedRange algorithmName="SHA-512" hashValue="20tZejZtY/ZGRcGLZm0ZbWfCu51ejQGMqdRYwv0b9rb/5Q/ejFDHQOXySZDQbnMuPhvZC4Bfbq/BWdBxp9Ls4w==" saltValue="Q+V8rXhHsE4u/j5xUQJeAg==" spinCount="100000" sqref="K17:K33" name="Диапазон1_7_1_2"/>
    <protectedRange algorithmName="SHA-512" hashValue="20tZejZtY/ZGRcGLZm0ZbWfCu51ejQGMqdRYwv0b9rb/5Q/ejFDHQOXySZDQbnMuPhvZC4Bfbq/BWdBxp9Ls4w==" saltValue="Q+V8rXhHsE4u/j5xUQJeAg==" spinCount="100000" sqref="I17:I33" name="Диапазон1_1_2_1_2"/>
    <protectedRange algorithmName="SHA-512" hashValue="20tZejZtY/ZGRcGLZm0ZbWfCu51ejQGMqdRYwv0b9rb/5Q/ejFDHQOXySZDQbnMuPhvZC4Bfbq/BWdBxp9Ls4w==" saltValue="Q+V8rXhHsE4u/j5xUQJeAg==" spinCount="100000" sqref="H17:H33 F17:F33" name="Диапазон1_5_2_1_2"/>
    <protectedRange algorithmName="SHA-512" hashValue="20tZejZtY/ZGRcGLZm0ZbWfCu51ejQGMqdRYwv0b9rb/5Q/ejFDHQOXySZDQbnMuPhvZC4Bfbq/BWdBxp9Ls4w==" saltValue="Q+V8rXhHsE4u/j5xUQJeAg==" spinCount="100000" sqref="E17" name="Диапазон1_8_1_1"/>
    <protectedRange algorithmName="SHA-512" hashValue="20tZejZtY/ZGRcGLZm0ZbWfCu51ejQGMqdRYwv0b9rb/5Q/ejFDHQOXySZDQbnMuPhvZC4Bfbq/BWdBxp9Ls4w==" saltValue="Q+V8rXhHsE4u/j5xUQJeAg==" spinCount="100000" sqref="D17:D18" name="Диапазон1_2_3_1_1"/>
    <protectedRange algorithmName="SHA-512" hashValue="20tZejZtY/ZGRcGLZm0ZbWfCu51ejQGMqdRYwv0b9rb/5Q/ejFDHQOXySZDQbnMuPhvZC4Bfbq/BWdBxp9Ls4w==" saltValue="Q+V8rXhHsE4u/j5xUQJeAg==" spinCount="100000" sqref="B17:B18" name="Диапазон1_2_1_1_1_1"/>
    <protectedRange algorithmName="SHA-512" hashValue="20tZejZtY/ZGRcGLZm0ZbWfCu51ejQGMqdRYwv0b9rb/5Q/ejFDHQOXySZDQbnMuPhvZC4Bfbq/BWdBxp9Ls4w==" saltValue="Q+V8rXhHsE4u/j5xUQJeAg==" spinCount="100000" sqref="N12:N13" name="Диапазон1_4_3_1"/>
    <protectedRange algorithmName="SHA-512" hashValue="20tZejZtY/ZGRcGLZm0ZbWfCu51ejQGMqdRYwv0b9rb/5Q/ejFDHQOXySZDQbnMuPhvZC4Bfbq/BWdBxp9Ls4w==" saltValue="Q+V8rXhHsE4u/j5xUQJeAg==" spinCount="100000" sqref="M12:M13" name="Диапазон1_1_4_2"/>
    <protectedRange algorithmName="SHA-512" hashValue="20tZejZtY/ZGRcGLZm0ZbWfCu51ejQGMqdRYwv0b9rb/5Q/ejFDHQOXySZDQbnMuPhvZC4Bfbq/BWdBxp9Ls4w==" saltValue="Q+V8rXhHsE4u/j5xUQJeAg==" spinCount="100000" sqref="H12:H13" name="Диапазон1_5_2_1_1_2_1_1"/>
    <protectedRange algorithmName="SHA-512" hashValue="20tZejZtY/ZGRcGLZm0ZbWfCu51ejQGMqdRYwv0b9rb/5Q/ejFDHQOXySZDQbnMuPhvZC4Bfbq/BWdBxp9Ls4w==" saltValue="Q+V8rXhHsE4u/j5xUQJeAg==" spinCount="100000" sqref="Q12:Q13" name="Диапазон1_2_4_1"/>
    <protectedRange algorithmName="SHA-512" hashValue="20tZejZtY/ZGRcGLZm0ZbWfCu51ejQGMqdRYwv0b9rb/5Q/ejFDHQOXySZDQbnMuPhvZC4Bfbq/BWdBxp9Ls4w==" saltValue="Q+V8rXhHsE4u/j5xUQJeAg==" spinCount="100000" sqref="O12" name="Диапазон1_1_4_1_1"/>
    <protectedRange algorithmName="SHA-512" hashValue="20tZejZtY/ZGRcGLZm0ZbWfCu51ejQGMqdRYwv0b9rb/5Q/ejFDHQOXySZDQbnMuPhvZC4Bfbq/BWdBxp9Ls4w==" saltValue="Q+V8rXhHsE4u/j5xUQJeAg==" spinCount="100000" sqref="Q38:Q42 Q45" name="Диапазон1_5_1"/>
    <protectedRange algorithmName="SHA-512" hashValue="20tZejZtY/ZGRcGLZm0ZbWfCu51ejQGMqdRYwv0b9rb/5Q/ejFDHQOXySZDQbnMuPhvZC4Bfbq/BWdBxp9Ls4w==" saltValue="Q+V8rXhHsE4u/j5xUQJeAg==" spinCount="100000" sqref="G38:G55" name="Диапазон1_1_2_3_1"/>
    <protectedRange algorithmName="SHA-512" hashValue="20tZejZtY/ZGRcGLZm0ZbWfCu51ejQGMqdRYwv0b9rb/5Q/ejFDHQOXySZDQbnMuPhvZC4Bfbq/BWdBxp9Ls4w==" saltValue="Q+V8rXhHsE4u/j5xUQJeAg==" spinCount="100000" sqref="O38:O42 O45" name="Диапазон1_1_3_3"/>
    <protectedRange algorithmName="SHA-512" hashValue="20tZejZtY/ZGRcGLZm0ZbWfCu51ejQGMqdRYwv0b9rb/5Q/ejFDHQOXySZDQbnMuPhvZC4Bfbq/BWdBxp9Ls4w==" saltValue="Q+V8rXhHsE4u/j5xUQJeAg==" spinCount="100000" sqref="D38:E54" name="Диапазон1_2_2_2_1"/>
    <protectedRange algorithmName="SHA-512" hashValue="20tZejZtY/ZGRcGLZm0ZbWfCu51ejQGMqdRYwv0b9rb/5Q/ejFDHQOXySZDQbnMuPhvZC4Bfbq/BWdBxp9Ls4w==" saltValue="Q+V8rXhHsE4u/j5xUQJeAg==" spinCount="100000" sqref="J38:J54" name="Диапазон1_4_1_2_1"/>
    <protectedRange algorithmName="SHA-512" hashValue="20tZejZtY/ZGRcGLZm0ZbWfCu51ejQGMqdRYwv0b9rb/5Q/ejFDHQOXySZDQbnMuPhvZC4Bfbq/BWdBxp9Ls4w==" saltValue="Q+V8rXhHsE4u/j5xUQJeAg==" spinCount="100000" sqref="B38:B54" name="Диапазон1_9_1_2_1"/>
    <protectedRange algorithmName="SHA-512" hashValue="20tZejZtY/ZGRcGLZm0ZbWfCu51ejQGMqdRYwv0b9rb/5Q/ejFDHQOXySZDQbnMuPhvZC4Bfbq/BWdBxp9Ls4w==" saltValue="Q+V8rXhHsE4u/j5xUQJeAg==" spinCount="100000" sqref="N38:N55 L38:L55" name="Диапазон1_4_4_1"/>
    <protectedRange algorithmName="SHA-512" hashValue="20tZejZtY/ZGRcGLZm0ZbWfCu51ejQGMqdRYwv0b9rb/5Q/ejFDHQOXySZDQbnMuPhvZC4Bfbq/BWdBxp9Ls4w==" saltValue="Q+V8rXhHsE4u/j5xUQJeAg==" spinCount="100000" sqref="M38:M55" name="Диапазон1_1_1_1_1"/>
    <protectedRange algorithmName="SHA-512" hashValue="20tZejZtY/ZGRcGLZm0ZbWfCu51ejQGMqdRYwv0b9rb/5Q/ejFDHQOXySZDQbnMuPhvZC4Bfbq/BWdBxp9Ls4w==" saltValue="Q+V8rXhHsE4u/j5xUQJeAg==" spinCount="100000" sqref="C38:C54" name="Диапазон1_2_1_2_1"/>
    <protectedRange algorithmName="SHA-512" hashValue="20tZejZtY/ZGRcGLZm0ZbWfCu51ejQGMqdRYwv0b9rb/5Q/ejFDHQOXySZDQbnMuPhvZC4Bfbq/BWdBxp9Ls4w==" saltValue="Q+V8rXhHsE4u/j5xUQJeAg==" spinCount="100000" sqref="K38:K55" name="Диапазон1_7_1_1_1"/>
    <protectedRange algorithmName="SHA-512" hashValue="20tZejZtY/ZGRcGLZm0ZbWfCu51ejQGMqdRYwv0b9rb/5Q/ejFDHQOXySZDQbnMuPhvZC4Bfbq/BWdBxp9Ls4w==" saltValue="Q+V8rXhHsE4u/j5xUQJeAg==" spinCount="100000" sqref="I38:I55" name="Диапазон1_1_2_1_1_1"/>
    <protectedRange algorithmName="SHA-512" hashValue="20tZejZtY/ZGRcGLZm0ZbWfCu51ejQGMqdRYwv0b9rb/5Q/ejFDHQOXySZDQbnMuPhvZC4Bfbq/BWdBxp9Ls4w==" saltValue="Q+V8rXhHsE4u/j5xUQJeAg==" spinCount="100000" sqref="F38:F55 H38:H55" name="Диапазон1_5_2_1_2_1"/>
    <protectedRange algorithmName="SHA-512" hashValue="20tZejZtY/ZGRcGLZm0ZbWfCu51ejQGMqdRYwv0b9rb/5Q/ejFDHQOXySZDQbnMuPhvZC4Bfbq/BWdBxp9Ls4w==" saltValue="Q+V8rXhHsE4u/j5xUQJeAg==" spinCount="100000" sqref="Q34:Q37 Q44 Q47" name="Диапазон1_10_1"/>
    <protectedRange algorithmName="SHA-512" hashValue="20tZejZtY/ZGRcGLZm0ZbWfCu51ejQGMqdRYwv0b9rb/5Q/ejFDHQOXySZDQbnMuPhvZC4Bfbq/BWdBxp9Ls4w==" saltValue="Q+V8rXhHsE4u/j5xUQJeAg==" spinCount="100000" sqref="G34:G37" name="Диапазон1_1_2_4"/>
    <protectedRange algorithmName="SHA-512" hashValue="20tZejZtY/ZGRcGLZm0ZbWfCu51ejQGMqdRYwv0b9rb/5Q/ejFDHQOXySZDQbnMuPhvZC4Bfbq/BWdBxp9Ls4w==" saltValue="Q+V8rXhHsE4u/j5xUQJeAg==" spinCount="100000" sqref="O34:O37 O44 O47" name="Диапазон1_1_3_4"/>
    <protectedRange algorithmName="SHA-512" hashValue="20tZejZtY/ZGRcGLZm0ZbWfCu51ejQGMqdRYwv0b9rb/5Q/ejFDHQOXySZDQbnMuPhvZC4Bfbq/BWdBxp9Ls4w==" saltValue="Q+V8rXhHsE4u/j5xUQJeAg==" spinCount="100000" sqref="D34:E37" name="Диапазон1_2_2_3_1"/>
    <protectedRange algorithmName="SHA-512" hashValue="20tZejZtY/ZGRcGLZm0ZbWfCu51ejQGMqdRYwv0b9rb/5Q/ejFDHQOXySZDQbnMuPhvZC4Bfbq/BWdBxp9Ls4w==" saltValue="Q+V8rXhHsE4u/j5xUQJeAg==" spinCount="100000" sqref="J34:J37" name="Диапазон1_4_1_3"/>
    <protectedRange algorithmName="SHA-512" hashValue="20tZejZtY/ZGRcGLZm0ZbWfCu51ejQGMqdRYwv0b9rb/5Q/ejFDHQOXySZDQbnMuPhvZC4Bfbq/BWdBxp9Ls4w==" saltValue="Q+V8rXhHsE4u/j5xUQJeAg==" spinCount="100000" sqref="B34:B37" name="Диапазон1_9_1_3"/>
    <protectedRange algorithmName="SHA-512" hashValue="20tZejZtY/ZGRcGLZm0ZbWfCu51ejQGMqdRYwv0b9rb/5Q/ejFDHQOXySZDQbnMuPhvZC4Bfbq/BWdBxp9Ls4w==" saltValue="Q+V8rXhHsE4u/j5xUQJeAg==" spinCount="100000" sqref="L34:L37 N34:N37" name="Диапазон1_4_5"/>
    <protectedRange algorithmName="SHA-512" hashValue="20tZejZtY/ZGRcGLZm0ZbWfCu51ejQGMqdRYwv0b9rb/5Q/ejFDHQOXySZDQbnMuPhvZC4Bfbq/BWdBxp9Ls4w==" saltValue="Q+V8rXhHsE4u/j5xUQJeAg==" spinCount="100000" sqref="M34:M37" name="Диапазон1_1_1_2_1"/>
    <protectedRange algorithmName="SHA-512" hashValue="20tZejZtY/ZGRcGLZm0ZbWfCu51ejQGMqdRYwv0b9rb/5Q/ejFDHQOXySZDQbnMuPhvZC4Bfbq/BWdBxp9Ls4w==" saltValue="Q+V8rXhHsE4u/j5xUQJeAg==" spinCount="100000" sqref="C34:C37" name="Диапазон1_2_1_3_1"/>
    <protectedRange algorithmName="SHA-512" hashValue="20tZejZtY/ZGRcGLZm0ZbWfCu51ejQGMqdRYwv0b9rb/5Q/ejFDHQOXySZDQbnMuPhvZC4Bfbq/BWdBxp9Ls4w==" saltValue="Q+V8rXhHsE4u/j5xUQJeAg==" spinCount="100000" sqref="K34:K37" name="Диапазон1_7_1_2_1"/>
    <protectedRange algorithmName="SHA-512" hashValue="20tZejZtY/ZGRcGLZm0ZbWfCu51ejQGMqdRYwv0b9rb/5Q/ejFDHQOXySZDQbnMuPhvZC4Bfbq/BWdBxp9Ls4w==" saltValue="Q+V8rXhHsE4u/j5xUQJeAg==" spinCount="100000" sqref="I34:I37" name="Диапазон1_1_2_1_2_1"/>
    <protectedRange algorithmName="SHA-512" hashValue="20tZejZtY/ZGRcGLZm0ZbWfCu51ejQGMqdRYwv0b9rb/5Q/ejFDHQOXySZDQbnMuPhvZC4Bfbq/BWdBxp9Ls4w==" saltValue="Q+V8rXhHsE4u/j5xUQJeAg==" spinCount="100000" sqref="H34:H37 F34:F37" name="Диапазон1_5_2_1_3"/>
    <protectedRange algorithmName="SHA-512" hashValue="20tZejZtY/ZGRcGLZm0ZbWfCu51ejQGMqdRYwv0b9rb/5Q/ejFDHQOXySZDQbnMuPhvZC4Bfbq/BWdBxp9Ls4w==" saltValue="Q+V8rXhHsE4u/j5xUQJeAg==" spinCount="100000" sqref="G105" name="Диапазон1_1_2_6_2"/>
    <protectedRange algorithmName="SHA-512" hashValue="20tZejZtY/ZGRcGLZm0ZbWfCu51ejQGMqdRYwv0b9rb/5Q/ejFDHQOXySZDQbnMuPhvZC4Bfbq/BWdBxp9Ls4w==" saltValue="Q+V8rXhHsE4u/j5xUQJeAg==" spinCount="100000" sqref="I105" name="Диапазон1_1_3_5_2"/>
    <protectedRange algorithmName="SHA-512" hashValue="20tZejZtY/ZGRcGLZm0ZbWfCu51ejQGMqdRYwv0b9rb/5Q/ejFDHQOXySZDQbnMuPhvZC4Bfbq/BWdBxp9Ls4w==" saltValue="Q+V8rXhHsE4u/j5xUQJeAg==" spinCount="100000" sqref="H105 C105:E105" name="Диапазон1_2_2_5_2"/>
    <protectedRange algorithmName="SHA-512" hashValue="20tZejZtY/ZGRcGLZm0ZbWfCu51ejQGMqdRYwv0b9rb/5Q/ejFDHQOXySZDQbnMuPhvZC4Bfbq/BWdBxp9Ls4w==" saltValue="Q+V8rXhHsE4u/j5xUQJeAg==" spinCount="100000" sqref="J105" name="Диапазон1_4_1_5_2"/>
    <protectedRange algorithmName="SHA-512" hashValue="20tZejZtY/ZGRcGLZm0ZbWfCu51ejQGMqdRYwv0b9rb/5Q/ejFDHQOXySZDQbnMuPhvZC4Bfbq/BWdBxp9Ls4w==" saltValue="Q+V8rXhHsE4u/j5xUQJeAg==" spinCount="100000" sqref="B105" name="Диапазон1_9_1_5_2"/>
    <protectedRange algorithmName="SHA-512" hashValue="20tZejZtY/ZGRcGLZm0ZbWfCu51ejQGMqdRYwv0b9rb/5Q/ejFDHQOXySZDQbnMuPhvZC4Bfbq/BWdBxp9Ls4w==" saltValue="Q+V8rXhHsE4u/j5xUQJeAg==" spinCount="100000" sqref="K105:N105" name="Диапазон1_7_1_4_1_1"/>
    <protectedRange algorithmName="SHA-512" hashValue="20tZejZtY/ZGRcGLZm0ZbWfCu51ejQGMqdRYwv0b9rb/5Q/ejFDHQOXySZDQbnMuPhvZC4Bfbq/BWdBxp9Ls4w==" saltValue="Q+V8rXhHsE4u/j5xUQJeAg==" spinCount="100000" sqref="F105" name="Диапазон1_5_2_1_5_2"/>
    <protectedRange algorithmName="SHA-512" hashValue="20tZejZtY/ZGRcGLZm0ZbWfCu51ejQGMqdRYwv0b9rb/5Q/ejFDHQOXySZDQbnMuPhvZC4Bfbq/BWdBxp9Ls4w==" saltValue="Q+V8rXhHsE4u/j5xUQJeAg==" spinCount="100000" sqref="P105:R105" name="Диапазон1_12_1"/>
    <protectedRange algorithmName="SHA-512" hashValue="20tZejZtY/ZGRcGLZm0ZbWfCu51ejQGMqdRYwv0b9rb/5Q/ejFDHQOXySZDQbnMuPhvZC4Bfbq/BWdBxp9Ls4w==" saltValue="Q+V8rXhHsE4u/j5xUQJeAg==" spinCount="100000" sqref="O105" name="Диапазон1_1_3_5_3"/>
    <protectedRange algorithmName="SHA-512" hashValue="20tZejZtY/ZGRcGLZm0ZbWfCu51ejQGMqdRYwv0b9rb/5Q/ejFDHQOXySZDQbnMuPhvZC4Bfbq/BWdBxp9Ls4w==" saltValue="Q+V8rXhHsE4u/j5xUQJeAg==" spinCount="100000" sqref="Q85:Q103" name="Диапазон1_1"/>
    <protectedRange algorithmName="SHA-512" hashValue="20tZejZtY/ZGRcGLZm0ZbWfCu51ejQGMqdRYwv0b9rb/5Q/ejFDHQOXySZDQbnMuPhvZC4Bfbq/BWdBxp9Ls4w==" saltValue="Q+V8rXhHsE4u/j5xUQJeAg==" spinCount="100000" sqref="G85:G103" name="Диапазон1_1_2_1"/>
    <protectedRange algorithmName="SHA-512" hashValue="20tZejZtY/ZGRcGLZm0ZbWfCu51ejQGMqdRYwv0b9rb/5Q/ejFDHQOXySZDQbnMuPhvZC4Bfbq/BWdBxp9Ls4w==" saltValue="Q+V8rXhHsE4u/j5xUQJeAg==" spinCount="100000" sqref="O85:O103" name="Диапазон1_1_3_2"/>
    <protectedRange algorithmName="SHA-512" hashValue="20tZejZtY/ZGRcGLZm0ZbWfCu51ejQGMqdRYwv0b9rb/5Q/ejFDHQOXySZDQbnMuPhvZC4Bfbq/BWdBxp9Ls4w==" saltValue="Q+V8rXhHsE4u/j5xUQJeAg==" spinCount="100000" sqref="D85:E103" name="Диапазон1_2_2_4"/>
    <protectedRange algorithmName="SHA-512" hashValue="20tZejZtY/ZGRcGLZm0ZbWfCu51ejQGMqdRYwv0b9rb/5Q/ejFDHQOXySZDQbnMuPhvZC4Bfbq/BWdBxp9Ls4w==" saltValue="Q+V8rXhHsE4u/j5xUQJeAg==" spinCount="100000" sqref="J85:J103" name="Диапазон1_4_1_4"/>
    <protectedRange algorithmName="SHA-512" hashValue="20tZejZtY/ZGRcGLZm0ZbWfCu51ejQGMqdRYwv0b9rb/5Q/ejFDHQOXySZDQbnMuPhvZC4Bfbq/BWdBxp9Ls4w==" saltValue="Q+V8rXhHsE4u/j5xUQJeAg==" spinCount="100000" sqref="B85:B103" name="Диапазон1_9_1_4"/>
    <protectedRange algorithmName="SHA-512" hashValue="20tZejZtY/ZGRcGLZm0ZbWfCu51ejQGMqdRYwv0b9rb/5Q/ejFDHQOXySZDQbnMuPhvZC4Bfbq/BWdBxp9Ls4w==" saltValue="Q+V8rXhHsE4u/j5xUQJeAg==" spinCount="100000" sqref="N85:N103 L85:L103" name="Диапазон1_4_3"/>
    <protectedRange algorithmName="SHA-512" hashValue="20tZejZtY/ZGRcGLZm0ZbWfCu51ejQGMqdRYwv0b9rb/5Q/ejFDHQOXySZDQbnMuPhvZC4Bfbq/BWdBxp9Ls4w==" saltValue="Q+V8rXhHsE4u/j5xUQJeAg==" spinCount="100000" sqref="M85:M103" name="Диапазон1_1_1_3"/>
    <protectedRange algorithmName="SHA-512" hashValue="20tZejZtY/ZGRcGLZm0ZbWfCu51ejQGMqdRYwv0b9rb/5Q/ejFDHQOXySZDQbnMuPhvZC4Bfbq/BWdBxp9Ls4w==" saltValue="Q+V8rXhHsE4u/j5xUQJeAg==" spinCount="100000" sqref="K85:K103" name="Диапазон1_7_1_3"/>
    <protectedRange algorithmName="SHA-512" hashValue="20tZejZtY/ZGRcGLZm0ZbWfCu51ejQGMqdRYwv0b9rb/5Q/ejFDHQOXySZDQbnMuPhvZC4Bfbq/BWdBxp9Ls4w==" saltValue="Q+V8rXhHsE4u/j5xUQJeAg==" spinCount="100000" sqref="H85:H103 F85:F103" name="Диапазон1_5_2_1_4"/>
    <protectedRange algorithmName="SHA-512" hashValue="20tZejZtY/ZGRcGLZm0ZbWfCu51ejQGMqdRYwv0b9rb/5Q/ejFDHQOXySZDQbnMuPhvZC4Bfbq/BWdBxp9Ls4w==" saltValue="Q+V8rXhHsE4u/j5xUQJeAg==" spinCount="100000" sqref="R85:R103" name="Диапазон1_9_3"/>
  </protectedRanges>
  <autoFilter ref="A8:S8" xr:uid="{BE85CF9D-56C6-49A4-9D20-1C978740FDBB}"/>
  <mergeCells count="1">
    <mergeCell ref="B106:B120"/>
  </mergeCells>
  <phoneticPr fontId="18" type="noConversion"/>
  <hyperlinks>
    <hyperlink ref="B55" r:id="rId1" xr:uid="{E775B095-F74D-B741-AEE6-748557F33A88}"/>
    <hyperlink ref="B56" r:id="rId2" xr:uid="{FECAE3E2-0C0E-DD41-B011-24E3E4856B4B}"/>
    <hyperlink ref="B57" r:id="rId3" xr:uid="{8FDD989A-9762-364A-86A6-4CA79DF4D817}"/>
    <hyperlink ref="B58" r:id="rId4" xr:uid="{D90A915D-7558-9D47-B377-278C55E42C61}"/>
    <hyperlink ref="B59" r:id="rId5" xr:uid="{8E2D6BE4-C391-E548-8DB7-24AFA6B0492C}"/>
    <hyperlink ref="B60" r:id="rId6" xr:uid="{A85AC050-654B-2646-9C83-55A820C69803}"/>
    <hyperlink ref="B66" r:id="rId7" xr:uid="{C4739B9D-B90C-0543-B626-5C7BE3CC3545}"/>
    <hyperlink ref="B67" r:id="rId8" xr:uid="{0E2CA499-537B-B043-B47B-84DCE303861E}"/>
    <hyperlink ref="B68" r:id="rId9" xr:uid="{E4A9E140-ADE7-744D-82C9-3AA39D6D06E6}"/>
    <hyperlink ref="B69" r:id="rId10" xr:uid="{5A36F497-8B59-CA45-9CA6-C63ECF7A83AB}"/>
    <hyperlink ref="B71" r:id="rId11" xr:uid="{2345326F-003C-8044-A958-723C82E8EAE4}"/>
    <hyperlink ref="B76" r:id="rId12" xr:uid="{22BD1FAD-1DEF-BD42-8909-19E69F7F95D2}"/>
    <hyperlink ref="B77" r:id="rId13" xr:uid="{8E168C06-0594-3440-AB0E-7394F4A30B91}"/>
    <hyperlink ref="B78" r:id="rId14" xr:uid="{E2042CE8-F639-2D41-9A6E-2F3CA14F9FD8}"/>
    <hyperlink ref="B79" r:id="rId15" xr:uid="{27A5F5FE-182C-624F-99C5-6CEE27D78667}"/>
    <hyperlink ref="B80" r:id="rId16" xr:uid="{5AEB78A4-298E-634F-803B-325AAFA58349}"/>
    <hyperlink ref="B81" r:id="rId17" xr:uid="{19B7AD5D-1473-1A4B-A674-67762572DD9B}"/>
    <hyperlink ref="B61" r:id="rId18" xr:uid="{475EA337-0C66-F740-8F41-E4C120DD22B2}"/>
    <hyperlink ref="B70" r:id="rId19" xr:uid="{8468DF16-EC86-2F4F-8BEF-33CA4D453327}"/>
    <hyperlink ref="B26" r:id="rId20" xr:uid="{CB419B16-2B33-624E-A09D-3C8367F8D253}"/>
    <hyperlink ref="B27" r:id="rId21" xr:uid="{E29CE5F6-7DF3-1142-B63D-47397FAB1263}"/>
    <hyperlink ref="B28" r:id="rId22" xr:uid="{0EF3ACE3-F422-1D4E-AA9A-1422B5FFF93B}"/>
    <hyperlink ref="B25" r:id="rId23" xr:uid="{EDA78549-20B9-CA42-9C7C-3EF54AD3F5F3}"/>
    <hyperlink ref="B24" r:id="rId24" xr:uid="{06DC9E9F-57C7-DF42-98AC-D352667BF5E8}"/>
    <hyperlink ref="B23" r:id="rId25" xr:uid="{C469DAC6-BDD4-9C46-9AE3-992C4E12CB78}"/>
    <hyperlink ref="B22" r:id="rId26" xr:uid="{C4F684C3-DC8D-C54C-B60D-79A9A6865EE1}"/>
    <hyperlink ref="B20" r:id="rId27" xr:uid="{4EE16F29-B4AE-614A-B529-276E434D93D9}"/>
    <hyperlink ref="B21" r:id="rId28" xr:uid="{4084858B-03CE-0743-81BA-5B5241439372}"/>
    <hyperlink ref="B19" r:id="rId29" xr:uid="{C47933F3-5F90-8F46-BA2D-0BFED93DDC4E}"/>
    <hyperlink ref="B9" r:id="rId30" xr:uid="{25DCEA79-B06D-6044-B82A-EC369D954753}"/>
    <hyperlink ref="B10" r:id="rId31" xr:uid="{02C03283-A1EE-AB49-A899-12A40813686B}"/>
    <hyperlink ref="B11" r:id="rId32" xr:uid="{ABE5D950-7D4C-2C4C-92C4-1E2234BFB8A7}"/>
    <hyperlink ref="B12" r:id="rId33" xr:uid="{D3D5D7CE-315D-E049-9385-9A4EC3A3FE1E}"/>
    <hyperlink ref="B13" r:id="rId34" xr:uid="{FB28947D-9B14-054C-A79E-05BF4B1816FC}"/>
    <hyperlink ref="B14" r:id="rId35" xr:uid="{4C70138F-E09D-A949-B419-894C156D0BF2}"/>
    <hyperlink ref="B15" r:id="rId36" xr:uid="{BB0D4F40-5527-9647-8861-E6447DE66351}"/>
    <hyperlink ref="B16" r:id="rId37" xr:uid="{5DB0C248-CF26-5140-91E1-86F21CD5A12D}"/>
    <hyperlink ref="B17" r:id="rId38" xr:uid="{EDF9F5C4-B42C-F84E-871C-1ECCAC1CE1A0}"/>
    <hyperlink ref="B18" r:id="rId39" xr:uid="{9A072AD1-210E-6B44-A97F-C3E2C34A7A56}"/>
    <hyperlink ref="B29" r:id="rId40" xr:uid="{4C428E44-2CF1-6548-9695-CA2C2F090F8E}"/>
    <hyperlink ref="B30" r:id="rId41" xr:uid="{AE76CE9E-E2FA-5F46-BE77-31C16FF085A9}"/>
    <hyperlink ref="B31" r:id="rId42" xr:uid="{8FC44906-6E11-2942-B7DE-8A195E007F39}"/>
    <hyperlink ref="B32" r:id="rId43" xr:uid="{E617F2B2-9EEB-374B-8692-392BC1152607}"/>
    <hyperlink ref="B33" r:id="rId44" xr:uid="{F230EE3E-9D88-0441-8995-79BBBAE55C6D}"/>
    <hyperlink ref="B38" r:id="rId45" display="https://drive.google.com/file/d/1QK6RRFau8-H35b8X0bbGxiiRW5p5iP5P/view?usp=sharing" xr:uid="{9D97F594-F810-EC4F-BB32-3E7BB8E9A371}"/>
    <hyperlink ref="B39" r:id="rId46" display="https://drive.google.com/file/d/1jZDDmLzT0u8iDed_s6yYK-QShJY6lIp_/view?usp=share_link" xr:uid="{4D1605BB-685E-6947-956F-DD00B49B1511}"/>
    <hyperlink ref="B40" r:id="rId47" display="https://drive.google.com/file/d/1DvN_SVpwMOggne3oO_F6Ebyh8nqn_v0_/view?usp=sharing" xr:uid="{5D9688EB-37AE-0343-A5C4-33ABDAF6D84F}"/>
    <hyperlink ref="B41" r:id="rId48" display="https://drive.google.com/file/d/1i2c6rTQzx6XNPd7yJ7N03cS_0hbr7YXh/view?usp=share_link" xr:uid="{21B3BAB8-B94C-F240-B671-6CAB91CFDFEE}"/>
    <hyperlink ref="B42" r:id="rId49" display="https://drive.google.com/file/d/1AoncQWdIihQbhdEUTdP5QF4aXor3r_VB/view?usp=sharing" xr:uid="{45F8BF04-4619-AC46-A4A7-5CF4F5C1650B}"/>
    <hyperlink ref="B34" r:id="rId50" display="https://drive.google.com/file/d/10zVtVzsk61gjpOxyK345lp3-z8CekXyW/view?usp=sharing" xr:uid="{E625DAEC-FBDB-B74D-A9BA-6D3F29FD1306}"/>
    <hyperlink ref="B37" r:id="rId51" display="https://drive.google.com/file/d/1ycLf-P3BZxjI57BB7pnH2-fsM-2HKShU/view?usp=share_link" xr:uid="{81481FCB-0A1C-8144-8CD2-CFD69C098397}"/>
    <hyperlink ref="B35" r:id="rId52" display="https://drive.google.com/file/d/1advJYQYPx79MoLsP7ZXZOr_8FwW2qfuw/view?usp=share_link" xr:uid="{BA0FC434-D713-664C-860B-6498427D325F}"/>
    <hyperlink ref="B36" r:id="rId53" display="https://drive.google.com/file/d/1sMUwcHTAEnvSjLPbkB075Zv5Qcfz29RI/view?usp=share_link" xr:uid="{C1DA1EB8-23E6-C846-B6E1-FCE4A5F2906B}"/>
    <hyperlink ref="B62" r:id="rId54" display="https://drive.google.com/file/d/1ecS9P5s7IrcGwxYk13fUxs4YBBPtZYuk/view?usp=sharing" xr:uid="{EC684769-BB40-F748-92BC-461D487F3BFB}"/>
    <hyperlink ref="B63" r:id="rId55" display="https://drive.google.com/file/d/1KDZHTHQwD16KGLuxqxHcFnsp05ITUOJK/view?usp=sharing" xr:uid="{8E67B871-1B19-5044-ABC4-84735C9CFECB}"/>
    <hyperlink ref="B64" r:id="rId56" display="https://drive.google.com/file/d/1wkazpC2cwFnMzdXp-6qimQwV8mdiXTd3/view?usp=sharing" xr:uid="{84A40EAE-7900-3C47-9719-AD04B053B469}"/>
    <hyperlink ref="B65" r:id="rId57" display="https://drive.google.com/file/d/1FLlNBupcjSkQ3SH0f6Vsyvtj23fAG5-K/view?usp=sharing" xr:uid="{CE26922B-4D9D-A44B-B450-935BE7C95CC9}"/>
    <hyperlink ref="B72" r:id="rId58" display="https://drive.google.com/file/d/1nFtI7bu--IhW_c_po6oCbgrFnxYkMZmv/view?usp=sharing" xr:uid="{261CF4D6-71D6-104B-AB53-7544B67FC329}"/>
    <hyperlink ref="B73" r:id="rId59" display="https://drive.google.com/file/d/1O-r0Smtnr9t53zNNlhB--ueeDrc-dpkd/view?usp=sharing" xr:uid="{4E7CACBE-C5F1-E843-AD0D-67C682FC6CE3}"/>
    <hyperlink ref="B74" r:id="rId60" display="https://drive.google.com/file/d/1tMficYIDQ7vL5DZhwcUsHG2MEvucDTLY/view?usp=sharing" xr:uid="{593408ED-0D70-8D47-AF9D-C2DC8D7907B9}"/>
    <hyperlink ref="B75" r:id="rId61" display="https://drive.google.com/file/d/1IWkRcqgbCE42igM244CcGpCXtGcwmSJ8/view?usp=sharing" xr:uid="{580D3F7F-7B93-434E-8D78-E6222BB97DE1}"/>
    <hyperlink ref="B82" r:id="rId62" display="https://drive.google.com/file/d/11jvvpVYYUhpXZVLmFWh724o0GGCkQdCg/view?usp=sharing" xr:uid="{69380603-ACFA-F747-B125-530864FDAA4A}"/>
    <hyperlink ref="B83" r:id="rId63" display="https://drive.google.com/file/d/16DOWyaHfPapR_E09Yq9ZNgz6I5L9uaoR/view?usp=sharing" xr:uid="{9412C754-F379-034F-A817-90D9A6A1E6F5}"/>
    <hyperlink ref="B84" r:id="rId64" display="https://drive.google.com/file/d/1ApuNaWpH269o67QKkNBFDQtTCM8GtPFB/view?usp=sharing" xr:uid="{D3CA140D-D023-6047-9FC1-86B5B2FFB0EC}"/>
    <hyperlink ref="B43" r:id="rId65" display="https://drive.google.com/file/d/1cXCBfiE8xkXo0CeD9nB9QBaW72k3wQ89/view?usp=share_link" xr:uid="{F49BB957-01A6-CF4D-BFCA-8467D926C2C2}"/>
    <hyperlink ref="B44" r:id="rId66" display="https://drive.google.com/file/d/1JtiS-oz5ZyEh7YPH2-iIQCpYel9TB8pk/view?usp=sharing" xr:uid="{A91DD791-3BA3-1842-ACCF-DA12A0F49853}"/>
    <hyperlink ref="B45" r:id="rId67" display="https://drive.google.com/file/d/1JD443DtIWKJ0jVBmRbasSd4P9YC8QzkJ/view?usp=drive_link" xr:uid="{2D0564DC-8B11-294B-9715-54804A614354}"/>
    <hyperlink ref="B46" r:id="rId68" display="https://drive.google.com/file/d/19jPyU9cz0xE3cXhxQQKAOwglNGh7SlD4/view?usp=sharing" xr:uid="{57DF567E-A1BE-1843-839C-228068256856}"/>
    <hyperlink ref="B47" r:id="rId69" display="https://drive.google.com/file/d/1z0KEVQUH3d_Q-_iugTGiL1y5XQX3oxfj/view?usp=drive_link" xr:uid="{5E522851-BE3A-1F46-B629-E17D123153B5}"/>
    <hyperlink ref="B48" r:id="rId70" display="https://drive.google.com/file/d/1K7nBqedkGDKdjW0-23YyArx3A18yE4ki/view?usp=share_link" xr:uid="{0010BF4A-5418-AA43-9EE7-8D112CE61097}"/>
    <hyperlink ref="B49" r:id="rId71" display="https://drive.google.com/file/d/1KTcnGAELIse7ph8-CMAXR2Y-AaJK0RPP/view?usp=share_link" xr:uid="{D8ECE6C4-48B3-7249-8EE2-32CA0985E119}"/>
    <hyperlink ref="B50" r:id="rId72" display="https://drive.google.com/file/d/1XQMaKcaMiZagTd5meIVZtiw-yEiuXdRE/view?usp=share_link" xr:uid="{FC02CA46-9F18-DA45-920B-335CCF265304}"/>
    <hyperlink ref="B51" r:id="rId73" display="https://drive.google.com/file/d/1381oWSjUlpUmp6ysOYzeRDhLo5SwV65I/view?usp=share_link" xr:uid="{2D793911-8D6B-6D4F-82AA-529EF6C12D7F}"/>
    <hyperlink ref="B52" r:id="rId74" display="https://drive.google.com/file/d/1OLRyllGtnnZrks55o_oejQtn9bH-jSMC/view?usp=share_link" xr:uid="{A5683D32-74BD-F340-8414-6C1804E18B3B}"/>
    <hyperlink ref="B53" r:id="rId75" display="https://drive.google.com/file/d/11OB1vUpi60hcb25AdcPng8wMXG24LF-C/view?usp=share_link" xr:uid="{B1606508-4C0A-064A-BAA2-C884E479DC2B}"/>
    <hyperlink ref="B106" r:id="rId76" display="https://drive.google.com/file/d/1wRJmL9cWiW402cRNpCeANgmmT3hLApR_/view" xr:uid="{ED96F8B6-884D-6B49-84BF-377D94A86B12}"/>
    <hyperlink ref="B54" r:id="rId77" display="https://drive.google.com/file/d/1evghv2gvLlU1Zyu-lKH3ClvSnR5eLnPT/view?usp=share_link" xr:uid="{697B73A8-D9C1-DE41-85DC-472629D67971}"/>
    <hyperlink ref="B105" r:id="rId78" xr:uid="{EEC89EF3-1CA2-944B-B8E6-E605098B5785}"/>
    <hyperlink ref="B85" r:id="rId79" display="https://drive.google.com/file/d/1H5FJc-JJq73SFyfUDdXNELZf0UpKye9s/view?usp=sharing" xr:uid="{7AB282F8-077E-5C46-BFBE-9562D30627D6}"/>
    <hyperlink ref="B86" r:id="rId80" display="https://drive.google.com/file/d/15soeD0ceGdEeI6f3mywePuSuHUsbnuI2/view?usp=sharing" xr:uid="{CB16E6E0-C2BB-D24B-BE5D-FC5BC3866576}"/>
    <hyperlink ref="B87" r:id="rId81" display="https://drive.google.com/file/d/1KqmjnS2m0Bk-nJGflTRRAchGM_q0JThC/view?usp=sharing" xr:uid="{656B3F55-B5F4-1843-A881-5DCD92C3C80E}"/>
    <hyperlink ref="B88" r:id="rId82" display="https://drive.google.com/file/d/18Pz95CwQFPcePbnoUt8o6417avP4Sskz/view?usp=sharing" xr:uid="{6A38F616-E71E-BF42-BC70-8CA5B442249F}"/>
    <hyperlink ref="B89" r:id="rId83" display="https://drive.google.com/file/d/1vSNbVr9bpDvhK7hn6GJJT3YvQOUfTkUe/view?usp=sharing" xr:uid="{AB42DFF7-6EBA-B949-BF0C-07091EDE0BC1}"/>
    <hyperlink ref="B90" r:id="rId84" display="https://drive.google.com/file/d/1wKUfdzNyB1S4z4D82hBTXQqZntYOV-PJ/view?usp=sharing" xr:uid="{FBD47730-29E2-E446-967C-0ECFEFD82909}"/>
    <hyperlink ref="B91" r:id="rId85" display="https://drive.google.com/file/d/1geJ4mx2oWztg9t9EsAP2EuSbI4lGOeuJ/view?usp=sharing" xr:uid="{B58BE30C-B995-9746-8DC9-8BF7B418F463}"/>
    <hyperlink ref="B92" r:id="rId86" display="https://drive.google.com/file/d/1n6hs8FxT8l1Aubr9sjWtUNZ3jqT4ivJk/view?usp=sharing" xr:uid="{1F3520E6-90FC-544F-BD3D-19B61847A628}"/>
    <hyperlink ref="B95" r:id="rId87" display="https://drive.google.com/file/d/1YSk_GvU6-OZEd87kx63F09Zp4hAXNjcb/view?usp=sharing" xr:uid="{C78858E9-5565-2248-B3FE-339B5A8AF942}"/>
    <hyperlink ref="B96" r:id="rId88" display="https://drive.google.com/file/d/1ONXVeaA2AvHXV3Xy_Qp1_DnD00LCuHMa/view?usp=sharing" xr:uid="{A26446A4-7CEC-5B40-A4A2-C22C532AAD73}"/>
    <hyperlink ref="B97" r:id="rId89" display="https://drive.google.com/file/d/1C-iDA9s4-rpvo6wqGoKpEe_M02FMJFle/view?usp=sharing" xr:uid="{D61B2D1B-4EF1-DD43-A420-01177E546511}"/>
    <hyperlink ref="B98" r:id="rId90" display="https://drive.google.com/file/d/1Ix2D3ZraAvY9TY6kxCjzkZzDsBV3UJCi/view?usp=sharing" xr:uid="{3E21800C-A508-2F4E-8C48-62C1A90E743D}"/>
    <hyperlink ref="B99" r:id="rId91" display="https://drive.google.com/file/d/1vMTm7KCKRC1kRx6Pe9J_15irWa8XE1ko/view?usp=sharing" xr:uid="{E99AB677-6F5C-F144-9DD3-DC907879A155}"/>
    <hyperlink ref="B93" r:id="rId92" display="https://drive.google.com/file/d/18soJTAounJxeZtjNYBtLoC_UvzAtEt0L/view?usp=sharing" xr:uid="{5666B673-93F1-9B42-A82A-4E990DF8FBED}"/>
    <hyperlink ref="B94" r:id="rId93" display="https://drive.google.com/file/d/1Blkbtw2uYfjndUbRgFkAgqKnikel2z40/view?usp=sharing" xr:uid="{547C34D5-129A-5F4A-8E8E-CBD6C977ECAD}"/>
    <hyperlink ref="B100" r:id="rId94" display="https://drive.google.com/file/d/1_eovO5A2s6D6wzSTOcxFmtSBnybbKG6G/view?usp=sharing" xr:uid="{17F9405E-F409-704E-AE22-707AF65D2584}"/>
    <hyperlink ref="B101" r:id="rId95" display="https://drive.google.com/file/d/1Op8OmCxt0XlAMLRGGpST2gaNFR7gV4sL/view?usp=sharing" xr:uid="{80B7ECD8-810C-394F-8968-650A97AEBF48}"/>
    <hyperlink ref="B102" r:id="rId96" display="https://drive.google.com/file/d/1a1M3KK9fFbtFRJ2tHmbSAqUxCqecRRxD/view?usp=sharing" xr:uid="{69E652BC-F882-0B43-BC86-C19873A6CBA0}"/>
    <hyperlink ref="B103" r:id="rId97" display="https://drive.google.com/file/d/18s4BVhiBB1v3BorQC1Ul7L1LI5A7UMmH/view?usp=sharing" xr:uid="{41CBE17A-81AB-5E48-946D-A0DEC6F01F6A}"/>
  </hyperlinks>
  <pageMargins left="0.7" right="0.7" top="0.75" bottom="0.75" header="0.3" footer="0.3"/>
  <pageSetup paperSize="9" orientation="portrait" verticalDpi="1200" r:id="rId98"/>
  <ignoredErrors>
    <ignoredError sqref="S124 O121:P121 S121" unlockedFormula="1"/>
  </ignoredErrors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F030-B45E-0048-BF4F-0ADA2AC5D1F2}">
  <dimension ref="A1:U129"/>
  <sheetViews>
    <sheetView topLeftCell="D104" zoomScale="86" zoomScaleNormal="55" workbookViewId="0">
      <selection activeCell="E123" sqref="E123"/>
    </sheetView>
  </sheetViews>
  <sheetFormatPr baseColWidth="10" defaultColWidth="19.1640625" defaultRowHeight="16"/>
  <cols>
    <col min="1" max="1" width="15.6640625" style="6" customWidth="1"/>
    <col min="2" max="2" width="20.33203125" style="6" customWidth="1"/>
    <col min="3" max="3" width="25.5" style="6" customWidth="1"/>
    <col min="4" max="4" width="53.33203125" style="6" customWidth="1"/>
    <col min="5" max="9" width="15.83203125" style="6" customWidth="1"/>
    <col min="10" max="10" width="13.83203125" style="6" hidden="1" customWidth="1"/>
    <col min="11" max="14" width="15.83203125" style="6" customWidth="1"/>
    <col min="15" max="18" width="22.83203125" style="6" customWidth="1"/>
    <col min="19" max="16384" width="19.1640625" style="4"/>
  </cols>
  <sheetData>
    <row r="1" spans="1:18">
      <c r="D1" s="9"/>
    </row>
    <row r="2" spans="1:18" ht="17">
      <c r="C2" s="12" t="s">
        <v>177</v>
      </c>
      <c r="D2" s="20" t="s">
        <v>194</v>
      </c>
      <c r="F2" s="7"/>
    </row>
    <row r="3" spans="1:18">
      <c r="C3" s="12" t="s">
        <v>178</v>
      </c>
      <c r="D3" s="10" t="s">
        <v>183</v>
      </c>
      <c r="F3" s="7"/>
    </row>
    <row r="4" spans="1:18">
      <c r="C4" s="12" t="s">
        <v>179</v>
      </c>
      <c r="D4" s="10"/>
      <c r="F4" s="7"/>
    </row>
    <row r="5" spans="1:18">
      <c r="C5" s="12" t="s">
        <v>180</v>
      </c>
      <c r="D5" s="11">
        <v>46079</v>
      </c>
      <c r="F5" s="8"/>
    </row>
    <row r="7" spans="1:18" ht="25" customHeight="1"/>
    <row r="8" spans="1:18" s="5" customFormat="1" ht="121" customHeight="1">
      <c r="A8" s="24" t="s">
        <v>181</v>
      </c>
      <c r="B8" s="24" t="s">
        <v>172</v>
      </c>
      <c r="C8" s="24" t="s">
        <v>160</v>
      </c>
      <c r="D8" s="24" t="s">
        <v>173</v>
      </c>
      <c r="E8" s="24" t="s">
        <v>175</v>
      </c>
      <c r="F8" s="24" t="s">
        <v>161</v>
      </c>
      <c r="G8" s="24" t="s">
        <v>168</v>
      </c>
      <c r="H8" s="24" t="s">
        <v>174</v>
      </c>
      <c r="I8" s="24" t="s">
        <v>259</v>
      </c>
      <c r="J8" s="24" t="s">
        <v>162</v>
      </c>
      <c r="K8" s="24" t="s">
        <v>176</v>
      </c>
      <c r="L8" s="24" t="s">
        <v>166</v>
      </c>
      <c r="M8" s="24" t="s">
        <v>163</v>
      </c>
      <c r="N8" s="24" t="s">
        <v>164</v>
      </c>
      <c r="O8" s="53" t="s">
        <v>167</v>
      </c>
      <c r="P8" s="25" t="s">
        <v>192</v>
      </c>
      <c r="Q8" s="53" t="s">
        <v>349</v>
      </c>
      <c r="R8" s="26" t="s">
        <v>169</v>
      </c>
    </row>
    <row r="9" spans="1:18" s="21" customFormat="1">
      <c r="A9" s="27" t="s">
        <v>182</v>
      </c>
      <c r="B9" s="87" t="s">
        <v>187</v>
      </c>
      <c r="C9" s="28" t="s">
        <v>165</v>
      </c>
      <c r="D9" s="88" t="s">
        <v>228</v>
      </c>
      <c r="E9" s="28" t="s">
        <v>229</v>
      </c>
      <c r="F9" s="27">
        <v>1</v>
      </c>
      <c r="G9" s="27">
        <v>1</v>
      </c>
      <c r="H9" s="27" t="s">
        <v>184</v>
      </c>
      <c r="I9" s="27" t="s">
        <v>4</v>
      </c>
      <c r="J9" s="29" t="s">
        <v>258</v>
      </c>
      <c r="K9" s="27">
        <v>10</v>
      </c>
      <c r="L9" s="27" t="s">
        <v>185</v>
      </c>
      <c r="M9" s="27">
        <v>1</v>
      </c>
      <c r="N9" s="27" t="s">
        <v>186</v>
      </c>
      <c r="O9" s="54">
        <v>16000000</v>
      </c>
      <c r="P9" s="30">
        <f>O9*(1-12.5%)</f>
        <v>14000000</v>
      </c>
      <c r="Q9" s="32" t="s">
        <v>191</v>
      </c>
      <c r="R9" s="31">
        <f t="shared" ref="R9:R40" si="0">P9*G9</f>
        <v>14000000</v>
      </c>
    </row>
    <row r="10" spans="1:18" s="21" customFormat="1" ht="15" customHeight="1">
      <c r="A10" s="27" t="s">
        <v>182</v>
      </c>
      <c r="B10" s="87" t="s">
        <v>187</v>
      </c>
      <c r="C10" s="28" t="s">
        <v>165</v>
      </c>
      <c r="D10" s="88" t="s">
        <v>230</v>
      </c>
      <c r="E10" s="28" t="s">
        <v>188</v>
      </c>
      <c r="F10" s="27">
        <v>1</v>
      </c>
      <c r="G10" s="27">
        <v>1</v>
      </c>
      <c r="H10" s="27" t="s">
        <v>184</v>
      </c>
      <c r="I10" s="27" t="s">
        <v>4</v>
      </c>
      <c r="J10" s="29" t="s">
        <v>232</v>
      </c>
      <c r="K10" s="27">
        <v>10</v>
      </c>
      <c r="L10" s="27" t="s">
        <v>185</v>
      </c>
      <c r="M10" s="27">
        <v>1</v>
      </c>
      <c r="N10" s="27" t="s">
        <v>186</v>
      </c>
      <c r="O10" s="55">
        <v>7100000</v>
      </c>
      <c r="P10" s="30">
        <f t="shared" ref="P10:P73" si="1">O10*(1-12.5%)</f>
        <v>6212500</v>
      </c>
      <c r="Q10" s="32" t="s">
        <v>191</v>
      </c>
      <c r="R10" s="31">
        <f t="shared" si="0"/>
        <v>6212500</v>
      </c>
    </row>
    <row r="11" spans="1:18" s="21" customFormat="1" ht="15" customHeight="1">
      <c r="A11" s="27" t="s">
        <v>182</v>
      </c>
      <c r="B11" s="87" t="s">
        <v>187</v>
      </c>
      <c r="C11" s="28" t="s">
        <v>165</v>
      </c>
      <c r="D11" s="88" t="s">
        <v>231</v>
      </c>
      <c r="E11" s="28" t="s">
        <v>190</v>
      </c>
      <c r="F11" s="27">
        <v>1</v>
      </c>
      <c r="G11" s="27">
        <v>1</v>
      </c>
      <c r="H11" s="27" t="s">
        <v>184</v>
      </c>
      <c r="I11" s="27" t="s">
        <v>4</v>
      </c>
      <c r="J11" s="29" t="s">
        <v>232</v>
      </c>
      <c r="K11" s="27">
        <v>10</v>
      </c>
      <c r="L11" s="27" t="s">
        <v>185</v>
      </c>
      <c r="M11" s="27">
        <v>1</v>
      </c>
      <c r="N11" s="27" t="s">
        <v>186</v>
      </c>
      <c r="O11" s="55">
        <v>7100000</v>
      </c>
      <c r="P11" s="30">
        <f t="shared" si="1"/>
        <v>6212500</v>
      </c>
      <c r="Q11" s="32" t="s">
        <v>191</v>
      </c>
      <c r="R11" s="31">
        <f t="shared" si="0"/>
        <v>6212500</v>
      </c>
    </row>
    <row r="12" spans="1:18" s="21" customFormat="1" ht="15" customHeight="1">
      <c r="A12" s="27" t="s">
        <v>182</v>
      </c>
      <c r="B12" s="89" t="s">
        <v>187</v>
      </c>
      <c r="C12" s="90" t="s">
        <v>165</v>
      </c>
      <c r="D12" s="90" t="s">
        <v>234</v>
      </c>
      <c r="E12" s="90" t="s">
        <v>190</v>
      </c>
      <c r="F12" s="27">
        <v>1</v>
      </c>
      <c r="G12" s="27">
        <v>1</v>
      </c>
      <c r="H12" s="27" t="s">
        <v>184</v>
      </c>
      <c r="I12" s="27" t="s">
        <v>4</v>
      </c>
      <c r="J12" s="91" t="s">
        <v>199</v>
      </c>
      <c r="K12" s="27">
        <v>10</v>
      </c>
      <c r="L12" s="27" t="s">
        <v>185</v>
      </c>
      <c r="M12" s="27">
        <v>1</v>
      </c>
      <c r="N12" s="27" t="s">
        <v>186</v>
      </c>
      <c r="O12" s="56">
        <v>5700000</v>
      </c>
      <c r="P12" s="30">
        <f t="shared" si="1"/>
        <v>4987500</v>
      </c>
      <c r="Q12" s="32" t="s">
        <v>191</v>
      </c>
      <c r="R12" s="31">
        <f t="shared" si="0"/>
        <v>4987500</v>
      </c>
    </row>
    <row r="13" spans="1:18" s="21" customFormat="1" ht="15" customHeight="1">
      <c r="A13" s="27" t="s">
        <v>182</v>
      </c>
      <c r="B13" s="92" t="s">
        <v>187</v>
      </c>
      <c r="C13" s="90" t="s">
        <v>165</v>
      </c>
      <c r="D13" s="93" t="s">
        <v>235</v>
      </c>
      <c r="E13" s="93" t="s">
        <v>189</v>
      </c>
      <c r="F13" s="27">
        <v>1</v>
      </c>
      <c r="G13" s="27">
        <v>1</v>
      </c>
      <c r="H13" s="27" t="s">
        <v>184</v>
      </c>
      <c r="I13" s="27" t="s">
        <v>4</v>
      </c>
      <c r="J13" s="27" t="s">
        <v>236</v>
      </c>
      <c r="K13" s="27">
        <v>10</v>
      </c>
      <c r="L13" s="27" t="s">
        <v>185</v>
      </c>
      <c r="M13" s="27">
        <v>1</v>
      </c>
      <c r="N13" s="27" t="s">
        <v>186</v>
      </c>
      <c r="O13" s="54">
        <v>5700000</v>
      </c>
      <c r="P13" s="30">
        <f t="shared" si="1"/>
        <v>4987500</v>
      </c>
      <c r="Q13" s="32" t="s">
        <v>191</v>
      </c>
      <c r="R13" s="31">
        <f t="shared" si="0"/>
        <v>4987500</v>
      </c>
    </row>
    <row r="14" spans="1:18" s="21" customFormat="1" ht="15" customHeight="1">
      <c r="A14" s="27" t="s">
        <v>182</v>
      </c>
      <c r="B14" s="94" t="s">
        <v>187</v>
      </c>
      <c r="C14" s="95" t="s">
        <v>165</v>
      </c>
      <c r="D14" s="96" t="s">
        <v>237</v>
      </c>
      <c r="E14" s="96" t="s">
        <v>190</v>
      </c>
      <c r="F14" s="27">
        <v>1</v>
      </c>
      <c r="G14" s="27">
        <v>1</v>
      </c>
      <c r="H14" s="27" t="s">
        <v>184</v>
      </c>
      <c r="I14" s="27" t="s">
        <v>4</v>
      </c>
      <c r="J14" s="29" t="s">
        <v>232</v>
      </c>
      <c r="K14" s="27">
        <v>10</v>
      </c>
      <c r="L14" s="27" t="s">
        <v>185</v>
      </c>
      <c r="M14" s="27">
        <v>1</v>
      </c>
      <c r="N14" s="27" t="s">
        <v>186</v>
      </c>
      <c r="O14" s="54">
        <v>5700000</v>
      </c>
      <c r="P14" s="30">
        <f t="shared" si="1"/>
        <v>4987500</v>
      </c>
      <c r="Q14" s="32" t="s">
        <v>191</v>
      </c>
      <c r="R14" s="31">
        <f t="shared" si="0"/>
        <v>4987500</v>
      </c>
    </row>
    <row r="15" spans="1:18" s="21" customFormat="1" ht="15" customHeight="1">
      <c r="A15" s="27" t="s">
        <v>182</v>
      </c>
      <c r="B15" s="87" t="s">
        <v>187</v>
      </c>
      <c r="C15" s="95" t="s">
        <v>165</v>
      </c>
      <c r="D15" s="28" t="s">
        <v>238</v>
      </c>
      <c r="E15" s="28" t="s">
        <v>190</v>
      </c>
      <c r="F15" s="27">
        <v>1</v>
      </c>
      <c r="G15" s="27">
        <v>1</v>
      </c>
      <c r="H15" s="27" t="s">
        <v>184</v>
      </c>
      <c r="I15" s="27" t="s">
        <v>4</v>
      </c>
      <c r="J15" s="29" t="s">
        <v>232</v>
      </c>
      <c r="K15" s="27">
        <v>10</v>
      </c>
      <c r="L15" s="27" t="s">
        <v>185</v>
      </c>
      <c r="M15" s="27">
        <v>1</v>
      </c>
      <c r="N15" s="27" t="s">
        <v>186</v>
      </c>
      <c r="O15" s="54">
        <v>5700000</v>
      </c>
      <c r="P15" s="30">
        <f t="shared" si="1"/>
        <v>4987500</v>
      </c>
      <c r="Q15" s="32" t="s">
        <v>191</v>
      </c>
      <c r="R15" s="31">
        <f t="shared" si="0"/>
        <v>4987500</v>
      </c>
    </row>
    <row r="16" spans="1:18" s="21" customFormat="1" ht="15" customHeight="1">
      <c r="A16" s="27" t="s">
        <v>182</v>
      </c>
      <c r="B16" s="87" t="s">
        <v>187</v>
      </c>
      <c r="C16" s="97" t="s">
        <v>195</v>
      </c>
      <c r="D16" s="88" t="s">
        <v>239</v>
      </c>
      <c r="E16" s="28" t="s">
        <v>188</v>
      </c>
      <c r="F16" s="27">
        <v>1</v>
      </c>
      <c r="G16" s="27">
        <v>1</v>
      </c>
      <c r="H16" s="27" t="s">
        <v>184</v>
      </c>
      <c r="I16" s="27" t="s">
        <v>4</v>
      </c>
      <c r="J16" s="27" t="s">
        <v>236</v>
      </c>
      <c r="K16" s="27">
        <v>10</v>
      </c>
      <c r="L16" s="27" t="s">
        <v>185</v>
      </c>
      <c r="M16" s="27">
        <v>1</v>
      </c>
      <c r="N16" s="27" t="s">
        <v>186</v>
      </c>
      <c r="O16" s="54">
        <v>5500000</v>
      </c>
      <c r="P16" s="30">
        <f t="shared" si="1"/>
        <v>4812500</v>
      </c>
      <c r="Q16" s="32" t="s">
        <v>191</v>
      </c>
      <c r="R16" s="31">
        <f t="shared" si="0"/>
        <v>4812500</v>
      </c>
    </row>
    <row r="17" spans="1:18" s="21" customFormat="1" ht="15" customHeight="1">
      <c r="A17" s="27" t="s">
        <v>182</v>
      </c>
      <c r="B17" s="87" t="s">
        <v>187</v>
      </c>
      <c r="C17" s="95" t="s">
        <v>165</v>
      </c>
      <c r="D17" s="88" t="s">
        <v>240</v>
      </c>
      <c r="E17" s="28" t="s">
        <v>190</v>
      </c>
      <c r="F17" s="27">
        <v>1</v>
      </c>
      <c r="G17" s="27">
        <v>1</v>
      </c>
      <c r="H17" s="27" t="s">
        <v>184</v>
      </c>
      <c r="I17" s="27" t="s">
        <v>4</v>
      </c>
      <c r="J17" s="27" t="s">
        <v>236</v>
      </c>
      <c r="K17" s="27">
        <v>10</v>
      </c>
      <c r="L17" s="27" t="s">
        <v>185</v>
      </c>
      <c r="M17" s="27">
        <v>1</v>
      </c>
      <c r="N17" s="27" t="s">
        <v>186</v>
      </c>
      <c r="O17" s="54">
        <v>4900000</v>
      </c>
      <c r="P17" s="30">
        <f t="shared" si="1"/>
        <v>4287500</v>
      </c>
      <c r="Q17" s="32" t="s">
        <v>191</v>
      </c>
      <c r="R17" s="31">
        <f t="shared" si="0"/>
        <v>4287500</v>
      </c>
    </row>
    <row r="18" spans="1:18" s="21" customFormat="1" ht="15" customHeight="1">
      <c r="A18" s="27" t="s">
        <v>182</v>
      </c>
      <c r="B18" s="98" t="s">
        <v>187</v>
      </c>
      <c r="C18" s="97" t="s">
        <v>195</v>
      </c>
      <c r="D18" s="88" t="s">
        <v>241</v>
      </c>
      <c r="E18" s="28" t="s">
        <v>190</v>
      </c>
      <c r="F18" s="27">
        <v>1</v>
      </c>
      <c r="G18" s="27">
        <v>1</v>
      </c>
      <c r="H18" s="27" t="s">
        <v>184</v>
      </c>
      <c r="I18" s="27" t="s">
        <v>4</v>
      </c>
      <c r="J18" s="27" t="s">
        <v>236</v>
      </c>
      <c r="K18" s="27">
        <v>10</v>
      </c>
      <c r="L18" s="27" t="s">
        <v>185</v>
      </c>
      <c r="M18" s="27">
        <v>1</v>
      </c>
      <c r="N18" s="27" t="s">
        <v>186</v>
      </c>
      <c r="O18" s="54">
        <v>5500000</v>
      </c>
      <c r="P18" s="30">
        <f t="shared" si="1"/>
        <v>4812500</v>
      </c>
      <c r="Q18" s="32" t="s">
        <v>191</v>
      </c>
      <c r="R18" s="31">
        <f t="shared" si="0"/>
        <v>4812500</v>
      </c>
    </row>
    <row r="19" spans="1:18" s="21" customFormat="1" ht="15" customHeight="1">
      <c r="A19" s="27" t="s">
        <v>182</v>
      </c>
      <c r="B19" s="87" t="s">
        <v>187</v>
      </c>
      <c r="C19" s="97" t="s">
        <v>195</v>
      </c>
      <c r="D19" s="97" t="s">
        <v>227</v>
      </c>
      <c r="E19" s="99" t="s">
        <v>190</v>
      </c>
      <c r="F19" s="27">
        <v>1</v>
      </c>
      <c r="G19" s="27">
        <v>1</v>
      </c>
      <c r="H19" s="27" t="s">
        <v>184</v>
      </c>
      <c r="I19" s="27" t="s">
        <v>4</v>
      </c>
      <c r="J19" s="33" t="s">
        <v>199</v>
      </c>
      <c r="K19" s="27">
        <v>10</v>
      </c>
      <c r="L19" s="27" t="s">
        <v>185</v>
      </c>
      <c r="M19" s="27">
        <v>1</v>
      </c>
      <c r="N19" s="27" t="s">
        <v>186</v>
      </c>
      <c r="O19" s="54">
        <v>5700000</v>
      </c>
      <c r="P19" s="30">
        <f t="shared" si="1"/>
        <v>4987500</v>
      </c>
      <c r="Q19" s="32" t="s">
        <v>191</v>
      </c>
      <c r="R19" s="31">
        <f t="shared" si="0"/>
        <v>4987500</v>
      </c>
    </row>
    <row r="20" spans="1:18" s="21" customFormat="1" ht="15" customHeight="1">
      <c r="A20" s="27" t="s">
        <v>182</v>
      </c>
      <c r="B20" s="87" t="s">
        <v>187</v>
      </c>
      <c r="C20" s="97" t="s">
        <v>195</v>
      </c>
      <c r="D20" s="97" t="s">
        <v>225</v>
      </c>
      <c r="E20" s="99" t="s">
        <v>190</v>
      </c>
      <c r="F20" s="27">
        <v>1</v>
      </c>
      <c r="G20" s="27">
        <v>1</v>
      </c>
      <c r="H20" s="27" t="s">
        <v>184</v>
      </c>
      <c r="I20" s="27" t="s">
        <v>4</v>
      </c>
      <c r="J20" s="33" t="s">
        <v>199</v>
      </c>
      <c r="K20" s="27">
        <v>10</v>
      </c>
      <c r="L20" s="27" t="s">
        <v>185</v>
      </c>
      <c r="M20" s="27">
        <v>1</v>
      </c>
      <c r="N20" s="27" t="s">
        <v>186</v>
      </c>
      <c r="O20" s="54">
        <v>5700000</v>
      </c>
      <c r="P20" s="30">
        <f t="shared" si="1"/>
        <v>4987500</v>
      </c>
      <c r="Q20" s="32" t="s">
        <v>191</v>
      </c>
      <c r="R20" s="31">
        <f t="shared" si="0"/>
        <v>4987500</v>
      </c>
    </row>
    <row r="21" spans="1:18" s="21" customFormat="1" ht="15" customHeight="1">
      <c r="A21" s="27" t="s">
        <v>182</v>
      </c>
      <c r="B21" s="87" t="s">
        <v>187</v>
      </c>
      <c r="C21" s="97" t="s">
        <v>195</v>
      </c>
      <c r="D21" s="97" t="s">
        <v>226</v>
      </c>
      <c r="E21" s="99" t="s">
        <v>190</v>
      </c>
      <c r="F21" s="27">
        <v>1</v>
      </c>
      <c r="G21" s="27">
        <v>1</v>
      </c>
      <c r="H21" s="27" t="s">
        <v>184</v>
      </c>
      <c r="I21" s="27" t="s">
        <v>4</v>
      </c>
      <c r="J21" s="33" t="s">
        <v>199</v>
      </c>
      <c r="K21" s="27">
        <v>10</v>
      </c>
      <c r="L21" s="27" t="s">
        <v>185</v>
      </c>
      <c r="M21" s="27">
        <v>1</v>
      </c>
      <c r="N21" s="27" t="s">
        <v>186</v>
      </c>
      <c r="O21" s="54">
        <v>5700000</v>
      </c>
      <c r="P21" s="30">
        <f t="shared" si="1"/>
        <v>4987500</v>
      </c>
      <c r="Q21" s="32" t="s">
        <v>191</v>
      </c>
      <c r="R21" s="31">
        <f t="shared" si="0"/>
        <v>4987500</v>
      </c>
    </row>
    <row r="22" spans="1:18" s="21" customFormat="1" ht="15" customHeight="1">
      <c r="A22" s="27" t="s">
        <v>182</v>
      </c>
      <c r="B22" s="87" t="s">
        <v>187</v>
      </c>
      <c r="C22" s="97" t="s">
        <v>195</v>
      </c>
      <c r="D22" s="97" t="s">
        <v>223</v>
      </c>
      <c r="E22" s="99" t="s">
        <v>224</v>
      </c>
      <c r="F22" s="27">
        <v>1</v>
      </c>
      <c r="G22" s="27">
        <v>1</v>
      </c>
      <c r="H22" s="27" t="s">
        <v>184</v>
      </c>
      <c r="I22" s="27" t="s">
        <v>4</v>
      </c>
      <c r="J22" s="33" t="s">
        <v>199</v>
      </c>
      <c r="K22" s="27">
        <v>10</v>
      </c>
      <c r="L22" s="27" t="s">
        <v>185</v>
      </c>
      <c r="M22" s="27">
        <v>1</v>
      </c>
      <c r="N22" s="27" t="s">
        <v>186</v>
      </c>
      <c r="O22" s="54">
        <v>5700000</v>
      </c>
      <c r="P22" s="30">
        <f t="shared" si="1"/>
        <v>4987500</v>
      </c>
      <c r="Q22" s="32" t="s">
        <v>191</v>
      </c>
      <c r="R22" s="31">
        <f t="shared" si="0"/>
        <v>4987500</v>
      </c>
    </row>
    <row r="23" spans="1:18" s="21" customFormat="1" ht="15" customHeight="1">
      <c r="A23" s="27" t="s">
        <v>182</v>
      </c>
      <c r="B23" s="87" t="s">
        <v>187</v>
      </c>
      <c r="C23" s="97" t="s">
        <v>195</v>
      </c>
      <c r="D23" s="97" t="s">
        <v>204</v>
      </c>
      <c r="E23" s="99" t="s">
        <v>188</v>
      </c>
      <c r="F23" s="27">
        <v>1</v>
      </c>
      <c r="G23" s="27">
        <v>1</v>
      </c>
      <c r="H23" s="27" t="s">
        <v>184</v>
      </c>
      <c r="I23" s="27" t="s">
        <v>4</v>
      </c>
      <c r="J23" s="33" t="s">
        <v>199</v>
      </c>
      <c r="K23" s="27">
        <v>10</v>
      </c>
      <c r="L23" s="27" t="s">
        <v>185</v>
      </c>
      <c r="M23" s="27">
        <v>1</v>
      </c>
      <c r="N23" s="27" t="s">
        <v>186</v>
      </c>
      <c r="O23" s="54">
        <v>7000000</v>
      </c>
      <c r="P23" s="30">
        <f t="shared" si="1"/>
        <v>6125000</v>
      </c>
      <c r="Q23" s="32" t="s">
        <v>191</v>
      </c>
      <c r="R23" s="31">
        <f t="shared" si="0"/>
        <v>6125000</v>
      </c>
    </row>
    <row r="24" spans="1:18" s="21" customFormat="1" ht="15" customHeight="1">
      <c r="A24" s="27" t="s">
        <v>182</v>
      </c>
      <c r="B24" s="87" t="s">
        <v>187</v>
      </c>
      <c r="C24" s="97" t="s">
        <v>195</v>
      </c>
      <c r="D24" s="97" t="s">
        <v>202</v>
      </c>
      <c r="E24" s="99" t="s">
        <v>203</v>
      </c>
      <c r="F24" s="27">
        <v>1</v>
      </c>
      <c r="G24" s="27">
        <v>1</v>
      </c>
      <c r="H24" s="27" t="s">
        <v>184</v>
      </c>
      <c r="I24" s="27" t="s">
        <v>4</v>
      </c>
      <c r="J24" s="33" t="s">
        <v>199</v>
      </c>
      <c r="K24" s="27">
        <v>10</v>
      </c>
      <c r="L24" s="27" t="s">
        <v>185</v>
      </c>
      <c r="M24" s="27">
        <v>1</v>
      </c>
      <c r="N24" s="27" t="s">
        <v>186</v>
      </c>
      <c r="O24" s="54">
        <v>5700000</v>
      </c>
      <c r="P24" s="30">
        <f t="shared" si="1"/>
        <v>4987500</v>
      </c>
      <c r="Q24" s="32" t="s">
        <v>191</v>
      </c>
      <c r="R24" s="31">
        <f t="shared" si="0"/>
        <v>4987500</v>
      </c>
    </row>
    <row r="25" spans="1:18" s="21" customFormat="1" ht="15" customHeight="1">
      <c r="A25" s="27" t="s">
        <v>182</v>
      </c>
      <c r="B25" s="87" t="s">
        <v>187</v>
      </c>
      <c r="C25" s="97" t="s">
        <v>195</v>
      </c>
      <c r="D25" s="97" t="s">
        <v>200</v>
      </c>
      <c r="E25" s="99" t="s">
        <v>201</v>
      </c>
      <c r="F25" s="27">
        <v>1</v>
      </c>
      <c r="G25" s="27">
        <v>1</v>
      </c>
      <c r="H25" s="27" t="s">
        <v>184</v>
      </c>
      <c r="I25" s="27" t="s">
        <v>4</v>
      </c>
      <c r="J25" s="33" t="s">
        <v>199</v>
      </c>
      <c r="K25" s="27">
        <v>10</v>
      </c>
      <c r="L25" s="27" t="s">
        <v>185</v>
      </c>
      <c r="M25" s="27">
        <v>1</v>
      </c>
      <c r="N25" s="27" t="s">
        <v>186</v>
      </c>
      <c r="O25" s="54">
        <v>6000000</v>
      </c>
      <c r="P25" s="30">
        <f t="shared" si="1"/>
        <v>5250000</v>
      </c>
      <c r="Q25" s="32" t="s">
        <v>191</v>
      </c>
      <c r="R25" s="31">
        <f t="shared" si="0"/>
        <v>5250000</v>
      </c>
    </row>
    <row r="26" spans="1:18" s="21" customFormat="1" ht="15" customHeight="1">
      <c r="A26" s="27" t="s">
        <v>182</v>
      </c>
      <c r="B26" s="87" t="s">
        <v>187</v>
      </c>
      <c r="C26" s="97" t="s">
        <v>195</v>
      </c>
      <c r="D26" s="97" t="s">
        <v>196</v>
      </c>
      <c r="E26" s="99" t="s">
        <v>190</v>
      </c>
      <c r="F26" s="27">
        <v>1</v>
      </c>
      <c r="G26" s="27">
        <v>1</v>
      </c>
      <c r="H26" s="27" t="s">
        <v>184</v>
      </c>
      <c r="I26" s="27" t="s">
        <v>4</v>
      </c>
      <c r="J26" s="33" t="s">
        <v>199</v>
      </c>
      <c r="K26" s="27">
        <v>10</v>
      </c>
      <c r="L26" s="27" t="s">
        <v>185</v>
      </c>
      <c r="M26" s="27">
        <v>1</v>
      </c>
      <c r="N26" s="27" t="s">
        <v>186</v>
      </c>
      <c r="O26" s="54">
        <v>5700000</v>
      </c>
      <c r="P26" s="30">
        <f t="shared" si="1"/>
        <v>4987500</v>
      </c>
      <c r="Q26" s="32" t="s">
        <v>191</v>
      </c>
      <c r="R26" s="31">
        <f t="shared" si="0"/>
        <v>4987500</v>
      </c>
    </row>
    <row r="27" spans="1:18" s="21" customFormat="1" ht="15" customHeight="1">
      <c r="A27" s="27" t="s">
        <v>182</v>
      </c>
      <c r="B27" s="87" t="s">
        <v>187</v>
      </c>
      <c r="C27" s="97" t="s">
        <v>195</v>
      </c>
      <c r="D27" s="97" t="s">
        <v>197</v>
      </c>
      <c r="E27" s="99" t="s">
        <v>190</v>
      </c>
      <c r="F27" s="27">
        <v>1</v>
      </c>
      <c r="G27" s="27">
        <v>1</v>
      </c>
      <c r="H27" s="27" t="s">
        <v>184</v>
      </c>
      <c r="I27" s="27" t="s">
        <v>4</v>
      </c>
      <c r="J27" s="33" t="s">
        <v>199</v>
      </c>
      <c r="K27" s="27">
        <v>10</v>
      </c>
      <c r="L27" s="27" t="s">
        <v>185</v>
      </c>
      <c r="M27" s="27">
        <v>1</v>
      </c>
      <c r="N27" s="27" t="s">
        <v>186</v>
      </c>
      <c r="O27" s="54">
        <v>5700000</v>
      </c>
      <c r="P27" s="30">
        <f t="shared" si="1"/>
        <v>4987500</v>
      </c>
      <c r="Q27" s="32" t="s">
        <v>191</v>
      </c>
      <c r="R27" s="31">
        <f t="shared" si="0"/>
        <v>4987500</v>
      </c>
    </row>
    <row r="28" spans="1:18" s="21" customFormat="1" ht="15" customHeight="1">
      <c r="A28" s="27" t="s">
        <v>182</v>
      </c>
      <c r="B28" s="87" t="s">
        <v>187</v>
      </c>
      <c r="C28" s="97" t="s">
        <v>195</v>
      </c>
      <c r="D28" s="97" t="s">
        <v>198</v>
      </c>
      <c r="E28" s="99" t="s">
        <v>190</v>
      </c>
      <c r="F28" s="27">
        <v>1</v>
      </c>
      <c r="G28" s="27">
        <v>1</v>
      </c>
      <c r="H28" s="27" t="s">
        <v>184</v>
      </c>
      <c r="I28" s="27" t="s">
        <v>4</v>
      </c>
      <c r="J28" s="33" t="s">
        <v>199</v>
      </c>
      <c r="K28" s="27">
        <v>10</v>
      </c>
      <c r="L28" s="27" t="s">
        <v>185</v>
      </c>
      <c r="M28" s="27">
        <v>1</v>
      </c>
      <c r="N28" s="27" t="s">
        <v>186</v>
      </c>
      <c r="O28" s="54">
        <v>5700000</v>
      </c>
      <c r="P28" s="30">
        <f t="shared" si="1"/>
        <v>4987500</v>
      </c>
      <c r="Q28" s="32" t="s">
        <v>191</v>
      </c>
      <c r="R28" s="31">
        <f t="shared" si="0"/>
        <v>4987500</v>
      </c>
    </row>
    <row r="29" spans="1:18" s="21" customFormat="1" ht="15" customHeight="1">
      <c r="A29" s="27" t="s">
        <v>182</v>
      </c>
      <c r="B29" s="87" t="s">
        <v>187</v>
      </c>
      <c r="C29" s="28" t="s">
        <v>165</v>
      </c>
      <c r="D29" s="88" t="s">
        <v>251</v>
      </c>
      <c r="E29" s="28" t="s">
        <v>188</v>
      </c>
      <c r="F29" s="27">
        <v>1</v>
      </c>
      <c r="G29" s="27">
        <v>1</v>
      </c>
      <c r="H29" s="27" t="s">
        <v>184</v>
      </c>
      <c r="I29" s="27" t="s">
        <v>4</v>
      </c>
      <c r="J29" s="29" t="s">
        <v>232</v>
      </c>
      <c r="K29" s="27">
        <v>10</v>
      </c>
      <c r="L29" s="27" t="s">
        <v>185</v>
      </c>
      <c r="M29" s="27">
        <v>1</v>
      </c>
      <c r="N29" s="27" t="s">
        <v>186</v>
      </c>
      <c r="O29" s="54">
        <v>7100000</v>
      </c>
      <c r="P29" s="30">
        <f t="shared" si="1"/>
        <v>6212500</v>
      </c>
      <c r="Q29" s="32" t="s">
        <v>191</v>
      </c>
      <c r="R29" s="31">
        <f t="shared" si="0"/>
        <v>6212500</v>
      </c>
    </row>
    <row r="30" spans="1:18" s="21" customFormat="1" ht="15" customHeight="1">
      <c r="A30" s="27" t="s">
        <v>182</v>
      </c>
      <c r="B30" s="87" t="s">
        <v>187</v>
      </c>
      <c r="C30" s="28" t="s">
        <v>165</v>
      </c>
      <c r="D30" s="88" t="s">
        <v>252</v>
      </c>
      <c r="E30" s="28" t="s">
        <v>188</v>
      </c>
      <c r="F30" s="27">
        <v>1</v>
      </c>
      <c r="G30" s="27">
        <v>1</v>
      </c>
      <c r="H30" s="27" t="s">
        <v>184</v>
      </c>
      <c r="I30" s="27" t="s">
        <v>4</v>
      </c>
      <c r="J30" s="29" t="s">
        <v>232</v>
      </c>
      <c r="K30" s="27">
        <v>10</v>
      </c>
      <c r="L30" s="27" t="s">
        <v>185</v>
      </c>
      <c r="M30" s="27">
        <v>1</v>
      </c>
      <c r="N30" s="27" t="s">
        <v>186</v>
      </c>
      <c r="O30" s="54">
        <v>7100000</v>
      </c>
      <c r="P30" s="30">
        <f t="shared" si="1"/>
        <v>6212500</v>
      </c>
      <c r="Q30" s="32" t="s">
        <v>191</v>
      </c>
      <c r="R30" s="31">
        <f t="shared" si="0"/>
        <v>6212500</v>
      </c>
    </row>
    <row r="31" spans="1:18" s="21" customFormat="1" ht="15" customHeight="1">
      <c r="A31" s="27" t="s">
        <v>182</v>
      </c>
      <c r="B31" s="87" t="s">
        <v>187</v>
      </c>
      <c r="C31" s="28" t="s">
        <v>165</v>
      </c>
      <c r="D31" s="88" t="s">
        <v>253</v>
      </c>
      <c r="E31" s="28" t="s">
        <v>190</v>
      </c>
      <c r="F31" s="27">
        <v>1</v>
      </c>
      <c r="G31" s="27">
        <v>1</v>
      </c>
      <c r="H31" s="27" t="s">
        <v>184</v>
      </c>
      <c r="I31" s="27" t="s">
        <v>4</v>
      </c>
      <c r="J31" s="29" t="s">
        <v>232</v>
      </c>
      <c r="K31" s="27">
        <v>10</v>
      </c>
      <c r="L31" s="27" t="s">
        <v>185</v>
      </c>
      <c r="M31" s="27">
        <v>1</v>
      </c>
      <c r="N31" s="27" t="s">
        <v>186</v>
      </c>
      <c r="O31" s="54">
        <v>7100000</v>
      </c>
      <c r="P31" s="30">
        <f t="shared" si="1"/>
        <v>6212500</v>
      </c>
      <c r="Q31" s="32" t="s">
        <v>191</v>
      </c>
      <c r="R31" s="31">
        <f t="shared" si="0"/>
        <v>6212500</v>
      </c>
    </row>
    <row r="32" spans="1:18" s="21" customFormat="1" ht="15" customHeight="1">
      <c r="A32" s="27" t="s">
        <v>182</v>
      </c>
      <c r="B32" s="87" t="s">
        <v>187</v>
      </c>
      <c r="C32" s="97" t="s">
        <v>195</v>
      </c>
      <c r="D32" s="88" t="s">
        <v>254</v>
      </c>
      <c r="E32" s="28" t="s">
        <v>255</v>
      </c>
      <c r="F32" s="27">
        <v>1</v>
      </c>
      <c r="G32" s="27">
        <v>1</v>
      </c>
      <c r="H32" s="27" t="s">
        <v>184</v>
      </c>
      <c r="I32" s="27" t="s">
        <v>4</v>
      </c>
      <c r="J32" s="33" t="s">
        <v>257</v>
      </c>
      <c r="K32" s="27">
        <v>10</v>
      </c>
      <c r="L32" s="27" t="s">
        <v>185</v>
      </c>
      <c r="M32" s="27">
        <v>1</v>
      </c>
      <c r="N32" s="27" t="s">
        <v>186</v>
      </c>
      <c r="O32" s="58">
        <v>7865000</v>
      </c>
      <c r="P32" s="30">
        <f t="shared" si="1"/>
        <v>6881875</v>
      </c>
      <c r="Q32" s="32" t="s">
        <v>191</v>
      </c>
      <c r="R32" s="31">
        <f t="shared" si="0"/>
        <v>6881875</v>
      </c>
    </row>
    <row r="33" spans="1:18" s="21" customFormat="1" ht="16" customHeight="1">
      <c r="A33" s="27" t="s">
        <v>182</v>
      </c>
      <c r="B33" s="87" t="s">
        <v>187</v>
      </c>
      <c r="C33" s="97" t="s">
        <v>195</v>
      </c>
      <c r="D33" s="97" t="s">
        <v>256</v>
      </c>
      <c r="E33" s="99" t="s">
        <v>190</v>
      </c>
      <c r="F33" s="27">
        <v>1</v>
      </c>
      <c r="G33" s="27">
        <v>1</v>
      </c>
      <c r="H33" s="27" t="s">
        <v>184</v>
      </c>
      <c r="I33" s="27" t="s">
        <v>4</v>
      </c>
      <c r="J33" s="33" t="s">
        <v>199</v>
      </c>
      <c r="K33" s="27">
        <v>10</v>
      </c>
      <c r="L33" s="27" t="s">
        <v>185</v>
      </c>
      <c r="M33" s="27">
        <v>1</v>
      </c>
      <c r="N33" s="27" t="s">
        <v>186</v>
      </c>
      <c r="O33" s="54">
        <v>5700000</v>
      </c>
      <c r="P33" s="30">
        <f t="shared" si="1"/>
        <v>4987500</v>
      </c>
      <c r="Q33" s="32" t="s">
        <v>191</v>
      </c>
      <c r="R33" s="31">
        <f t="shared" si="0"/>
        <v>4987500</v>
      </c>
    </row>
    <row r="34" spans="1:18" s="21" customFormat="1" ht="15" customHeight="1">
      <c r="A34" s="27" t="s">
        <v>182</v>
      </c>
      <c r="B34" s="100" t="s">
        <v>187</v>
      </c>
      <c r="C34" s="101" t="s">
        <v>165</v>
      </c>
      <c r="D34" s="101" t="s">
        <v>307</v>
      </c>
      <c r="E34" s="101" t="s">
        <v>190</v>
      </c>
      <c r="F34" s="27">
        <v>1</v>
      </c>
      <c r="G34" s="27">
        <v>1</v>
      </c>
      <c r="H34" s="27" t="s">
        <v>184</v>
      </c>
      <c r="I34" s="27" t="s">
        <v>4</v>
      </c>
      <c r="J34" s="33" t="s">
        <v>199</v>
      </c>
      <c r="K34" s="27">
        <v>10</v>
      </c>
      <c r="L34" s="27" t="s">
        <v>185</v>
      </c>
      <c r="M34" s="27">
        <v>1</v>
      </c>
      <c r="N34" s="27" t="s">
        <v>186</v>
      </c>
      <c r="O34" s="54">
        <v>5700000</v>
      </c>
      <c r="P34" s="30">
        <f t="shared" si="1"/>
        <v>4987500</v>
      </c>
      <c r="Q34" s="32" t="s">
        <v>191</v>
      </c>
      <c r="R34" s="31">
        <f t="shared" si="0"/>
        <v>4987500</v>
      </c>
    </row>
    <row r="35" spans="1:18" s="21" customFormat="1" ht="15" customHeight="1">
      <c r="A35" s="27" t="s">
        <v>182</v>
      </c>
      <c r="B35" s="100" t="s">
        <v>187</v>
      </c>
      <c r="C35" s="101" t="s">
        <v>165</v>
      </c>
      <c r="D35" s="101" t="s">
        <v>311</v>
      </c>
      <c r="E35" s="101" t="s">
        <v>188</v>
      </c>
      <c r="F35" s="27">
        <v>1</v>
      </c>
      <c r="G35" s="27">
        <v>1</v>
      </c>
      <c r="H35" s="27" t="s">
        <v>184</v>
      </c>
      <c r="I35" s="27" t="s">
        <v>4</v>
      </c>
      <c r="J35" s="33" t="s">
        <v>232</v>
      </c>
      <c r="K35" s="27">
        <v>10</v>
      </c>
      <c r="L35" s="27" t="s">
        <v>185</v>
      </c>
      <c r="M35" s="27">
        <v>1</v>
      </c>
      <c r="N35" s="27" t="s">
        <v>186</v>
      </c>
      <c r="O35" s="54">
        <v>7100000</v>
      </c>
      <c r="P35" s="30">
        <f t="shared" si="1"/>
        <v>6212500</v>
      </c>
      <c r="Q35" s="32" t="s">
        <v>191</v>
      </c>
      <c r="R35" s="31">
        <f t="shared" si="0"/>
        <v>6212500</v>
      </c>
    </row>
    <row r="36" spans="1:18" s="21" customFormat="1" ht="15" customHeight="1">
      <c r="A36" s="27" t="s">
        <v>182</v>
      </c>
      <c r="B36" s="100" t="s">
        <v>187</v>
      </c>
      <c r="C36" s="101" t="s">
        <v>165</v>
      </c>
      <c r="D36" s="101" t="s">
        <v>312</v>
      </c>
      <c r="E36" s="101" t="s">
        <v>190</v>
      </c>
      <c r="F36" s="27">
        <v>1</v>
      </c>
      <c r="G36" s="27">
        <v>1</v>
      </c>
      <c r="H36" s="27" t="s">
        <v>184</v>
      </c>
      <c r="I36" s="27" t="s">
        <v>4</v>
      </c>
      <c r="J36" s="33" t="s">
        <v>199</v>
      </c>
      <c r="K36" s="27">
        <v>10</v>
      </c>
      <c r="L36" s="27" t="s">
        <v>185</v>
      </c>
      <c r="M36" s="27">
        <v>1</v>
      </c>
      <c r="N36" s="27" t="s">
        <v>186</v>
      </c>
      <c r="O36" s="54">
        <v>5700000</v>
      </c>
      <c r="P36" s="30">
        <f t="shared" si="1"/>
        <v>4987500</v>
      </c>
      <c r="Q36" s="32" t="s">
        <v>191</v>
      </c>
      <c r="R36" s="31">
        <f t="shared" si="0"/>
        <v>4987500</v>
      </c>
    </row>
    <row r="37" spans="1:18" s="21" customFormat="1" ht="15" customHeight="1">
      <c r="A37" s="27" t="s">
        <v>182</v>
      </c>
      <c r="B37" s="100" t="s">
        <v>187</v>
      </c>
      <c r="C37" s="101" t="s">
        <v>165</v>
      </c>
      <c r="D37" s="101" t="s">
        <v>308</v>
      </c>
      <c r="E37" s="101" t="s">
        <v>309</v>
      </c>
      <c r="F37" s="27">
        <v>1</v>
      </c>
      <c r="G37" s="27">
        <v>1</v>
      </c>
      <c r="H37" s="27" t="s">
        <v>184</v>
      </c>
      <c r="I37" s="27" t="s">
        <v>4</v>
      </c>
      <c r="J37" s="33" t="s">
        <v>310</v>
      </c>
      <c r="K37" s="27">
        <v>10</v>
      </c>
      <c r="L37" s="27" t="s">
        <v>185</v>
      </c>
      <c r="M37" s="27">
        <v>1</v>
      </c>
      <c r="N37" s="27" t="s">
        <v>186</v>
      </c>
      <c r="O37" s="54">
        <v>14000000</v>
      </c>
      <c r="P37" s="30">
        <f t="shared" si="1"/>
        <v>12250000</v>
      </c>
      <c r="Q37" s="32" t="s">
        <v>191</v>
      </c>
      <c r="R37" s="31">
        <f t="shared" si="0"/>
        <v>12250000</v>
      </c>
    </row>
    <row r="38" spans="1:18" s="79" customFormat="1" ht="15" customHeight="1">
      <c r="A38" s="27" t="s">
        <v>182</v>
      </c>
      <c r="B38" s="100" t="s">
        <v>187</v>
      </c>
      <c r="C38" s="101" t="s">
        <v>165</v>
      </c>
      <c r="D38" s="101" t="s">
        <v>292</v>
      </c>
      <c r="E38" s="101" t="s">
        <v>293</v>
      </c>
      <c r="F38" s="27">
        <v>1</v>
      </c>
      <c r="G38" s="27">
        <v>1</v>
      </c>
      <c r="H38" s="27" t="s">
        <v>184</v>
      </c>
      <c r="I38" s="27" t="s">
        <v>4</v>
      </c>
      <c r="J38" s="33" t="s">
        <v>294</v>
      </c>
      <c r="K38" s="27">
        <v>10</v>
      </c>
      <c r="L38" s="27" t="s">
        <v>185</v>
      </c>
      <c r="M38" s="27">
        <v>1</v>
      </c>
      <c r="N38" s="27" t="s">
        <v>186</v>
      </c>
      <c r="O38" s="54">
        <v>45000000</v>
      </c>
      <c r="P38" s="30">
        <f t="shared" si="1"/>
        <v>39375000</v>
      </c>
      <c r="Q38" s="32" t="s">
        <v>191</v>
      </c>
      <c r="R38" s="31">
        <f t="shared" si="0"/>
        <v>39375000</v>
      </c>
    </row>
    <row r="39" spans="1:18" s="79" customFormat="1" ht="15" customHeight="1">
      <c r="A39" s="27" t="s">
        <v>182</v>
      </c>
      <c r="B39" s="100" t="s">
        <v>187</v>
      </c>
      <c r="C39" s="101" t="s">
        <v>165</v>
      </c>
      <c r="D39" s="101" t="s">
        <v>295</v>
      </c>
      <c r="E39" s="101" t="s">
        <v>296</v>
      </c>
      <c r="F39" s="27">
        <v>1</v>
      </c>
      <c r="G39" s="27">
        <v>1</v>
      </c>
      <c r="H39" s="27" t="s">
        <v>184</v>
      </c>
      <c r="I39" s="27" t="s">
        <v>4</v>
      </c>
      <c r="J39" s="33" t="s">
        <v>297</v>
      </c>
      <c r="K39" s="27">
        <v>10</v>
      </c>
      <c r="L39" s="27" t="s">
        <v>185</v>
      </c>
      <c r="M39" s="27">
        <v>1</v>
      </c>
      <c r="N39" s="27" t="s">
        <v>186</v>
      </c>
      <c r="O39" s="54">
        <v>20700000</v>
      </c>
      <c r="P39" s="30">
        <f t="shared" si="1"/>
        <v>18112500</v>
      </c>
      <c r="Q39" s="32" t="s">
        <v>191</v>
      </c>
      <c r="R39" s="31">
        <f t="shared" si="0"/>
        <v>18112500</v>
      </c>
    </row>
    <row r="40" spans="1:18" s="79" customFormat="1" ht="15" customHeight="1">
      <c r="A40" s="27" t="s">
        <v>182</v>
      </c>
      <c r="B40" s="100" t="s">
        <v>187</v>
      </c>
      <c r="C40" s="101" t="s">
        <v>165</v>
      </c>
      <c r="D40" s="101" t="s">
        <v>298</v>
      </c>
      <c r="E40" s="101" t="s">
        <v>299</v>
      </c>
      <c r="F40" s="27">
        <v>1</v>
      </c>
      <c r="G40" s="27">
        <v>1</v>
      </c>
      <c r="H40" s="27" t="s">
        <v>184</v>
      </c>
      <c r="I40" s="27" t="s">
        <v>4</v>
      </c>
      <c r="J40" s="33" t="s">
        <v>300</v>
      </c>
      <c r="K40" s="27">
        <v>10</v>
      </c>
      <c r="L40" s="27" t="s">
        <v>185</v>
      </c>
      <c r="M40" s="27">
        <v>1</v>
      </c>
      <c r="N40" s="27" t="s">
        <v>186</v>
      </c>
      <c r="O40" s="54">
        <v>42450000</v>
      </c>
      <c r="P40" s="30">
        <f t="shared" si="1"/>
        <v>37143750</v>
      </c>
      <c r="Q40" s="32" t="s">
        <v>191</v>
      </c>
      <c r="R40" s="31">
        <f t="shared" si="0"/>
        <v>37143750</v>
      </c>
    </row>
    <row r="41" spans="1:18" s="79" customFormat="1" ht="15" customHeight="1">
      <c r="A41" s="27" t="s">
        <v>182</v>
      </c>
      <c r="B41" s="100" t="s">
        <v>187</v>
      </c>
      <c r="C41" s="101" t="s">
        <v>165</v>
      </c>
      <c r="D41" s="101" t="s">
        <v>301</v>
      </c>
      <c r="E41" s="101" t="s">
        <v>302</v>
      </c>
      <c r="F41" s="27">
        <v>1</v>
      </c>
      <c r="G41" s="27">
        <v>1</v>
      </c>
      <c r="H41" s="27" t="s">
        <v>184</v>
      </c>
      <c r="I41" s="27" t="s">
        <v>4</v>
      </c>
      <c r="J41" s="33" t="s">
        <v>303</v>
      </c>
      <c r="K41" s="27">
        <v>10</v>
      </c>
      <c r="L41" s="27" t="s">
        <v>185</v>
      </c>
      <c r="M41" s="27">
        <v>1</v>
      </c>
      <c r="N41" s="27" t="s">
        <v>186</v>
      </c>
      <c r="O41" s="54">
        <v>17200000</v>
      </c>
      <c r="P41" s="30">
        <f t="shared" si="1"/>
        <v>15050000</v>
      </c>
      <c r="Q41" s="32" t="s">
        <v>191</v>
      </c>
      <c r="R41" s="31">
        <f t="shared" ref="R41:R72" si="2">P41*G41</f>
        <v>15050000</v>
      </c>
    </row>
    <row r="42" spans="1:18" s="79" customFormat="1" ht="15" customHeight="1">
      <c r="A42" s="27" t="s">
        <v>182</v>
      </c>
      <c r="B42" s="100" t="s">
        <v>187</v>
      </c>
      <c r="C42" s="101" t="s">
        <v>165</v>
      </c>
      <c r="D42" s="101" t="s">
        <v>304</v>
      </c>
      <c r="E42" s="101" t="s">
        <v>305</v>
      </c>
      <c r="F42" s="27">
        <v>1</v>
      </c>
      <c r="G42" s="27">
        <v>1</v>
      </c>
      <c r="H42" s="27" t="s">
        <v>184</v>
      </c>
      <c r="I42" s="27" t="s">
        <v>4</v>
      </c>
      <c r="J42" s="33" t="s">
        <v>306</v>
      </c>
      <c r="K42" s="27">
        <v>10</v>
      </c>
      <c r="L42" s="27" t="s">
        <v>185</v>
      </c>
      <c r="M42" s="27">
        <v>1</v>
      </c>
      <c r="N42" s="27" t="s">
        <v>186</v>
      </c>
      <c r="O42" s="54">
        <v>18000000</v>
      </c>
      <c r="P42" s="30">
        <f t="shared" si="1"/>
        <v>15750000</v>
      </c>
      <c r="Q42" s="32" t="s">
        <v>191</v>
      </c>
      <c r="R42" s="31">
        <f t="shared" si="2"/>
        <v>15750000</v>
      </c>
    </row>
    <row r="43" spans="1:18" s="79" customFormat="1" ht="15" customHeight="1">
      <c r="A43" s="27" t="s">
        <v>182</v>
      </c>
      <c r="B43" s="102" t="s">
        <v>187</v>
      </c>
      <c r="C43" s="101" t="s">
        <v>165</v>
      </c>
      <c r="D43" s="101" t="s">
        <v>322</v>
      </c>
      <c r="E43" s="101" t="s">
        <v>190</v>
      </c>
      <c r="F43" s="27">
        <v>1</v>
      </c>
      <c r="G43" s="27">
        <v>1</v>
      </c>
      <c r="H43" s="27" t="s">
        <v>184</v>
      </c>
      <c r="I43" s="27" t="s">
        <v>4</v>
      </c>
      <c r="J43" s="33" t="s">
        <v>199</v>
      </c>
      <c r="K43" s="27">
        <v>10</v>
      </c>
      <c r="L43" s="27" t="s">
        <v>185</v>
      </c>
      <c r="M43" s="27">
        <v>1</v>
      </c>
      <c r="N43" s="27" t="s">
        <v>186</v>
      </c>
      <c r="O43" s="54">
        <v>5700000</v>
      </c>
      <c r="P43" s="30">
        <f t="shared" si="1"/>
        <v>4987500</v>
      </c>
      <c r="Q43" s="32" t="s">
        <v>191</v>
      </c>
      <c r="R43" s="31">
        <f t="shared" si="2"/>
        <v>4987500</v>
      </c>
    </row>
    <row r="44" spans="1:18" s="79" customFormat="1" ht="15" customHeight="1">
      <c r="A44" s="27" t="s">
        <v>182</v>
      </c>
      <c r="B44" s="102" t="s">
        <v>187</v>
      </c>
      <c r="C44" s="101" t="s">
        <v>165</v>
      </c>
      <c r="D44" s="101" t="s">
        <v>323</v>
      </c>
      <c r="E44" s="101" t="s">
        <v>190</v>
      </c>
      <c r="F44" s="27">
        <v>1</v>
      </c>
      <c r="G44" s="27">
        <v>1</v>
      </c>
      <c r="H44" s="27" t="s">
        <v>184</v>
      </c>
      <c r="I44" s="27" t="s">
        <v>4</v>
      </c>
      <c r="J44" s="33" t="s">
        <v>199</v>
      </c>
      <c r="K44" s="27">
        <v>10</v>
      </c>
      <c r="L44" s="27" t="s">
        <v>185</v>
      </c>
      <c r="M44" s="27">
        <v>1</v>
      </c>
      <c r="N44" s="27" t="s">
        <v>186</v>
      </c>
      <c r="O44" s="54">
        <v>5700000</v>
      </c>
      <c r="P44" s="30">
        <f t="shared" si="1"/>
        <v>4987500</v>
      </c>
      <c r="Q44" s="32" t="s">
        <v>191</v>
      </c>
      <c r="R44" s="31">
        <f t="shared" si="2"/>
        <v>4987500</v>
      </c>
    </row>
    <row r="45" spans="1:18" s="79" customFormat="1" ht="15" customHeight="1">
      <c r="A45" s="27" t="s">
        <v>182</v>
      </c>
      <c r="B45" s="102" t="s">
        <v>187</v>
      </c>
      <c r="C45" s="101" t="s">
        <v>165</v>
      </c>
      <c r="D45" s="101" t="s">
        <v>324</v>
      </c>
      <c r="E45" s="101" t="s">
        <v>188</v>
      </c>
      <c r="F45" s="27">
        <v>1</v>
      </c>
      <c r="G45" s="27">
        <v>1</v>
      </c>
      <c r="H45" s="27" t="s">
        <v>184</v>
      </c>
      <c r="I45" s="27" t="s">
        <v>4</v>
      </c>
      <c r="J45" s="33" t="s">
        <v>199</v>
      </c>
      <c r="K45" s="27">
        <v>10</v>
      </c>
      <c r="L45" s="27" t="s">
        <v>185</v>
      </c>
      <c r="M45" s="27">
        <v>1</v>
      </c>
      <c r="N45" s="27" t="s">
        <v>186</v>
      </c>
      <c r="O45" s="54">
        <v>7200000</v>
      </c>
      <c r="P45" s="30">
        <f t="shared" si="1"/>
        <v>6300000</v>
      </c>
      <c r="Q45" s="32" t="s">
        <v>191</v>
      </c>
      <c r="R45" s="31">
        <f t="shared" si="2"/>
        <v>6300000</v>
      </c>
    </row>
    <row r="46" spans="1:18" s="79" customFormat="1" ht="15" customHeight="1">
      <c r="A46" s="27" t="s">
        <v>182</v>
      </c>
      <c r="B46" s="102" t="s">
        <v>187</v>
      </c>
      <c r="C46" s="101" t="s">
        <v>165</v>
      </c>
      <c r="D46" s="101" t="s">
        <v>325</v>
      </c>
      <c r="E46" s="101" t="s">
        <v>190</v>
      </c>
      <c r="F46" s="27">
        <v>1</v>
      </c>
      <c r="G46" s="27">
        <v>1</v>
      </c>
      <c r="H46" s="27" t="s">
        <v>184</v>
      </c>
      <c r="I46" s="27" t="s">
        <v>4</v>
      </c>
      <c r="J46" s="33" t="s">
        <v>199</v>
      </c>
      <c r="K46" s="27">
        <v>10</v>
      </c>
      <c r="L46" s="27" t="s">
        <v>185</v>
      </c>
      <c r="M46" s="27">
        <v>1</v>
      </c>
      <c r="N46" s="27" t="s">
        <v>186</v>
      </c>
      <c r="O46" s="54">
        <v>5700000</v>
      </c>
      <c r="P46" s="30">
        <f t="shared" si="1"/>
        <v>4987500</v>
      </c>
      <c r="Q46" s="32" t="s">
        <v>191</v>
      </c>
      <c r="R46" s="31">
        <f t="shared" si="2"/>
        <v>4987500</v>
      </c>
    </row>
    <row r="47" spans="1:18" s="79" customFormat="1" ht="15" customHeight="1">
      <c r="A47" s="27" t="s">
        <v>182</v>
      </c>
      <c r="B47" s="102" t="s">
        <v>187</v>
      </c>
      <c r="C47" s="101" t="s">
        <v>165</v>
      </c>
      <c r="D47" s="101" t="s">
        <v>326</v>
      </c>
      <c r="E47" s="101" t="s">
        <v>188</v>
      </c>
      <c r="F47" s="27">
        <v>1</v>
      </c>
      <c r="G47" s="27">
        <v>1</v>
      </c>
      <c r="H47" s="27" t="s">
        <v>184</v>
      </c>
      <c r="I47" s="27" t="s">
        <v>4</v>
      </c>
      <c r="J47" s="33" t="s">
        <v>199</v>
      </c>
      <c r="K47" s="27">
        <v>10</v>
      </c>
      <c r="L47" s="27" t="s">
        <v>185</v>
      </c>
      <c r="M47" s="27">
        <v>1</v>
      </c>
      <c r="N47" s="27" t="s">
        <v>186</v>
      </c>
      <c r="O47" s="54">
        <v>5700000</v>
      </c>
      <c r="P47" s="30">
        <f t="shared" si="1"/>
        <v>4987500</v>
      </c>
      <c r="Q47" s="32" t="s">
        <v>191</v>
      </c>
      <c r="R47" s="31">
        <f t="shared" si="2"/>
        <v>4987500</v>
      </c>
    </row>
    <row r="48" spans="1:18" s="79" customFormat="1" ht="15" customHeight="1">
      <c r="A48" s="27" t="s">
        <v>182</v>
      </c>
      <c r="B48" s="102" t="s">
        <v>187</v>
      </c>
      <c r="C48" s="101" t="s">
        <v>165</v>
      </c>
      <c r="D48" s="101" t="s">
        <v>327</v>
      </c>
      <c r="E48" s="101" t="s">
        <v>190</v>
      </c>
      <c r="F48" s="27">
        <v>1</v>
      </c>
      <c r="G48" s="27">
        <v>1</v>
      </c>
      <c r="H48" s="27" t="s">
        <v>184</v>
      </c>
      <c r="I48" s="27" t="s">
        <v>4</v>
      </c>
      <c r="J48" s="33" t="s">
        <v>199</v>
      </c>
      <c r="K48" s="27">
        <v>10</v>
      </c>
      <c r="L48" s="27" t="s">
        <v>185</v>
      </c>
      <c r="M48" s="27">
        <v>1</v>
      </c>
      <c r="N48" s="27" t="s">
        <v>186</v>
      </c>
      <c r="O48" s="54">
        <v>5700000</v>
      </c>
      <c r="P48" s="30">
        <f t="shared" si="1"/>
        <v>4987500</v>
      </c>
      <c r="Q48" s="32" t="s">
        <v>191</v>
      </c>
      <c r="R48" s="31">
        <f t="shared" si="2"/>
        <v>4987500</v>
      </c>
    </row>
    <row r="49" spans="1:18" s="79" customFormat="1" ht="15" customHeight="1">
      <c r="A49" s="27" t="s">
        <v>182</v>
      </c>
      <c r="B49" s="102" t="s">
        <v>187</v>
      </c>
      <c r="C49" s="101" t="s">
        <v>165</v>
      </c>
      <c r="D49" s="101" t="s">
        <v>331</v>
      </c>
      <c r="E49" s="101" t="s">
        <v>332</v>
      </c>
      <c r="F49" s="27">
        <v>1</v>
      </c>
      <c r="G49" s="27">
        <v>1</v>
      </c>
      <c r="H49" s="27" t="s">
        <v>184</v>
      </c>
      <c r="I49" s="27" t="s">
        <v>4</v>
      </c>
      <c r="J49" s="103" t="s">
        <v>336</v>
      </c>
      <c r="K49" s="27">
        <v>10</v>
      </c>
      <c r="L49" s="27" t="s">
        <v>185</v>
      </c>
      <c r="M49" s="27">
        <v>1</v>
      </c>
      <c r="N49" s="27" t="s">
        <v>186</v>
      </c>
      <c r="O49" s="54">
        <v>16000000</v>
      </c>
      <c r="P49" s="30">
        <f t="shared" si="1"/>
        <v>14000000</v>
      </c>
      <c r="Q49" s="32" t="s">
        <v>191</v>
      </c>
      <c r="R49" s="31">
        <f t="shared" si="2"/>
        <v>14000000</v>
      </c>
    </row>
    <row r="50" spans="1:18" s="79" customFormat="1" ht="15" customHeight="1">
      <c r="A50" s="27" t="s">
        <v>182</v>
      </c>
      <c r="B50" s="102" t="s">
        <v>187</v>
      </c>
      <c r="C50" s="101" t="s">
        <v>165</v>
      </c>
      <c r="D50" s="101" t="s">
        <v>333</v>
      </c>
      <c r="E50" s="101" t="s">
        <v>334</v>
      </c>
      <c r="F50" s="27">
        <v>1</v>
      </c>
      <c r="G50" s="27">
        <v>1</v>
      </c>
      <c r="H50" s="27" t="s">
        <v>184</v>
      </c>
      <c r="I50" s="27" t="s">
        <v>4</v>
      </c>
      <c r="J50" s="103" t="s">
        <v>335</v>
      </c>
      <c r="K50" s="27">
        <v>10</v>
      </c>
      <c r="L50" s="27" t="s">
        <v>185</v>
      </c>
      <c r="M50" s="27">
        <v>1</v>
      </c>
      <c r="N50" s="27" t="s">
        <v>186</v>
      </c>
      <c r="O50" s="54">
        <v>19485000</v>
      </c>
      <c r="P50" s="30">
        <f t="shared" si="1"/>
        <v>17049375</v>
      </c>
      <c r="Q50" s="32" t="s">
        <v>191</v>
      </c>
      <c r="R50" s="31">
        <f t="shared" si="2"/>
        <v>17049375</v>
      </c>
    </row>
    <row r="51" spans="1:18" s="79" customFormat="1" ht="15" customHeight="1">
      <c r="A51" s="27" t="s">
        <v>182</v>
      </c>
      <c r="B51" s="102" t="s">
        <v>187</v>
      </c>
      <c r="C51" s="101" t="s">
        <v>165</v>
      </c>
      <c r="D51" s="101" t="s">
        <v>337</v>
      </c>
      <c r="E51" s="101" t="s">
        <v>338</v>
      </c>
      <c r="F51" s="27">
        <v>1</v>
      </c>
      <c r="G51" s="27">
        <v>1</v>
      </c>
      <c r="H51" s="27" t="s">
        <v>184</v>
      </c>
      <c r="I51" s="27" t="s">
        <v>4</v>
      </c>
      <c r="J51" s="33" t="s">
        <v>310</v>
      </c>
      <c r="K51" s="27">
        <v>10</v>
      </c>
      <c r="L51" s="27" t="s">
        <v>185</v>
      </c>
      <c r="M51" s="27">
        <v>1</v>
      </c>
      <c r="N51" s="27" t="s">
        <v>186</v>
      </c>
      <c r="O51" s="54">
        <v>25000000</v>
      </c>
      <c r="P51" s="30">
        <f t="shared" si="1"/>
        <v>21875000</v>
      </c>
      <c r="Q51" s="32" t="s">
        <v>191</v>
      </c>
      <c r="R51" s="31">
        <f t="shared" si="2"/>
        <v>21875000</v>
      </c>
    </row>
    <row r="52" spans="1:18" s="79" customFormat="1" ht="15" customHeight="1">
      <c r="A52" s="27" t="s">
        <v>182</v>
      </c>
      <c r="B52" s="102" t="s">
        <v>187</v>
      </c>
      <c r="C52" s="101" t="s">
        <v>165</v>
      </c>
      <c r="D52" s="101" t="s">
        <v>339</v>
      </c>
      <c r="E52" s="101" t="s">
        <v>340</v>
      </c>
      <c r="F52" s="27">
        <v>1</v>
      </c>
      <c r="G52" s="27">
        <v>1</v>
      </c>
      <c r="H52" s="27" t="s">
        <v>184</v>
      </c>
      <c r="I52" s="27" t="s">
        <v>4</v>
      </c>
      <c r="J52" s="33" t="s">
        <v>310</v>
      </c>
      <c r="K52" s="27">
        <v>10</v>
      </c>
      <c r="L52" s="27" t="s">
        <v>185</v>
      </c>
      <c r="M52" s="27">
        <v>1</v>
      </c>
      <c r="N52" s="27" t="s">
        <v>186</v>
      </c>
      <c r="O52" s="54">
        <v>14000000</v>
      </c>
      <c r="P52" s="30">
        <f t="shared" si="1"/>
        <v>12250000</v>
      </c>
      <c r="Q52" s="32" t="s">
        <v>191</v>
      </c>
      <c r="R52" s="31">
        <f t="shared" si="2"/>
        <v>12250000</v>
      </c>
    </row>
    <row r="53" spans="1:18" s="79" customFormat="1" ht="15" customHeight="1">
      <c r="A53" s="27" t="s">
        <v>182</v>
      </c>
      <c r="B53" s="102" t="s">
        <v>187</v>
      </c>
      <c r="C53" s="101" t="s">
        <v>165</v>
      </c>
      <c r="D53" s="101" t="s">
        <v>341</v>
      </c>
      <c r="E53" s="101" t="s">
        <v>342</v>
      </c>
      <c r="F53" s="27">
        <v>1</v>
      </c>
      <c r="G53" s="27">
        <v>1</v>
      </c>
      <c r="H53" s="27" t="s">
        <v>184</v>
      </c>
      <c r="I53" s="27" t="s">
        <v>4</v>
      </c>
      <c r="J53" s="33" t="s">
        <v>310</v>
      </c>
      <c r="K53" s="27">
        <v>10</v>
      </c>
      <c r="L53" s="27" t="s">
        <v>185</v>
      </c>
      <c r="M53" s="27">
        <v>1</v>
      </c>
      <c r="N53" s="27" t="s">
        <v>186</v>
      </c>
      <c r="O53" s="54">
        <v>10000000</v>
      </c>
      <c r="P53" s="30">
        <f t="shared" si="1"/>
        <v>8750000</v>
      </c>
      <c r="Q53" s="32" t="s">
        <v>191</v>
      </c>
      <c r="R53" s="31">
        <f t="shared" si="2"/>
        <v>8750000</v>
      </c>
    </row>
    <row r="54" spans="1:18" s="21" customFormat="1" ht="15" customHeight="1">
      <c r="A54" s="27" t="s">
        <v>182</v>
      </c>
      <c r="B54" s="104" t="s">
        <v>187</v>
      </c>
      <c r="C54" s="34" t="s">
        <v>205</v>
      </c>
      <c r="D54" s="35" t="s">
        <v>207</v>
      </c>
      <c r="E54" s="28" t="s">
        <v>201</v>
      </c>
      <c r="F54" s="27">
        <v>1</v>
      </c>
      <c r="G54" s="27">
        <v>1</v>
      </c>
      <c r="H54" s="27" t="s">
        <v>184</v>
      </c>
      <c r="I54" s="27" t="s">
        <v>4</v>
      </c>
      <c r="J54" s="33" t="s">
        <v>199</v>
      </c>
      <c r="K54" s="27">
        <v>10</v>
      </c>
      <c r="L54" s="27" t="s">
        <v>185</v>
      </c>
      <c r="M54" s="27">
        <v>1</v>
      </c>
      <c r="N54" s="27" t="s">
        <v>186</v>
      </c>
      <c r="O54" s="54">
        <v>3500000</v>
      </c>
      <c r="P54" s="30">
        <f t="shared" si="1"/>
        <v>3062500</v>
      </c>
      <c r="Q54" s="32" t="s">
        <v>191</v>
      </c>
      <c r="R54" s="31">
        <f t="shared" si="2"/>
        <v>3062500</v>
      </c>
    </row>
    <row r="55" spans="1:18" s="21" customFormat="1" ht="15" customHeight="1">
      <c r="A55" s="27" t="s">
        <v>182</v>
      </c>
      <c r="B55" s="104" t="s">
        <v>187</v>
      </c>
      <c r="C55" s="34" t="s">
        <v>205</v>
      </c>
      <c r="D55" s="35" t="s">
        <v>208</v>
      </c>
      <c r="E55" s="28" t="s">
        <v>201</v>
      </c>
      <c r="F55" s="27">
        <v>1</v>
      </c>
      <c r="G55" s="27">
        <v>1</v>
      </c>
      <c r="H55" s="27" t="s">
        <v>184</v>
      </c>
      <c r="I55" s="27" t="s">
        <v>4</v>
      </c>
      <c r="J55" s="33" t="s">
        <v>199</v>
      </c>
      <c r="K55" s="27">
        <v>10</v>
      </c>
      <c r="L55" s="27" t="s">
        <v>185</v>
      </c>
      <c r="M55" s="27">
        <v>1</v>
      </c>
      <c r="N55" s="27" t="s">
        <v>186</v>
      </c>
      <c r="O55" s="54">
        <v>3500000</v>
      </c>
      <c r="P55" s="30">
        <f t="shared" si="1"/>
        <v>3062500</v>
      </c>
      <c r="Q55" s="32" t="s">
        <v>191</v>
      </c>
      <c r="R55" s="31">
        <f t="shared" si="2"/>
        <v>3062500</v>
      </c>
    </row>
    <row r="56" spans="1:18" s="21" customFormat="1" ht="15" customHeight="1">
      <c r="A56" s="27" t="s">
        <v>182</v>
      </c>
      <c r="B56" s="104" t="s">
        <v>187</v>
      </c>
      <c r="C56" s="34" t="s">
        <v>205</v>
      </c>
      <c r="D56" s="35" t="s">
        <v>209</v>
      </c>
      <c r="E56" s="28" t="s">
        <v>201</v>
      </c>
      <c r="F56" s="27">
        <v>1</v>
      </c>
      <c r="G56" s="27">
        <v>1</v>
      </c>
      <c r="H56" s="27" t="s">
        <v>184</v>
      </c>
      <c r="I56" s="27" t="s">
        <v>4</v>
      </c>
      <c r="J56" s="33" t="s">
        <v>199</v>
      </c>
      <c r="K56" s="27">
        <v>10</v>
      </c>
      <c r="L56" s="27" t="s">
        <v>185</v>
      </c>
      <c r="M56" s="27">
        <v>1</v>
      </c>
      <c r="N56" s="27" t="s">
        <v>186</v>
      </c>
      <c r="O56" s="54">
        <v>3500000</v>
      </c>
      <c r="P56" s="30">
        <f t="shared" si="1"/>
        <v>3062500</v>
      </c>
      <c r="Q56" s="32" t="s">
        <v>191</v>
      </c>
      <c r="R56" s="31">
        <f t="shared" si="2"/>
        <v>3062500</v>
      </c>
    </row>
    <row r="57" spans="1:18" s="21" customFormat="1" ht="15" customHeight="1">
      <c r="A57" s="27" t="s">
        <v>182</v>
      </c>
      <c r="B57" s="104" t="s">
        <v>187</v>
      </c>
      <c r="C57" s="34" t="s">
        <v>205</v>
      </c>
      <c r="D57" s="35" t="s">
        <v>210</v>
      </c>
      <c r="E57" s="28" t="s">
        <v>201</v>
      </c>
      <c r="F57" s="27">
        <v>1</v>
      </c>
      <c r="G57" s="27">
        <v>1</v>
      </c>
      <c r="H57" s="27" t="s">
        <v>184</v>
      </c>
      <c r="I57" s="27" t="s">
        <v>4</v>
      </c>
      <c r="J57" s="33" t="s">
        <v>199</v>
      </c>
      <c r="K57" s="27">
        <v>10</v>
      </c>
      <c r="L57" s="27" t="s">
        <v>185</v>
      </c>
      <c r="M57" s="27">
        <v>1</v>
      </c>
      <c r="N57" s="27" t="s">
        <v>186</v>
      </c>
      <c r="O57" s="54">
        <v>3500000</v>
      </c>
      <c r="P57" s="30">
        <f t="shared" si="1"/>
        <v>3062500</v>
      </c>
      <c r="Q57" s="32" t="s">
        <v>191</v>
      </c>
      <c r="R57" s="31">
        <f t="shared" si="2"/>
        <v>3062500</v>
      </c>
    </row>
    <row r="58" spans="1:18" s="21" customFormat="1" ht="15" customHeight="1">
      <c r="A58" s="27" t="s">
        <v>182</v>
      </c>
      <c r="B58" s="104" t="s">
        <v>187</v>
      </c>
      <c r="C58" s="34" t="s">
        <v>205</v>
      </c>
      <c r="D58" s="35" t="s">
        <v>211</v>
      </c>
      <c r="E58" s="36" t="s">
        <v>201</v>
      </c>
      <c r="F58" s="27">
        <v>1</v>
      </c>
      <c r="G58" s="27">
        <v>1</v>
      </c>
      <c r="H58" s="27" t="s">
        <v>184</v>
      </c>
      <c r="I58" s="27" t="s">
        <v>4</v>
      </c>
      <c r="J58" s="33" t="s">
        <v>199</v>
      </c>
      <c r="K58" s="27">
        <v>10</v>
      </c>
      <c r="L58" s="27" t="s">
        <v>185</v>
      </c>
      <c r="M58" s="27">
        <v>1</v>
      </c>
      <c r="N58" s="27" t="s">
        <v>186</v>
      </c>
      <c r="O58" s="54">
        <v>3500000</v>
      </c>
      <c r="P58" s="30">
        <f t="shared" si="1"/>
        <v>3062500</v>
      </c>
      <c r="Q58" s="32" t="s">
        <v>191</v>
      </c>
      <c r="R58" s="31">
        <f t="shared" si="2"/>
        <v>3062500</v>
      </c>
    </row>
    <row r="59" spans="1:18" s="21" customFormat="1" ht="15" customHeight="1">
      <c r="A59" s="27" t="s">
        <v>182</v>
      </c>
      <c r="B59" s="104" t="s">
        <v>187</v>
      </c>
      <c r="C59" s="34" t="s">
        <v>205</v>
      </c>
      <c r="D59" s="35" t="s">
        <v>212</v>
      </c>
      <c r="E59" s="28" t="s">
        <v>213</v>
      </c>
      <c r="F59" s="27">
        <v>1</v>
      </c>
      <c r="G59" s="27">
        <v>1</v>
      </c>
      <c r="H59" s="27" t="s">
        <v>184</v>
      </c>
      <c r="I59" s="27" t="s">
        <v>4</v>
      </c>
      <c r="J59" s="33" t="s">
        <v>199</v>
      </c>
      <c r="K59" s="27">
        <v>10</v>
      </c>
      <c r="L59" s="27" t="s">
        <v>185</v>
      </c>
      <c r="M59" s="27">
        <v>1</v>
      </c>
      <c r="N59" s="27" t="s">
        <v>186</v>
      </c>
      <c r="O59" s="54">
        <v>3500000</v>
      </c>
      <c r="P59" s="30">
        <f t="shared" si="1"/>
        <v>3062500</v>
      </c>
      <c r="Q59" s="32" t="s">
        <v>191</v>
      </c>
      <c r="R59" s="31">
        <f t="shared" si="2"/>
        <v>3062500</v>
      </c>
    </row>
    <row r="60" spans="1:18" s="21" customFormat="1" ht="15" customHeight="1">
      <c r="A60" s="27" t="s">
        <v>182</v>
      </c>
      <c r="B60" s="104" t="s">
        <v>187</v>
      </c>
      <c r="C60" s="37" t="s">
        <v>205</v>
      </c>
      <c r="D60" s="38" t="s">
        <v>214</v>
      </c>
      <c r="E60" s="36" t="s">
        <v>188</v>
      </c>
      <c r="F60" s="27">
        <v>1</v>
      </c>
      <c r="G60" s="27">
        <v>1</v>
      </c>
      <c r="H60" s="27" t="s">
        <v>184</v>
      </c>
      <c r="I60" s="27" t="s">
        <v>4</v>
      </c>
      <c r="J60" s="33" t="s">
        <v>199</v>
      </c>
      <c r="K60" s="27">
        <v>10</v>
      </c>
      <c r="L60" s="27" t="s">
        <v>185</v>
      </c>
      <c r="M60" s="27">
        <v>1</v>
      </c>
      <c r="N60" s="27" t="s">
        <v>186</v>
      </c>
      <c r="O60" s="54">
        <v>3500000</v>
      </c>
      <c r="P60" s="30">
        <f t="shared" si="1"/>
        <v>3062500</v>
      </c>
      <c r="Q60" s="32" t="s">
        <v>191</v>
      </c>
      <c r="R60" s="31">
        <f t="shared" si="2"/>
        <v>3062500</v>
      </c>
    </row>
    <row r="61" spans="1:18" s="21" customFormat="1" ht="15" customHeight="1">
      <c r="A61" s="27" t="s">
        <v>182</v>
      </c>
      <c r="B61" s="105" t="s">
        <v>187</v>
      </c>
      <c r="C61" s="101" t="s">
        <v>205</v>
      </c>
      <c r="D61" s="101" t="s">
        <v>313</v>
      </c>
      <c r="E61" s="101" t="s">
        <v>190</v>
      </c>
      <c r="F61" s="27">
        <v>1</v>
      </c>
      <c r="G61" s="27">
        <v>1</v>
      </c>
      <c r="H61" s="27" t="s">
        <v>184</v>
      </c>
      <c r="I61" s="27" t="s">
        <v>4</v>
      </c>
      <c r="J61" s="33" t="s">
        <v>199</v>
      </c>
      <c r="K61" s="27">
        <v>10</v>
      </c>
      <c r="L61" s="27" t="s">
        <v>185</v>
      </c>
      <c r="M61" s="27">
        <v>1</v>
      </c>
      <c r="N61" s="27" t="s">
        <v>186</v>
      </c>
      <c r="O61" s="54">
        <v>3500000</v>
      </c>
      <c r="P61" s="30">
        <f t="shared" si="1"/>
        <v>3062500</v>
      </c>
      <c r="Q61" s="32" t="s">
        <v>191</v>
      </c>
      <c r="R61" s="31">
        <f t="shared" si="2"/>
        <v>3062500</v>
      </c>
    </row>
    <row r="62" spans="1:18" s="21" customFormat="1" ht="15" customHeight="1">
      <c r="A62" s="27" t="s">
        <v>182</v>
      </c>
      <c r="B62" s="105" t="s">
        <v>187</v>
      </c>
      <c r="C62" s="101" t="s">
        <v>205</v>
      </c>
      <c r="D62" s="101" t="s">
        <v>314</v>
      </c>
      <c r="E62" s="101" t="s">
        <v>190</v>
      </c>
      <c r="F62" s="27">
        <v>1</v>
      </c>
      <c r="G62" s="27">
        <v>1</v>
      </c>
      <c r="H62" s="27" t="s">
        <v>184</v>
      </c>
      <c r="I62" s="27" t="s">
        <v>4</v>
      </c>
      <c r="J62" s="33" t="s">
        <v>199</v>
      </c>
      <c r="K62" s="27">
        <v>10</v>
      </c>
      <c r="L62" s="27" t="s">
        <v>185</v>
      </c>
      <c r="M62" s="27">
        <v>1</v>
      </c>
      <c r="N62" s="27" t="s">
        <v>186</v>
      </c>
      <c r="O62" s="54">
        <v>3500000</v>
      </c>
      <c r="P62" s="30">
        <f t="shared" si="1"/>
        <v>3062500</v>
      </c>
      <c r="Q62" s="32" t="s">
        <v>191</v>
      </c>
      <c r="R62" s="31">
        <f t="shared" si="2"/>
        <v>3062500</v>
      </c>
    </row>
    <row r="63" spans="1:18" s="21" customFormat="1" ht="15" customHeight="1">
      <c r="A63" s="27" t="s">
        <v>182</v>
      </c>
      <c r="B63" s="105" t="s">
        <v>187</v>
      </c>
      <c r="C63" s="101" t="s">
        <v>205</v>
      </c>
      <c r="D63" s="101" t="s">
        <v>315</v>
      </c>
      <c r="E63" s="101" t="s">
        <v>201</v>
      </c>
      <c r="F63" s="27">
        <v>1</v>
      </c>
      <c r="G63" s="27">
        <v>1</v>
      </c>
      <c r="H63" s="27" t="s">
        <v>184</v>
      </c>
      <c r="I63" s="27" t="s">
        <v>4</v>
      </c>
      <c r="J63" s="33" t="s">
        <v>199</v>
      </c>
      <c r="K63" s="27">
        <v>10</v>
      </c>
      <c r="L63" s="27" t="s">
        <v>185</v>
      </c>
      <c r="M63" s="27">
        <v>1</v>
      </c>
      <c r="N63" s="27" t="s">
        <v>186</v>
      </c>
      <c r="O63" s="54">
        <v>8250000</v>
      </c>
      <c r="P63" s="30">
        <f t="shared" si="1"/>
        <v>7218750</v>
      </c>
      <c r="Q63" s="32" t="s">
        <v>191</v>
      </c>
      <c r="R63" s="31">
        <f t="shared" si="2"/>
        <v>7218750</v>
      </c>
    </row>
    <row r="64" spans="1:18" s="21" customFormat="1" ht="15" customHeight="1">
      <c r="A64" s="27" t="s">
        <v>182</v>
      </c>
      <c r="B64" s="105" t="s">
        <v>187</v>
      </c>
      <c r="C64" s="101" t="s">
        <v>205</v>
      </c>
      <c r="D64" s="101" t="s">
        <v>316</v>
      </c>
      <c r="E64" s="101" t="s">
        <v>317</v>
      </c>
      <c r="F64" s="27">
        <v>1</v>
      </c>
      <c r="G64" s="27">
        <v>1</v>
      </c>
      <c r="H64" s="27" t="s">
        <v>184</v>
      </c>
      <c r="I64" s="27" t="s">
        <v>4</v>
      </c>
      <c r="J64" s="33" t="s">
        <v>199</v>
      </c>
      <c r="K64" s="27">
        <v>10</v>
      </c>
      <c r="L64" s="27" t="s">
        <v>185</v>
      </c>
      <c r="M64" s="27">
        <v>1</v>
      </c>
      <c r="N64" s="27" t="s">
        <v>186</v>
      </c>
      <c r="O64" s="54">
        <v>8250000</v>
      </c>
      <c r="P64" s="30">
        <f t="shared" si="1"/>
        <v>7218750</v>
      </c>
      <c r="Q64" s="32" t="s">
        <v>191</v>
      </c>
      <c r="R64" s="31">
        <f t="shared" si="2"/>
        <v>7218750</v>
      </c>
    </row>
    <row r="65" spans="1:18" s="21" customFormat="1" ht="15" customHeight="1">
      <c r="A65" s="27" t="s">
        <v>182</v>
      </c>
      <c r="B65" s="104" t="s">
        <v>187</v>
      </c>
      <c r="C65" s="37" t="s">
        <v>242</v>
      </c>
      <c r="D65" s="38" t="s">
        <v>243</v>
      </c>
      <c r="E65" s="36" t="s">
        <v>201</v>
      </c>
      <c r="F65" s="27">
        <v>1</v>
      </c>
      <c r="G65" s="27">
        <v>1</v>
      </c>
      <c r="H65" s="27" t="s">
        <v>184</v>
      </c>
      <c r="I65" s="27" t="s">
        <v>4</v>
      </c>
      <c r="J65" s="33" t="s">
        <v>199</v>
      </c>
      <c r="K65" s="27">
        <v>10</v>
      </c>
      <c r="L65" s="27" t="s">
        <v>185</v>
      </c>
      <c r="M65" s="27">
        <v>1</v>
      </c>
      <c r="N65" s="27" t="s">
        <v>186</v>
      </c>
      <c r="O65" s="54">
        <v>3500000</v>
      </c>
      <c r="P65" s="30">
        <f t="shared" si="1"/>
        <v>3062500</v>
      </c>
      <c r="Q65" s="32" t="s">
        <v>191</v>
      </c>
      <c r="R65" s="31">
        <f t="shared" si="2"/>
        <v>3062500</v>
      </c>
    </row>
    <row r="66" spans="1:18" s="21" customFormat="1" ht="15" customHeight="1">
      <c r="A66" s="27" t="s">
        <v>182</v>
      </c>
      <c r="B66" s="104" t="s">
        <v>187</v>
      </c>
      <c r="C66" s="37" t="s">
        <v>242</v>
      </c>
      <c r="D66" s="38" t="s">
        <v>244</v>
      </c>
      <c r="E66" s="36" t="s">
        <v>201</v>
      </c>
      <c r="F66" s="27">
        <v>1</v>
      </c>
      <c r="G66" s="27">
        <v>1</v>
      </c>
      <c r="H66" s="27" t="s">
        <v>184</v>
      </c>
      <c r="I66" s="27" t="s">
        <v>4</v>
      </c>
      <c r="J66" s="33" t="s">
        <v>199</v>
      </c>
      <c r="K66" s="27">
        <v>10</v>
      </c>
      <c r="L66" s="27" t="s">
        <v>185</v>
      </c>
      <c r="M66" s="27">
        <v>1</v>
      </c>
      <c r="N66" s="27" t="s">
        <v>186</v>
      </c>
      <c r="O66" s="54">
        <v>3500000</v>
      </c>
      <c r="P66" s="30">
        <f t="shared" si="1"/>
        <v>3062500</v>
      </c>
      <c r="Q66" s="32" t="s">
        <v>191</v>
      </c>
      <c r="R66" s="31">
        <f t="shared" si="2"/>
        <v>3062500</v>
      </c>
    </row>
    <row r="67" spans="1:18" s="21" customFormat="1" ht="15" customHeight="1">
      <c r="A67" s="27" t="s">
        <v>182</v>
      </c>
      <c r="B67" s="104" t="s">
        <v>187</v>
      </c>
      <c r="C67" s="37" t="s">
        <v>242</v>
      </c>
      <c r="D67" s="38" t="s">
        <v>245</v>
      </c>
      <c r="E67" s="36" t="s">
        <v>201</v>
      </c>
      <c r="F67" s="27">
        <v>1</v>
      </c>
      <c r="G67" s="27">
        <v>1</v>
      </c>
      <c r="H67" s="27" t="s">
        <v>184</v>
      </c>
      <c r="I67" s="27" t="s">
        <v>4</v>
      </c>
      <c r="J67" s="33" t="s">
        <v>199</v>
      </c>
      <c r="K67" s="27">
        <v>10</v>
      </c>
      <c r="L67" s="27" t="s">
        <v>185</v>
      </c>
      <c r="M67" s="27">
        <v>1</v>
      </c>
      <c r="N67" s="27" t="s">
        <v>186</v>
      </c>
      <c r="O67" s="54">
        <v>3500000</v>
      </c>
      <c r="P67" s="30">
        <f t="shared" si="1"/>
        <v>3062500</v>
      </c>
      <c r="Q67" s="32" t="s">
        <v>191</v>
      </c>
      <c r="R67" s="31">
        <f t="shared" si="2"/>
        <v>3062500</v>
      </c>
    </row>
    <row r="68" spans="1:18" s="21" customFormat="1" ht="15" customHeight="1">
      <c r="A68" s="27" t="s">
        <v>182</v>
      </c>
      <c r="B68" s="104" t="s">
        <v>187</v>
      </c>
      <c r="C68" s="37" t="s">
        <v>242</v>
      </c>
      <c r="D68" s="38" t="s">
        <v>246</v>
      </c>
      <c r="E68" s="36" t="s">
        <v>201</v>
      </c>
      <c r="F68" s="27">
        <v>1</v>
      </c>
      <c r="G68" s="27">
        <v>1</v>
      </c>
      <c r="H68" s="27" t="s">
        <v>184</v>
      </c>
      <c r="I68" s="27" t="s">
        <v>4</v>
      </c>
      <c r="J68" s="33" t="s">
        <v>199</v>
      </c>
      <c r="K68" s="27">
        <v>10</v>
      </c>
      <c r="L68" s="27" t="s">
        <v>185</v>
      </c>
      <c r="M68" s="27">
        <v>1</v>
      </c>
      <c r="N68" s="27" t="s">
        <v>186</v>
      </c>
      <c r="O68" s="54">
        <v>3500000</v>
      </c>
      <c r="P68" s="30">
        <f t="shared" si="1"/>
        <v>3062500</v>
      </c>
      <c r="Q68" s="32" t="s">
        <v>191</v>
      </c>
      <c r="R68" s="31">
        <f t="shared" si="2"/>
        <v>3062500</v>
      </c>
    </row>
    <row r="69" spans="1:18" s="21" customFormat="1" ht="15" customHeight="1">
      <c r="A69" s="27" t="s">
        <v>182</v>
      </c>
      <c r="B69" s="104" t="s">
        <v>187</v>
      </c>
      <c r="C69" s="34" t="s">
        <v>242</v>
      </c>
      <c r="D69" s="35" t="s">
        <v>247</v>
      </c>
      <c r="E69" s="36" t="s">
        <v>190</v>
      </c>
      <c r="F69" s="27">
        <v>1</v>
      </c>
      <c r="G69" s="27">
        <v>1</v>
      </c>
      <c r="H69" s="27" t="s">
        <v>184</v>
      </c>
      <c r="I69" s="27" t="s">
        <v>4</v>
      </c>
      <c r="J69" s="33" t="s">
        <v>199</v>
      </c>
      <c r="K69" s="27">
        <v>10</v>
      </c>
      <c r="L69" s="27" t="s">
        <v>185</v>
      </c>
      <c r="M69" s="27">
        <v>1</v>
      </c>
      <c r="N69" s="27" t="s">
        <v>186</v>
      </c>
      <c r="O69" s="54">
        <v>5500000</v>
      </c>
      <c r="P69" s="30">
        <f t="shared" si="1"/>
        <v>4812500</v>
      </c>
      <c r="Q69" s="32" t="s">
        <v>191</v>
      </c>
      <c r="R69" s="31">
        <f t="shared" si="2"/>
        <v>4812500</v>
      </c>
    </row>
    <row r="70" spans="1:18" s="21" customFormat="1" ht="15" customHeight="1">
      <c r="A70" s="27" t="s">
        <v>182</v>
      </c>
      <c r="B70" s="104" t="s">
        <v>187</v>
      </c>
      <c r="C70" s="37" t="s">
        <v>242</v>
      </c>
      <c r="D70" s="38" t="s">
        <v>248</v>
      </c>
      <c r="E70" s="36" t="s">
        <v>190</v>
      </c>
      <c r="F70" s="27">
        <v>1</v>
      </c>
      <c r="G70" s="27">
        <v>1</v>
      </c>
      <c r="H70" s="27" t="s">
        <v>184</v>
      </c>
      <c r="I70" s="27" t="s">
        <v>4</v>
      </c>
      <c r="J70" s="33" t="s">
        <v>199</v>
      </c>
      <c r="K70" s="27">
        <v>10</v>
      </c>
      <c r="L70" s="27" t="s">
        <v>185</v>
      </c>
      <c r="M70" s="27">
        <v>1</v>
      </c>
      <c r="N70" s="27" t="s">
        <v>186</v>
      </c>
      <c r="O70" s="54">
        <v>3500000</v>
      </c>
      <c r="P70" s="30">
        <f t="shared" si="1"/>
        <v>3062500</v>
      </c>
      <c r="Q70" s="32" t="s">
        <v>191</v>
      </c>
      <c r="R70" s="31">
        <f t="shared" si="2"/>
        <v>3062500</v>
      </c>
    </row>
    <row r="71" spans="1:18" s="21" customFormat="1" ht="15" customHeight="1">
      <c r="A71" s="27" t="s">
        <v>182</v>
      </c>
      <c r="B71" s="105" t="s">
        <v>187</v>
      </c>
      <c r="C71" s="101" t="s">
        <v>260</v>
      </c>
      <c r="D71" s="101" t="s">
        <v>318</v>
      </c>
      <c r="E71" s="101" t="s">
        <v>190</v>
      </c>
      <c r="F71" s="27">
        <v>1</v>
      </c>
      <c r="G71" s="27">
        <v>1</v>
      </c>
      <c r="H71" s="27" t="s">
        <v>184</v>
      </c>
      <c r="I71" s="27" t="s">
        <v>4</v>
      </c>
      <c r="J71" s="33" t="s">
        <v>199</v>
      </c>
      <c r="K71" s="27">
        <v>10</v>
      </c>
      <c r="L71" s="27" t="s">
        <v>185</v>
      </c>
      <c r="M71" s="27">
        <v>1</v>
      </c>
      <c r="N71" s="27" t="s">
        <v>186</v>
      </c>
      <c r="O71" s="54">
        <v>3500000</v>
      </c>
      <c r="P71" s="30">
        <f t="shared" si="1"/>
        <v>3062500</v>
      </c>
      <c r="Q71" s="32" t="s">
        <v>191</v>
      </c>
      <c r="R71" s="31">
        <f t="shared" si="2"/>
        <v>3062500</v>
      </c>
    </row>
    <row r="72" spans="1:18" s="21" customFormat="1" ht="15" customHeight="1">
      <c r="A72" s="27" t="s">
        <v>182</v>
      </c>
      <c r="B72" s="105" t="s">
        <v>187</v>
      </c>
      <c r="C72" s="101" t="s">
        <v>260</v>
      </c>
      <c r="D72" s="101" t="s">
        <v>249</v>
      </c>
      <c r="E72" s="101" t="s">
        <v>201</v>
      </c>
      <c r="F72" s="27">
        <v>1</v>
      </c>
      <c r="G72" s="27">
        <v>1</v>
      </c>
      <c r="H72" s="27" t="s">
        <v>184</v>
      </c>
      <c r="I72" s="27" t="s">
        <v>4</v>
      </c>
      <c r="J72" s="33" t="s">
        <v>199</v>
      </c>
      <c r="K72" s="27">
        <v>10</v>
      </c>
      <c r="L72" s="27" t="s">
        <v>185</v>
      </c>
      <c r="M72" s="27">
        <v>1</v>
      </c>
      <c r="N72" s="27" t="s">
        <v>186</v>
      </c>
      <c r="O72" s="54">
        <v>3500000</v>
      </c>
      <c r="P72" s="30">
        <f t="shared" si="1"/>
        <v>3062500</v>
      </c>
      <c r="Q72" s="32" t="s">
        <v>191</v>
      </c>
      <c r="R72" s="31">
        <f t="shared" si="2"/>
        <v>3062500</v>
      </c>
    </row>
    <row r="73" spans="1:18" s="21" customFormat="1" ht="15" customHeight="1">
      <c r="A73" s="27" t="s">
        <v>182</v>
      </c>
      <c r="B73" s="105" t="s">
        <v>187</v>
      </c>
      <c r="C73" s="101" t="s">
        <v>260</v>
      </c>
      <c r="D73" s="101" t="s">
        <v>319</v>
      </c>
      <c r="E73" s="101" t="s">
        <v>201</v>
      </c>
      <c r="F73" s="27">
        <v>1</v>
      </c>
      <c r="G73" s="27">
        <v>1</v>
      </c>
      <c r="H73" s="27" t="s">
        <v>184</v>
      </c>
      <c r="I73" s="27" t="s">
        <v>4</v>
      </c>
      <c r="J73" s="33" t="s">
        <v>199</v>
      </c>
      <c r="K73" s="27">
        <v>10</v>
      </c>
      <c r="L73" s="27" t="s">
        <v>185</v>
      </c>
      <c r="M73" s="27">
        <v>1</v>
      </c>
      <c r="N73" s="27" t="s">
        <v>186</v>
      </c>
      <c r="O73" s="54">
        <v>3500000</v>
      </c>
      <c r="P73" s="30">
        <f t="shared" si="1"/>
        <v>3062500</v>
      </c>
      <c r="Q73" s="32" t="s">
        <v>191</v>
      </c>
      <c r="R73" s="31">
        <f t="shared" ref="R73:R102" si="3">P73*G73</f>
        <v>3062500</v>
      </c>
    </row>
    <row r="74" spans="1:18" s="21" customFormat="1" ht="15" customHeight="1">
      <c r="A74" s="27" t="s">
        <v>182</v>
      </c>
      <c r="B74" s="105" t="s">
        <v>187</v>
      </c>
      <c r="C74" s="101" t="s">
        <v>260</v>
      </c>
      <c r="D74" s="101" t="s">
        <v>320</v>
      </c>
      <c r="E74" s="101" t="s">
        <v>190</v>
      </c>
      <c r="F74" s="27">
        <v>1</v>
      </c>
      <c r="G74" s="27">
        <v>1</v>
      </c>
      <c r="H74" s="27" t="s">
        <v>184</v>
      </c>
      <c r="I74" s="27" t="s">
        <v>4</v>
      </c>
      <c r="J74" s="33" t="s">
        <v>199</v>
      </c>
      <c r="K74" s="27">
        <v>10</v>
      </c>
      <c r="L74" s="27" t="s">
        <v>185</v>
      </c>
      <c r="M74" s="27">
        <v>1</v>
      </c>
      <c r="N74" s="27" t="s">
        <v>186</v>
      </c>
      <c r="O74" s="54">
        <v>3500000</v>
      </c>
      <c r="P74" s="30">
        <f t="shared" ref="P74:P102" si="4">O74*(1-12.5%)</f>
        <v>3062500</v>
      </c>
      <c r="Q74" s="32" t="s">
        <v>191</v>
      </c>
      <c r="R74" s="31">
        <f t="shared" si="3"/>
        <v>3062500</v>
      </c>
    </row>
    <row r="75" spans="1:18" s="21" customFormat="1" ht="15" customHeight="1">
      <c r="A75" s="27" t="s">
        <v>182</v>
      </c>
      <c r="B75" s="104" t="s">
        <v>187</v>
      </c>
      <c r="C75" s="34" t="s">
        <v>206</v>
      </c>
      <c r="D75" s="28" t="s">
        <v>215</v>
      </c>
      <c r="E75" s="28" t="s">
        <v>190</v>
      </c>
      <c r="F75" s="27">
        <v>1</v>
      </c>
      <c r="G75" s="27">
        <v>1</v>
      </c>
      <c r="H75" s="27" t="s">
        <v>184</v>
      </c>
      <c r="I75" s="27" t="s">
        <v>4</v>
      </c>
      <c r="J75" s="33" t="s">
        <v>199</v>
      </c>
      <c r="K75" s="27">
        <v>10</v>
      </c>
      <c r="L75" s="27" t="s">
        <v>185</v>
      </c>
      <c r="M75" s="27">
        <v>1</v>
      </c>
      <c r="N75" s="27" t="s">
        <v>186</v>
      </c>
      <c r="O75" s="54">
        <v>3500000</v>
      </c>
      <c r="P75" s="30">
        <f t="shared" si="4"/>
        <v>3062500</v>
      </c>
      <c r="Q75" s="32" t="s">
        <v>191</v>
      </c>
      <c r="R75" s="31">
        <f t="shared" si="3"/>
        <v>3062500</v>
      </c>
    </row>
    <row r="76" spans="1:18" s="21" customFormat="1" ht="15" customHeight="1">
      <c r="A76" s="27" t="s">
        <v>182</v>
      </c>
      <c r="B76" s="104" t="s">
        <v>187</v>
      </c>
      <c r="C76" s="34" t="s">
        <v>206</v>
      </c>
      <c r="D76" s="28" t="s">
        <v>216</v>
      </c>
      <c r="E76" s="28" t="s">
        <v>190</v>
      </c>
      <c r="F76" s="27">
        <v>1</v>
      </c>
      <c r="G76" s="27">
        <v>1</v>
      </c>
      <c r="H76" s="27" t="s">
        <v>184</v>
      </c>
      <c r="I76" s="27" t="s">
        <v>4</v>
      </c>
      <c r="J76" s="33" t="s">
        <v>199</v>
      </c>
      <c r="K76" s="27">
        <v>10</v>
      </c>
      <c r="L76" s="27" t="s">
        <v>185</v>
      </c>
      <c r="M76" s="27">
        <v>1</v>
      </c>
      <c r="N76" s="27" t="s">
        <v>186</v>
      </c>
      <c r="O76" s="54">
        <v>3500000</v>
      </c>
      <c r="P76" s="30">
        <f t="shared" si="4"/>
        <v>3062500</v>
      </c>
      <c r="Q76" s="32" t="s">
        <v>191</v>
      </c>
      <c r="R76" s="31">
        <f t="shared" si="3"/>
        <v>3062500</v>
      </c>
    </row>
    <row r="77" spans="1:18" s="21" customFormat="1" ht="15" customHeight="1">
      <c r="A77" s="27" t="s">
        <v>182</v>
      </c>
      <c r="B77" s="104" t="s">
        <v>187</v>
      </c>
      <c r="C77" s="34" t="s">
        <v>206</v>
      </c>
      <c r="D77" s="28" t="s">
        <v>218</v>
      </c>
      <c r="E77" s="28" t="s">
        <v>190</v>
      </c>
      <c r="F77" s="27">
        <v>1</v>
      </c>
      <c r="G77" s="27">
        <v>1</v>
      </c>
      <c r="H77" s="27" t="s">
        <v>184</v>
      </c>
      <c r="I77" s="27" t="s">
        <v>4</v>
      </c>
      <c r="J77" s="33" t="s">
        <v>199</v>
      </c>
      <c r="K77" s="27">
        <v>10</v>
      </c>
      <c r="L77" s="27" t="s">
        <v>185</v>
      </c>
      <c r="M77" s="27">
        <v>1</v>
      </c>
      <c r="N77" s="27" t="s">
        <v>186</v>
      </c>
      <c r="O77" s="54">
        <v>3500000</v>
      </c>
      <c r="P77" s="30">
        <f t="shared" si="4"/>
        <v>3062500</v>
      </c>
      <c r="Q77" s="32" t="s">
        <v>191</v>
      </c>
      <c r="R77" s="31">
        <f t="shared" si="3"/>
        <v>3062500</v>
      </c>
    </row>
    <row r="78" spans="1:18" s="21" customFormat="1" ht="15" customHeight="1">
      <c r="A78" s="27" t="s">
        <v>182</v>
      </c>
      <c r="B78" s="104" t="s">
        <v>187</v>
      </c>
      <c r="C78" s="34" t="s">
        <v>206</v>
      </c>
      <c r="D78" s="28" t="s">
        <v>220</v>
      </c>
      <c r="E78" s="28" t="s">
        <v>201</v>
      </c>
      <c r="F78" s="27">
        <v>1</v>
      </c>
      <c r="G78" s="27">
        <v>1</v>
      </c>
      <c r="H78" s="27" t="s">
        <v>184</v>
      </c>
      <c r="I78" s="27" t="s">
        <v>4</v>
      </c>
      <c r="J78" s="33" t="s">
        <v>199</v>
      </c>
      <c r="K78" s="27">
        <v>10</v>
      </c>
      <c r="L78" s="27" t="s">
        <v>185</v>
      </c>
      <c r="M78" s="27">
        <v>1</v>
      </c>
      <c r="N78" s="27" t="s">
        <v>186</v>
      </c>
      <c r="O78" s="54">
        <v>3500000</v>
      </c>
      <c r="P78" s="30">
        <f t="shared" si="4"/>
        <v>3062500</v>
      </c>
      <c r="Q78" s="32" t="s">
        <v>191</v>
      </c>
      <c r="R78" s="31">
        <f t="shared" si="3"/>
        <v>3062500</v>
      </c>
    </row>
    <row r="79" spans="1:18" s="21" customFormat="1" ht="15" customHeight="1">
      <c r="A79" s="27" t="s">
        <v>182</v>
      </c>
      <c r="B79" s="104" t="s">
        <v>187</v>
      </c>
      <c r="C79" s="34" t="s">
        <v>206</v>
      </c>
      <c r="D79" s="28" t="s">
        <v>221</v>
      </c>
      <c r="E79" s="28" t="s">
        <v>201</v>
      </c>
      <c r="F79" s="27">
        <v>1</v>
      </c>
      <c r="G79" s="27">
        <v>1</v>
      </c>
      <c r="H79" s="27" t="s">
        <v>184</v>
      </c>
      <c r="I79" s="27" t="s">
        <v>4</v>
      </c>
      <c r="J79" s="33" t="s">
        <v>199</v>
      </c>
      <c r="K79" s="27">
        <v>10</v>
      </c>
      <c r="L79" s="27" t="s">
        <v>185</v>
      </c>
      <c r="M79" s="27">
        <v>1</v>
      </c>
      <c r="N79" s="27" t="s">
        <v>186</v>
      </c>
      <c r="O79" s="54">
        <v>3500000</v>
      </c>
      <c r="P79" s="30">
        <f t="shared" si="4"/>
        <v>3062500</v>
      </c>
      <c r="Q79" s="32" t="s">
        <v>191</v>
      </c>
      <c r="R79" s="31">
        <f t="shared" si="3"/>
        <v>3062500</v>
      </c>
    </row>
    <row r="80" spans="1:18" s="21" customFormat="1" ht="15" customHeight="1">
      <c r="A80" s="27" t="s">
        <v>182</v>
      </c>
      <c r="B80" s="104" t="s">
        <v>187</v>
      </c>
      <c r="C80" s="34" t="s">
        <v>206</v>
      </c>
      <c r="D80" s="28" t="s">
        <v>222</v>
      </c>
      <c r="E80" s="28" t="s">
        <v>188</v>
      </c>
      <c r="F80" s="27">
        <v>1</v>
      </c>
      <c r="G80" s="27">
        <v>1</v>
      </c>
      <c r="H80" s="27" t="s">
        <v>184</v>
      </c>
      <c r="I80" s="27" t="s">
        <v>4</v>
      </c>
      <c r="J80" s="33" t="s">
        <v>199</v>
      </c>
      <c r="K80" s="27">
        <v>10</v>
      </c>
      <c r="L80" s="27" t="s">
        <v>185</v>
      </c>
      <c r="M80" s="27">
        <v>1</v>
      </c>
      <c r="N80" s="27" t="s">
        <v>186</v>
      </c>
      <c r="O80" s="54">
        <v>3500000</v>
      </c>
      <c r="P80" s="30">
        <f t="shared" si="4"/>
        <v>3062500</v>
      </c>
      <c r="Q80" s="32" t="s">
        <v>191</v>
      </c>
      <c r="R80" s="31">
        <f t="shared" si="3"/>
        <v>3062500</v>
      </c>
    </row>
    <row r="81" spans="1:18" s="21" customFormat="1" ht="15" customHeight="1">
      <c r="A81" s="27" t="s">
        <v>182</v>
      </c>
      <c r="B81" s="105" t="s">
        <v>187</v>
      </c>
      <c r="C81" s="101" t="s">
        <v>206</v>
      </c>
      <c r="D81" s="101" t="s">
        <v>217</v>
      </c>
      <c r="E81" s="101" t="s">
        <v>190</v>
      </c>
      <c r="F81" s="27">
        <v>1</v>
      </c>
      <c r="G81" s="27">
        <v>1</v>
      </c>
      <c r="H81" s="27" t="s">
        <v>184</v>
      </c>
      <c r="I81" s="27" t="s">
        <v>4</v>
      </c>
      <c r="J81" s="33" t="s">
        <v>199</v>
      </c>
      <c r="K81" s="27">
        <v>10</v>
      </c>
      <c r="L81" s="27" t="s">
        <v>185</v>
      </c>
      <c r="M81" s="27">
        <v>1</v>
      </c>
      <c r="N81" s="27" t="s">
        <v>186</v>
      </c>
      <c r="O81" s="54">
        <v>3500000</v>
      </c>
      <c r="P81" s="30">
        <f t="shared" si="4"/>
        <v>3062500</v>
      </c>
      <c r="Q81" s="32" t="s">
        <v>191</v>
      </c>
      <c r="R81" s="31">
        <f t="shared" si="3"/>
        <v>3062500</v>
      </c>
    </row>
    <row r="82" spans="1:18" s="21" customFormat="1" ht="15" customHeight="1">
      <c r="A82" s="27" t="s">
        <v>182</v>
      </c>
      <c r="B82" s="105" t="s">
        <v>187</v>
      </c>
      <c r="C82" s="101" t="s">
        <v>206</v>
      </c>
      <c r="D82" s="101" t="s">
        <v>219</v>
      </c>
      <c r="E82" s="101" t="s">
        <v>201</v>
      </c>
      <c r="F82" s="27">
        <v>1</v>
      </c>
      <c r="G82" s="27">
        <v>1</v>
      </c>
      <c r="H82" s="27" t="s">
        <v>184</v>
      </c>
      <c r="I82" s="27" t="s">
        <v>4</v>
      </c>
      <c r="J82" s="33" t="s">
        <v>199</v>
      </c>
      <c r="K82" s="27">
        <v>10</v>
      </c>
      <c r="L82" s="27" t="s">
        <v>185</v>
      </c>
      <c r="M82" s="27">
        <v>1</v>
      </c>
      <c r="N82" s="27" t="s">
        <v>186</v>
      </c>
      <c r="O82" s="54">
        <v>3500000</v>
      </c>
      <c r="P82" s="30">
        <f t="shared" si="4"/>
        <v>3062500</v>
      </c>
      <c r="Q82" s="32" t="s">
        <v>191</v>
      </c>
      <c r="R82" s="31">
        <f t="shared" si="3"/>
        <v>3062500</v>
      </c>
    </row>
    <row r="83" spans="1:18" s="21" customFormat="1" ht="15" customHeight="1">
      <c r="A83" s="27" t="s">
        <v>182</v>
      </c>
      <c r="B83" s="105" t="s">
        <v>187</v>
      </c>
      <c r="C83" s="101" t="s">
        <v>206</v>
      </c>
      <c r="D83" s="101" t="s">
        <v>321</v>
      </c>
      <c r="E83" s="101" t="s">
        <v>201</v>
      </c>
      <c r="F83" s="27">
        <v>1</v>
      </c>
      <c r="G83" s="27">
        <v>1</v>
      </c>
      <c r="H83" s="27" t="s">
        <v>184</v>
      </c>
      <c r="I83" s="27" t="s">
        <v>4</v>
      </c>
      <c r="J83" s="33" t="s">
        <v>199</v>
      </c>
      <c r="K83" s="27">
        <v>10</v>
      </c>
      <c r="L83" s="27" t="s">
        <v>185</v>
      </c>
      <c r="M83" s="27">
        <v>1</v>
      </c>
      <c r="N83" s="27" t="s">
        <v>186</v>
      </c>
      <c r="O83" s="54">
        <v>3500000</v>
      </c>
      <c r="P83" s="30">
        <f t="shared" si="4"/>
        <v>3062500</v>
      </c>
      <c r="Q83" s="32" t="s">
        <v>191</v>
      </c>
      <c r="R83" s="31">
        <f t="shared" si="3"/>
        <v>3062500</v>
      </c>
    </row>
    <row r="84" spans="1:18" s="21" customFormat="1" ht="15" customHeight="1">
      <c r="A84" s="27" t="s">
        <v>182</v>
      </c>
      <c r="B84" s="147" t="s">
        <v>187</v>
      </c>
      <c r="C84" s="148" t="s">
        <v>352</v>
      </c>
      <c r="D84" s="148" t="s">
        <v>353</v>
      </c>
      <c r="E84" s="148" t="s">
        <v>190</v>
      </c>
      <c r="F84" s="27">
        <v>1</v>
      </c>
      <c r="G84" s="27">
        <v>1</v>
      </c>
      <c r="H84" s="27" t="s">
        <v>184</v>
      </c>
      <c r="I84" s="27" t="s">
        <v>4</v>
      </c>
      <c r="J84" s="33" t="s">
        <v>199</v>
      </c>
      <c r="K84" s="27">
        <v>10</v>
      </c>
      <c r="L84" s="27" t="s">
        <v>185</v>
      </c>
      <c r="M84" s="27">
        <v>1</v>
      </c>
      <c r="N84" s="27" t="s">
        <v>186</v>
      </c>
      <c r="O84" s="54">
        <v>3500000</v>
      </c>
      <c r="P84" s="30">
        <f t="shared" si="4"/>
        <v>3062500</v>
      </c>
      <c r="Q84" s="30" t="s">
        <v>191</v>
      </c>
      <c r="R84" s="31">
        <f t="shared" si="3"/>
        <v>3062500</v>
      </c>
    </row>
    <row r="85" spans="1:18" s="21" customFormat="1" ht="15" customHeight="1">
      <c r="A85" s="27" t="s">
        <v>182</v>
      </c>
      <c r="B85" s="102" t="s">
        <v>187</v>
      </c>
      <c r="C85" s="149" t="s">
        <v>352</v>
      </c>
      <c r="D85" s="149" t="s">
        <v>354</v>
      </c>
      <c r="E85" s="149" t="s">
        <v>201</v>
      </c>
      <c r="F85" s="27">
        <v>1</v>
      </c>
      <c r="G85" s="27">
        <v>1</v>
      </c>
      <c r="H85" s="27" t="s">
        <v>184</v>
      </c>
      <c r="I85" s="27" t="s">
        <v>4</v>
      </c>
      <c r="J85" s="33" t="s">
        <v>199</v>
      </c>
      <c r="K85" s="27">
        <v>10</v>
      </c>
      <c r="L85" s="27" t="s">
        <v>185</v>
      </c>
      <c r="M85" s="27">
        <v>1</v>
      </c>
      <c r="N85" s="27" t="s">
        <v>186</v>
      </c>
      <c r="O85" s="116">
        <v>3500000</v>
      </c>
      <c r="P85" s="30">
        <f t="shared" si="4"/>
        <v>3062500</v>
      </c>
      <c r="Q85" s="30" t="s">
        <v>191</v>
      </c>
      <c r="R85" s="118">
        <f t="shared" si="3"/>
        <v>3062500</v>
      </c>
    </row>
    <row r="86" spans="1:18" s="21" customFormat="1" ht="15" customHeight="1">
      <c r="A86" s="27" t="s">
        <v>182</v>
      </c>
      <c r="B86" s="102" t="s">
        <v>187</v>
      </c>
      <c r="C86" s="149" t="s">
        <v>352</v>
      </c>
      <c r="D86" s="149" t="s">
        <v>355</v>
      </c>
      <c r="E86" s="149" t="s">
        <v>201</v>
      </c>
      <c r="F86" s="27">
        <v>1</v>
      </c>
      <c r="G86" s="27">
        <v>1</v>
      </c>
      <c r="H86" s="27" t="s">
        <v>184</v>
      </c>
      <c r="I86" s="27" t="s">
        <v>4</v>
      </c>
      <c r="J86" s="33" t="s">
        <v>199</v>
      </c>
      <c r="K86" s="27">
        <v>10</v>
      </c>
      <c r="L86" s="27" t="s">
        <v>185</v>
      </c>
      <c r="M86" s="27">
        <v>1</v>
      </c>
      <c r="N86" s="27" t="s">
        <v>186</v>
      </c>
      <c r="O86" s="54">
        <v>3500000</v>
      </c>
      <c r="P86" s="30">
        <f t="shared" si="4"/>
        <v>3062500</v>
      </c>
      <c r="Q86" s="30" t="s">
        <v>191</v>
      </c>
      <c r="R86" s="31">
        <f t="shared" si="3"/>
        <v>3062500</v>
      </c>
    </row>
    <row r="87" spans="1:18" s="21" customFormat="1" ht="15" customHeight="1">
      <c r="A87" s="27" t="s">
        <v>182</v>
      </c>
      <c r="B87" s="102" t="s">
        <v>187</v>
      </c>
      <c r="C87" s="149" t="s">
        <v>352</v>
      </c>
      <c r="D87" s="149" t="s">
        <v>356</v>
      </c>
      <c r="E87" s="149" t="s">
        <v>190</v>
      </c>
      <c r="F87" s="27">
        <v>1</v>
      </c>
      <c r="G87" s="27">
        <v>1</v>
      </c>
      <c r="H87" s="27" t="s">
        <v>184</v>
      </c>
      <c r="I87" s="27" t="s">
        <v>4</v>
      </c>
      <c r="J87" s="33" t="s">
        <v>199</v>
      </c>
      <c r="K87" s="27">
        <v>10</v>
      </c>
      <c r="L87" s="27" t="s">
        <v>185</v>
      </c>
      <c r="M87" s="27">
        <v>1</v>
      </c>
      <c r="N87" s="27" t="s">
        <v>186</v>
      </c>
      <c r="O87" s="116">
        <v>3500000</v>
      </c>
      <c r="P87" s="30">
        <f t="shared" si="4"/>
        <v>3062500</v>
      </c>
      <c r="Q87" s="30" t="s">
        <v>191</v>
      </c>
      <c r="R87" s="118">
        <f t="shared" si="3"/>
        <v>3062500</v>
      </c>
    </row>
    <row r="88" spans="1:18" s="21" customFormat="1" ht="15" customHeight="1">
      <c r="A88" s="27" t="s">
        <v>182</v>
      </c>
      <c r="B88" s="102" t="s">
        <v>187</v>
      </c>
      <c r="C88" s="149" t="s">
        <v>352</v>
      </c>
      <c r="D88" s="149" t="s">
        <v>357</v>
      </c>
      <c r="E88" s="149" t="s">
        <v>190</v>
      </c>
      <c r="F88" s="27">
        <v>1</v>
      </c>
      <c r="G88" s="27">
        <v>1</v>
      </c>
      <c r="H88" s="27" t="s">
        <v>184</v>
      </c>
      <c r="I88" s="27" t="s">
        <v>4</v>
      </c>
      <c r="J88" s="33" t="s">
        <v>199</v>
      </c>
      <c r="K88" s="27">
        <v>10</v>
      </c>
      <c r="L88" s="27" t="s">
        <v>185</v>
      </c>
      <c r="M88" s="27">
        <v>1</v>
      </c>
      <c r="N88" s="27" t="s">
        <v>186</v>
      </c>
      <c r="O88" s="54">
        <v>3500000</v>
      </c>
      <c r="P88" s="30">
        <f t="shared" si="4"/>
        <v>3062500</v>
      </c>
      <c r="Q88" s="30" t="s">
        <v>191</v>
      </c>
      <c r="R88" s="31">
        <f t="shared" si="3"/>
        <v>3062500</v>
      </c>
    </row>
    <row r="89" spans="1:18" s="21" customFormat="1" ht="15" customHeight="1">
      <c r="A89" s="27" t="s">
        <v>182</v>
      </c>
      <c r="B89" s="102" t="s">
        <v>187</v>
      </c>
      <c r="C89" s="149" t="s">
        <v>352</v>
      </c>
      <c r="D89" s="149" t="s">
        <v>358</v>
      </c>
      <c r="E89" s="149" t="s">
        <v>190</v>
      </c>
      <c r="F89" s="27">
        <v>1</v>
      </c>
      <c r="G89" s="27">
        <v>1</v>
      </c>
      <c r="H89" s="27" t="s">
        <v>184</v>
      </c>
      <c r="I89" s="27" t="s">
        <v>4</v>
      </c>
      <c r="J89" s="33" t="s">
        <v>199</v>
      </c>
      <c r="K89" s="27">
        <v>10</v>
      </c>
      <c r="L89" s="27" t="s">
        <v>185</v>
      </c>
      <c r="M89" s="27">
        <v>1</v>
      </c>
      <c r="N89" s="27" t="s">
        <v>186</v>
      </c>
      <c r="O89" s="116">
        <v>3500000</v>
      </c>
      <c r="P89" s="30">
        <f t="shared" si="4"/>
        <v>3062500</v>
      </c>
      <c r="Q89" s="30" t="s">
        <v>191</v>
      </c>
      <c r="R89" s="118">
        <f t="shared" si="3"/>
        <v>3062500</v>
      </c>
    </row>
    <row r="90" spans="1:18" s="21" customFormat="1" ht="15" customHeight="1">
      <c r="A90" s="27" t="s">
        <v>182</v>
      </c>
      <c r="B90" s="102" t="s">
        <v>187</v>
      </c>
      <c r="C90" s="149" t="s">
        <v>352</v>
      </c>
      <c r="D90" s="149" t="s">
        <v>359</v>
      </c>
      <c r="E90" s="149" t="s">
        <v>190</v>
      </c>
      <c r="F90" s="27">
        <v>1</v>
      </c>
      <c r="G90" s="27">
        <v>1</v>
      </c>
      <c r="H90" s="27" t="s">
        <v>184</v>
      </c>
      <c r="I90" s="27" t="s">
        <v>4</v>
      </c>
      <c r="J90" s="33" t="s">
        <v>199</v>
      </c>
      <c r="K90" s="27">
        <v>10</v>
      </c>
      <c r="L90" s="27" t="s">
        <v>185</v>
      </c>
      <c r="M90" s="27">
        <v>1</v>
      </c>
      <c r="N90" s="27" t="s">
        <v>186</v>
      </c>
      <c r="O90" s="54">
        <v>3500000</v>
      </c>
      <c r="P90" s="30">
        <f t="shared" si="4"/>
        <v>3062500</v>
      </c>
      <c r="Q90" s="30" t="s">
        <v>191</v>
      </c>
      <c r="R90" s="31">
        <f t="shared" si="3"/>
        <v>3062500</v>
      </c>
    </row>
    <row r="91" spans="1:18" s="21" customFormat="1" ht="15" customHeight="1">
      <c r="A91" s="27" t="s">
        <v>182</v>
      </c>
      <c r="B91" s="102" t="s">
        <v>187</v>
      </c>
      <c r="C91" s="149" t="s">
        <v>352</v>
      </c>
      <c r="D91" s="149" t="s">
        <v>360</v>
      </c>
      <c r="E91" s="149" t="s">
        <v>361</v>
      </c>
      <c r="F91" s="27">
        <v>1</v>
      </c>
      <c r="G91" s="27">
        <v>1</v>
      </c>
      <c r="H91" s="27" t="s">
        <v>184</v>
      </c>
      <c r="I91" s="27" t="s">
        <v>4</v>
      </c>
      <c r="J91" s="33" t="s">
        <v>199</v>
      </c>
      <c r="K91" s="27">
        <v>10</v>
      </c>
      <c r="L91" s="27" t="s">
        <v>185</v>
      </c>
      <c r="M91" s="27">
        <v>1</v>
      </c>
      <c r="N91" s="27" t="s">
        <v>186</v>
      </c>
      <c r="O91" s="116">
        <v>3500000</v>
      </c>
      <c r="P91" s="30">
        <f t="shared" si="4"/>
        <v>3062500</v>
      </c>
      <c r="Q91" s="30" t="s">
        <v>191</v>
      </c>
      <c r="R91" s="118">
        <f t="shared" si="3"/>
        <v>3062500</v>
      </c>
    </row>
    <row r="92" spans="1:18" s="21" customFormat="1" ht="15" customHeight="1">
      <c r="A92" s="27" t="s">
        <v>182</v>
      </c>
      <c r="B92" s="102" t="s">
        <v>187</v>
      </c>
      <c r="C92" s="149" t="s">
        <v>352</v>
      </c>
      <c r="D92" s="149" t="s">
        <v>362</v>
      </c>
      <c r="E92" s="149" t="s">
        <v>201</v>
      </c>
      <c r="F92" s="27">
        <v>1</v>
      </c>
      <c r="G92" s="27">
        <v>1</v>
      </c>
      <c r="H92" s="27" t="s">
        <v>184</v>
      </c>
      <c r="I92" s="27" t="s">
        <v>4</v>
      </c>
      <c r="J92" s="33" t="s">
        <v>199</v>
      </c>
      <c r="K92" s="27">
        <v>10</v>
      </c>
      <c r="L92" s="27" t="s">
        <v>185</v>
      </c>
      <c r="M92" s="27">
        <v>1</v>
      </c>
      <c r="N92" s="27" t="s">
        <v>186</v>
      </c>
      <c r="O92" s="54">
        <v>3500000</v>
      </c>
      <c r="P92" s="30">
        <f t="shared" si="4"/>
        <v>3062500</v>
      </c>
      <c r="Q92" s="30" t="s">
        <v>191</v>
      </c>
      <c r="R92" s="31">
        <f t="shared" si="3"/>
        <v>3062500</v>
      </c>
    </row>
    <row r="93" spans="1:18" s="21" customFormat="1" ht="15" customHeight="1">
      <c r="A93" s="27" t="s">
        <v>182</v>
      </c>
      <c r="B93" s="102" t="s">
        <v>187</v>
      </c>
      <c r="C93" s="149" t="s">
        <v>352</v>
      </c>
      <c r="D93" s="149" t="s">
        <v>363</v>
      </c>
      <c r="E93" s="149" t="s">
        <v>188</v>
      </c>
      <c r="F93" s="27">
        <v>1</v>
      </c>
      <c r="G93" s="27">
        <v>1</v>
      </c>
      <c r="H93" s="27" t="s">
        <v>184</v>
      </c>
      <c r="I93" s="27" t="s">
        <v>4</v>
      </c>
      <c r="J93" s="33" t="s">
        <v>199</v>
      </c>
      <c r="K93" s="27">
        <v>10</v>
      </c>
      <c r="L93" s="27" t="s">
        <v>185</v>
      </c>
      <c r="M93" s="27">
        <v>1</v>
      </c>
      <c r="N93" s="27" t="s">
        <v>186</v>
      </c>
      <c r="O93" s="116">
        <v>3500000</v>
      </c>
      <c r="P93" s="30">
        <f t="shared" si="4"/>
        <v>3062500</v>
      </c>
      <c r="Q93" s="30" t="s">
        <v>191</v>
      </c>
      <c r="R93" s="118">
        <f t="shared" si="3"/>
        <v>3062500</v>
      </c>
    </row>
    <row r="94" spans="1:18" s="21" customFormat="1" ht="15" customHeight="1">
      <c r="A94" s="27" t="s">
        <v>182</v>
      </c>
      <c r="B94" s="102" t="s">
        <v>187</v>
      </c>
      <c r="C94" s="149" t="s">
        <v>364</v>
      </c>
      <c r="D94" s="149" t="s">
        <v>365</v>
      </c>
      <c r="E94" s="149" t="s">
        <v>201</v>
      </c>
      <c r="F94" s="27">
        <v>1</v>
      </c>
      <c r="G94" s="27">
        <v>1</v>
      </c>
      <c r="H94" s="27" t="s">
        <v>184</v>
      </c>
      <c r="I94" s="27" t="s">
        <v>4</v>
      </c>
      <c r="J94" s="33" t="s">
        <v>199</v>
      </c>
      <c r="K94" s="27">
        <v>10</v>
      </c>
      <c r="L94" s="27" t="s">
        <v>185</v>
      </c>
      <c r="M94" s="27">
        <v>1</v>
      </c>
      <c r="N94" s="27" t="s">
        <v>186</v>
      </c>
      <c r="O94" s="54">
        <v>3500000</v>
      </c>
      <c r="P94" s="30">
        <f t="shared" si="4"/>
        <v>3062500</v>
      </c>
      <c r="Q94" s="30" t="s">
        <v>191</v>
      </c>
      <c r="R94" s="31">
        <f t="shared" si="3"/>
        <v>3062500</v>
      </c>
    </row>
    <row r="95" spans="1:18" s="21" customFormat="1" ht="15" customHeight="1">
      <c r="A95" s="27" t="s">
        <v>182</v>
      </c>
      <c r="B95" s="102" t="s">
        <v>187</v>
      </c>
      <c r="C95" s="149" t="s">
        <v>364</v>
      </c>
      <c r="D95" s="149" t="s">
        <v>366</v>
      </c>
      <c r="E95" s="149" t="s">
        <v>201</v>
      </c>
      <c r="F95" s="27">
        <v>1</v>
      </c>
      <c r="G95" s="27">
        <v>1</v>
      </c>
      <c r="H95" s="27" t="s">
        <v>184</v>
      </c>
      <c r="I95" s="27" t="s">
        <v>4</v>
      </c>
      <c r="J95" s="33" t="s">
        <v>199</v>
      </c>
      <c r="K95" s="27">
        <v>10</v>
      </c>
      <c r="L95" s="27" t="s">
        <v>185</v>
      </c>
      <c r="M95" s="27">
        <v>1</v>
      </c>
      <c r="N95" s="27" t="s">
        <v>186</v>
      </c>
      <c r="O95" s="116">
        <v>3500000</v>
      </c>
      <c r="P95" s="30">
        <f t="shared" si="4"/>
        <v>3062500</v>
      </c>
      <c r="Q95" s="30" t="s">
        <v>191</v>
      </c>
      <c r="R95" s="118">
        <f t="shared" si="3"/>
        <v>3062500</v>
      </c>
    </row>
    <row r="96" spans="1:18" s="21" customFormat="1" ht="15" customHeight="1">
      <c r="A96" s="27" t="s">
        <v>182</v>
      </c>
      <c r="B96" s="102" t="s">
        <v>187</v>
      </c>
      <c r="C96" s="149" t="s">
        <v>364</v>
      </c>
      <c r="D96" s="149" t="s">
        <v>367</v>
      </c>
      <c r="E96" s="149" t="s">
        <v>201</v>
      </c>
      <c r="F96" s="27">
        <v>1</v>
      </c>
      <c r="G96" s="27">
        <v>1</v>
      </c>
      <c r="H96" s="27" t="s">
        <v>184</v>
      </c>
      <c r="I96" s="27" t="s">
        <v>4</v>
      </c>
      <c r="J96" s="33" t="s">
        <v>199</v>
      </c>
      <c r="K96" s="27">
        <v>10</v>
      </c>
      <c r="L96" s="27" t="s">
        <v>185</v>
      </c>
      <c r="M96" s="27">
        <v>1</v>
      </c>
      <c r="N96" s="27" t="s">
        <v>186</v>
      </c>
      <c r="O96" s="54">
        <v>3500000</v>
      </c>
      <c r="P96" s="30">
        <f t="shared" si="4"/>
        <v>3062500</v>
      </c>
      <c r="Q96" s="30" t="s">
        <v>191</v>
      </c>
      <c r="R96" s="31">
        <f t="shared" si="3"/>
        <v>3062500</v>
      </c>
    </row>
    <row r="97" spans="1:18" s="21" customFormat="1" ht="15" customHeight="1">
      <c r="A97" s="27" t="s">
        <v>182</v>
      </c>
      <c r="B97" s="102" t="s">
        <v>187</v>
      </c>
      <c r="C97" s="149" t="s">
        <v>364</v>
      </c>
      <c r="D97" s="149" t="s">
        <v>368</v>
      </c>
      <c r="E97" s="149" t="s">
        <v>190</v>
      </c>
      <c r="F97" s="27">
        <v>1</v>
      </c>
      <c r="G97" s="27">
        <v>1</v>
      </c>
      <c r="H97" s="27" t="s">
        <v>184</v>
      </c>
      <c r="I97" s="27" t="s">
        <v>4</v>
      </c>
      <c r="J97" s="33" t="s">
        <v>199</v>
      </c>
      <c r="K97" s="27">
        <v>10</v>
      </c>
      <c r="L97" s="27" t="s">
        <v>185</v>
      </c>
      <c r="M97" s="27">
        <v>1</v>
      </c>
      <c r="N97" s="27" t="s">
        <v>186</v>
      </c>
      <c r="O97" s="116">
        <v>3500000</v>
      </c>
      <c r="P97" s="30">
        <f t="shared" si="4"/>
        <v>3062500</v>
      </c>
      <c r="Q97" s="30" t="s">
        <v>191</v>
      </c>
      <c r="R97" s="118">
        <f t="shared" si="3"/>
        <v>3062500</v>
      </c>
    </row>
    <row r="98" spans="1:18" s="21" customFormat="1" ht="15" customHeight="1">
      <c r="A98" s="27" t="s">
        <v>182</v>
      </c>
      <c r="B98" s="102" t="s">
        <v>187</v>
      </c>
      <c r="C98" s="149" t="s">
        <v>364</v>
      </c>
      <c r="D98" s="149" t="s">
        <v>369</v>
      </c>
      <c r="E98" s="149" t="s">
        <v>190</v>
      </c>
      <c r="F98" s="27">
        <v>1</v>
      </c>
      <c r="G98" s="27">
        <v>1</v>
      </c>
      <c r="H98" s="27" t="s">
        <v>184</v>
      </c>
      <c r="I98" s="27" t="s">
        <v>4</v>
      </c>
      <c r="J98" s="33" t="s">
        <v>199</v>
      </c>
      <c r="K98" s="27">
        <v>10</v>
      </c>
      <c r="L98" s="27" t="s">
        <v>185</v>
      </c>
      <c r="M98" s="27">
        <v>1</v>
      </c>
      <c r="N98" s="27" t="s">
        <v>186</v>
      </c>
      <c r="O98" s="54">
        <v>3500000</v>
      </c>
      <c r="P98" s="30">
        <f t="shared" si="4"/>
        <v>3062500</v>
      </c>
      <c r="Q98" s="30" t="s">
        <v>191</v>
      </c>
      <c r="R98" s="31">
        <f t="shared" si="3"/>
        <v>3062500</v>
      </c>
    </row>
    <row r="99" spans="1:18" s="21" customFormat="1" ht="15" customHeight="1">
      <c r="A99" s="27" t="s">
        <v>182</v>
      </c>
      <c r="B99" s="106" t="s">
        <v>187</v>
      </c>
      <c r="C99" s="150" t="s">
        <v>364</v>
      </c>
      <c r="D99" s="150" t="s">
        <v>370</v>
      </c>
      <c r="E99" s="150" t="s">
        <v>201</v>
      </c>
      <c r="F99" s="27">
        <v>1</v>
      </c>
      <c r="G99" s="27">
        <v>1</v>
      </c>
      <c r="H99" s="27" t="s">
        <v>184</v>
      </c>
      <c r="I99" s="27" t="s">
        <v>4</v>
      </c>
      <c r="J99" s="33" t="s">
        <v>199</v>
      </c>
      <c r="K99" s="27">
        <v>10</v>
      </c>
      <c r="L99" s="27" t="s">
        <v>185</v>
      </c>
      <c r="M99" s="27">
        <v>1</v>
      </c>
      <c r="N99" s="27" t="s">
        <v>186</v>
      </c>
      <c r="O99" s="116">
        <v>3500000</v>
      </c>
      <c r="P99" s="30">
        <f t="shared" si="4"/>
        <v>3062500</v>
      </c>
      <c r="Q99" s="30" t="s">
        <v>191</v>
      </c>
      <c r="R99" s="118">
        <f t="shared" si="3"/>
        <v>3062500</v>
      </c>
    </row>
    <row r="100" spans="1:18" s="21" customFormat="1" ht="15" customHeight="1">
      <c r="A100" s="27" t="s">
        <v>182</v>
      </c>
      <c r="B100" s="106" t="s">
        <v>187</v>
      </c>
      <c r="C100" s="150" t="s">
        <v>364</v>
      </c>
      <c r="D100" s="150" t="s">
        <v>371</v>
      </c>
      <c r="E100" s="150" t="s">
        <v>201</v>
      </c>
      <c r="F100" s="27">
        <v>1</v>
      </c>
      <c r="G100" s="27">
        <v>1</v>
      </c>
      <c r="H100" s="27" t="s">
        <v>184</v>
      </c>
      <c r="I100" s="27" t="s">
        <v>4</v>
      </c>
      <c r="J100" s="33" t="s">
        <v>199</v>
      </c>
      <c r="K100" s="27">
        <v>10</v>
      </c>
      <c r="L100" s="27" t="s">
        <v>185</v>
      </c>
      <c r="M100" s="27">
        <v>1</v>
      </c>
      <c r="N100" s="27" t="s">
        <v>186</v>
      </c>
      <c r="O100" s="54">
        <v>3500000</v>
      </c>
      <c r="P100" s="30">
        <f t="shared" si="4"/>
        <v>3062500</v>
      </c>
      <c r="Q100" s="30" t="s">
        <v>191</v>
      </c>
      <c r="R100" s="31">
        <f t="shared" si="3"/>
        <v>3062500</v>
      </c>
    </row>
    <row r="101" spans="1:18" s="21" customFormat="1" ht="15" customHeight="1">
      <c r="A101" s="27" t="s">
        <v>182</v>
      </c>
      <c r="B101" s="106" t="s">
        <v>187</v>
      </c>
      <c r="C101" s="150" t="s">
        <v>364</v>
      </c>
      <c r="D101" s="150" t="s">
        <v>372</v>
      </c>
      <c r="E101" s="150" t="s">
        <v>188</v>
      </c>
      <c r="F101" s="27">
        <v>1</v>
      </c>
      <c r="G101" s="27">
        <v>1</v>
      </c>
      <c r="H101" s="27" t="s">
        <v>184</v>
      </c>
      <c r="I101" s="27" t="s">
        <v>4</v>
      </c>
      <c r="J101" s="33" t="s">
        <v>199</v>
      </c>
      <c r="K101" s="27">
        <v>10</v>
      </c>
      <c r="L101" s="27" t="s">
        <v>185</v>
      </c>
      <c r="M101" s="27">
        <v>1</v>
      </c>
      <c r="N101" s="27" t="s">
        <v>186</v>
      </c>
      <c r="O101" s="116">
        <v>3500000</v>
      </c>
      <c r="P101" s="30">
        <f t="shared" si="4"/>
        <v>3062500</v>
      </c>
      <c r="Q101" s="30" t="s">
        <v>191</v>
      </c>
      <c r="R101" s="118">
        <f t="shared" si="3"/>
        <v>3062500</v>
      </c>
    </row>
    <row r="102" spans="1:18" s="21" customFormat="1" ht="15" customHeight="1">
      <c r="A102" s="27" t="s">
        <v>182</v>
      </c>
      <c r="B102" s="106" t="s">
        <v>187</v>
      </c>
      <c r="C102" s="150" t="s">
        <v>364</v>
      </c>
      <c r="D102" s="150" t="s">
        <v>373</v>
      </c>
      <c r="E102" s="150" t="s">
        <v>201</v>
      </c>
      <c r="F102" s="27">
        <v>1</v>
      </c>
      <c r="G102" s="27">
        <v>1</v>
      </c>
      <c r="H102" s="27" t="s">
        <v>184</v>
      </c>
      <c r="I102" s="27" t="s">
        <v>4</v>
      </c>
      <c r="J102" s="33" t="s">
        <v>199</v>
      </c>
      <c r="K102" s="27">
        <v>10</v>
      </c>
      <c r="L102" s="27" t="s">
        <v>185</v>
      </c>
      <c r="M102" s="27">
        <v>1</v>
      </c>
      <c r="N102" s="27" t="s">
        <v>186</v>
      </c>
      <c r="O102" s="116">
        <v>3500000</v>
      </c>
      <c r="P102" s="30">
        <f t="shared" si="4"/>
        <v>3062500</v>
      </c>
      <c r="Q102" s="30" t="s">
        <v>191</v>
      </c>
      <c r="R102" s="118">
        <f t="shared" si="3"/>
        <v>3062500</v>
      </c>
    </row>
    <row r="103" spans="1:18" s="21" customFormat="1" ht="14" customHeight="1">
      <c r="A103" s="159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1"/>
      <c r="O103" s="161"/>
      <c r="P103" s="161"/>
      <c r="Q103" s="160"/>
      <c r="R103" s="160"/>
    </row>
    <row r="104" spans="1:18" s="45" customFormat="1" ht="30" customHeight="1">
      <c r="A104" s="27" t="s">
        <v>278</v>
      </c>
      <c r="B104" s="162" t="s">
        <v>187</v>
      </c>
      <c r="C104" s="101" t="s">
        <v>165</v>
      </c>
      <c r="D104" s="101" t="s">
        <v>279</v>
      </c>
      <c r="E104" s="33" t="s">
        <v>191</v>
      </c>
      <c r="F104" s="27">
        <v>1</v>
      </c>
      <c r="G104" s="27">
        <v>1</v>
      </c>
      <c r="H104" s="47" t="s">
        <v>184</v>
      </c>
      <c r="I104" s="27" t="s">
        <v>4</v>
      </c>
      <c r="J104" s="44"/>
      <c r="K104" s="27">
        <v>10</v>
      </c>
      <c r="L104" s="27" t="s">
        <v>185</v>
      </c>
      <c r="M104" s="57">
        <v>1</v>
      </c>
      <c r="N104" s="125">
        <v>300</v>
      </c>
      <c r="O104" s="126">
        <v>2600000</v>
      </c>
      <c r="P104" s="127">
        <v>2340000</v>
      </c>
      <c r="Q104" s="129" t="s">
        <v>191</v>
      </c>
      <c r="R104" s="31">
        <f t="shared" ref="R104:R118" si="5">P104*G104</f>
        <v>2340000</v>
      </c>
    </row>
    <row r="105" spans="1:18" s="45" customFormat="1" ht="30" customHeight="1">
      <c r="A105" s="27" t="s">
        <v>278</v>
      </c>
      <c r="B105" s="162"/>
      <c r="C105" s="101" t="s">
        <v>165</v>
      </c>
      <c r="D105" s="101" t="s">
        <v>280</v>
      </c>
      <c r="E105" s="33" t="s">
        <v>191</v>
      </c>
      <c r="F105" s="27">
        <v>1</v>
      </c>
      <c r="G105" s="27">
        <v>1</v>
      </c>
      <c r="H105" s="47" t="s">
        <v>184</v>
      </c>
      <c r="I105" s="27" t="s">
        <v>4</v>
      </c>
      <c r="J105" s="44"/>
      <c r="K105" s="27">
        <v>10</v>
      </c>
      <c r="L105" s="27" t="s">
        <v>185</v>
      </c>
      <c r="M105" s="57">
        <v>1</v>
      </c>
      <c r="N105" s="125">
        <v>300</v>
      </c>
      <c r="O105" s="126">
        <v>2600000</v>
      </c>
      <c r="P105" s="127">
        <v>2340000</v>
      </c>
      <c r="Q105" s="129" t="s">
        <v>191</v>
      </c>
      <c r="R105" s="31">
        <f t="shared" si="5"/>
        <v>2340000</v>
      </c>
    </row>
    <row r="106" spans="1:18" s="45" customFormat="1" ht="30" customHeight="1">
      <c r="A106" s="27" t="s">
        <v>278</v>
      </c>
      <c r="B106" s="162"/>
      <c r="C106" s="101" t="s">
        <v>165</v>
      </c>
      <c r="D106" s="101" t="s">
        <v>281</v>
      </c>
      <c r="E106" s="33" t="s">
        <v>191</v>
      </c>
      <c r="F106" s="27">
        <v>1</v>
      </c>
      <c r="G106" s="27">
        <v>1</v>
      </c>
      <c r="H106" s="47" t="s">
        <v>184</v>
      </c>
      <c r="I106" s="27" t="s">
        <v>4</v>
      </c>
      <c r="J106" s="44"/>
      <c r="K106" s="27">
        <v>10</v>
      </c>
      <c r="L106" s="27" t="s">
        <v>185</v>
      </c>
      <c r="M106" s="57">
        <v>1</v>
      </c>
      <c r="N106" s="125">
        <v>300</v>
      </c>
      <c r="O106" s="126">
        <v>2600000</v>
      </c>
      <c r="P106" s="127">
        <v>2340000</v>
      </c>
      <c r="Q106" s="129" t="s">
        <v>191</v>
      </c>
      <c r="R106" s="31">
        <f t="shared" si="5"/>
        <v>2340000</v>
      </c>
    </row>
    <row r="107" spans="1:18" s="45" customFormat="1" ht="30" customHeight="1">
      <c r="A107" s="27" t="s">
        <v>278</v>
      </c>
      <c r="B107" s="162"/>
      <c r="C107" s="101" t="s">
        <v>165</v>
      </c>
      <c r="D107" s="101" t="s">
        <v>282</v>
      </c>
      <c r="E107" s="33" t="s">
        <v>191</v>
      </c>
      <c r="F107" s="27">
        <v>1</v>
      </c>
      <c r="G107" s="27">
        <v>1</v>
      </c>
      <c r="H107" s="47" t="s">
        <v>184</v>
      </c>
      <c r="I107" s="27" t="s">
        <v>4</v>
      </c>
      <c r="J107" s="44"/>
      <c r="K107" s="27">
        <v>10</v>
      </c>
      <c r="L107" s="27" t="s">
        <v>185</v>
      </c>
      <c r="M107" s="57">
        <v>1</v>
      </c>
      <c r="N107" s="125">
        <v>300</v>
      </c>
      <c r="O107" s="126">
        <v>2600000</v>
      </c>
      <c r="P107" s="127">
        <v>2340000</v>
      </c>
      <c r="Q107" s="129" t="s">
        <v>191</v>
      </c>
      <c r="R107" s="31">
        <f t="shared" si="5"/>
        <v>2340000</v>
      </c>
    </row>
    <row r="108" spans="1:18" s="45" customFormat="1" ht="30" customHeight="1">
      <c r="A108" s="27" t="s">
        <v>278</v>
      </c>
      <c r="B108" s="162"/>
      <c r="C108" s="101" t="s">
        <v>165</v>
      </c>
      <c r="D108" s="101" t="s">
        <v>283</v>
      </c>
      <c r="E108" s="33" t="s">
        <v>191</v>
      </c>
      <c r="F108" s="27">
        <v>1</v>
      </c>
      <c r="G108" s="27">
        <v>1</v>
      </c>
      <c r="H108" s="47" t="s">
        <v>184</v>
      </c>
      <c r="I108" s="27" t="s">
        <v>4</v>
      </c>
      <c r="J108" s="44"/>
      <c r="K108" s="27">
        <v>10</v>
      </c>
      <c r="L108" s="27" t="s">
        <v>185</v>
      </c>
      <c r="M108" s="57">
        <v>1</v>
      </c>
      <c r="N108" s="125">
        <v>300</v>
      </c>
      <c r="O108" s="126">
        <v>2600000</v>
      </c>
      <c r="P108" s="127">
        <v>2340000</v>
      </c>
      <c r="Q108" s="129" t="s">
        <v>191</v>
      </c>
      <c r="R108" s="31">
        <f t="shared" si="5"/>
        <v>2340000</v>
      </c>
    </row>
    <row r="109" spans="1:18" s="45" customFormat="1" ht="30" customHeight="1">
      <c r="A109" s="27" t="s">
        <v>278</v>
      </c>
      <c r="B109" s="162"/>
      <c r="C109" s="101" t="s">
        <v>165</v>
      </c>
      <c r="D109" s="101" t="s">
        <v>284</v>
      </c>
      <c r="E109" s="33" t="s">
        <v>191</v>
      </c>
      <c r="F109" s="27">
        <v>1</v>
      </c>
      <c r="G109" s="27">
        <v>1</v>
      </c>
      <c r="H109" s="47" t="s">
        <v>184</v>
      </c>
      <c r="I109" s="27" t="s">
        <v>4</v>
      </c>
      <c r="J109" s="44"/>
      <c r="K109" s="27">
        <v>10</v>
      </c>
      <c r="L109" s="27" t="s">
        <v>185</v>
      </c>
      <c r="M109" s="57">
        <v>1</v>
      </c>
      <c r="N109" s="125">
        <v>300</v>
      </c>
      <c r="O109" s="126">
        <v>2600000</v>
      </c>
      <c r="P109" s="127">
        <v>2340000</v>
      </c>
      <c r="Q109" s="129" t="s">
        <v>191</v>
      </c>
      <c r="R109" s="31">
        <f t="shared" si="5"/>
        <v>2340000</v>
      </c>
    </row>
    <row r="110" spans="1:18" s="45" customFormat="1" ht="30" customHeight="1">
      <c r="A110" s="27" t="s">
        <v>278</v>
      </c>
      <c r="B110" s="162"/>
      <c r="C110" s="101" t="s">
        <v>165</v>
      </c>
      <c r="D110" s="101" t="s">
        <v>285</v>
      </c>
      <c r="E110" s="33" t="s">
        <v>191</v>
      </c>
      <c r="F110" s="27">
        <v>1</v>
      </c>
      <c r="G110" s="27">
        <v>1</v>
      </c>
      <c r="H110" s="47" t="s">
        <v>184</v>
      </c>
      <c r="I110" s="27" t="s">
        <v>4</v>
      </c>
      <c r="J110" s="44"/>
      <c r="K110" s="27">
        <v>10</v>
      </c>
      <c r="L110" s="27" t="s">
        <v>185</v>
      </c>
      <c r="M110" s="57">
        <v>1</v>
      </c>
      <c r="N110" s="125">
        <v>300</v>
      </c>
      <c r="O110" s="126">
        <v>2600000</v>
      </c>
      <c r="P110" s="127">
        <v>2340000</v>
      </c>
      <c r="Q110" s="129" t="s">
        <v>191</v>
      </c>
      <c r="R110" s="31">
        <f t="shared" si="5"/>
        <v>2340000</v>
      </c>
    </row>
    <row r="111" spans="1:18" s="45" customFormat="1" ht="30" customHeight="1">
      <c r="A111" s="27" t="s">
        <v>278</v>
      </c>
      <c r="B111" s="162"/>
      <c r="C111" s="101" t="s">
        <v>165</v>
      </c>
      <c r="D111" s="101" t="s">
        <v>286</v>
      </c>
      <c r="E111" s="33" t="s">
        <v>191</v>
      </c>
      <c r="F111" s="27">
        <v>1</v>
      </c>
      <c r="G111" s="27">
        <v>1</v>
      </c>
      <c r="H111" s="47" t="s">
        <v>184</v>
      </c>
      <c r="I111" s="27" t="s">
        <v>4</v>
      </c>
      <c r="J111" s="44"/>
      <c r="K111" s="27">
        <v>10</v>
      </c>
      <c r="L111" s="27" t="s">
        <v>185</v>
      </c>
      <c r="M111" s="57">
        <v>1</v>
      </c>
      <c r="N111" s="125">
        <v>300</v>
      </c>
      <c r="O111" s="126">
        <v>2600000</v>
      </c>
      <c r="P111" s="127">
        <v>2340000</v>
      </c>
      <c r="Q111" s="129" t="s">
        <v>191</v>
      </c>
      <c r="R111" s="31">
        <f t="shared" si="5"/>
        <v>2340000</v>
      </c>
    </row>
    <row r="112" spans="1:18" s="45" customFormat="1" ht="30" customHeight="1">
      <c r="A112" s="27" t="s">
        <v>278</v>
      </c>
      <c r="B112" s="162"/>
      <c r="C112" s="101" t="s">
        <v>165</v>
      </c>
      <c r="D112" s="101" t="s">
        <v>287</v>
      </c>
      <c r="E112" s="33" t="s">
        <v>191</v>
      </c>
      <c r="F112" s="27">
        <v>1</v>
      </c>
      <c r="G112" s="27">
        <v>1</v>
      </c>
      <c r="H112" s="47" t="s">
        <v>184</v>
      </c>
      <c r="I112" s="27" t="s">
        <v>4</v>
      </c>
      <c r="J112" s="44"/>
      <c r="K112" s="27">
        <v>10</v>
      </c>
      <c r="L112" s="27" t="s">
        <v>185</v>
      </c>
      <c r="M112" s="57">
        <v>1</v>
      </c>
      <c r="N112" s="125">
        <v>300</v>
      </c>
      <c r="O112" s="126">
        <v>2600000</v>
      </c>
      <c r="P112" s="127">
        <v>2340000</v>
      </c>
      <c r="Q112" s="129" t="s">
        <v>191</v>
      </c>
      <c r="R112" s="31">
        <f t="shared" si="5"/>
        <v>2340000</v>
      </c>
    </row>
    <row r="113" spans="1:21" s="45" customFormat="1" ht="30" customHeight="1">
      <c r="A113" s="27" t="s">
        <v>278</v>
      </c>
      <c r="B113" s="162"/>
      <c r="C113" s="101" t="s">
        <v>165</v>
      </c>
      <c r="D113" s="101" t="s">
        <v>288</v>
      </c>
      <c r="E113" s="33" t="s">
        <v>191</v>
      </c>
      <c r="F113" s="27">
        <v>1</v>
      </c>
      <c r="G113" s="27">
        <v>1</v>
      </c>
      <c r="H113" s="47" t="s">
        <v>184</v>
      </c>
      <c r="I113" s="27" t="s">
        <v>4</v>
      </c>
      <c r="J113" s="44"/>
      <c r="K113" s="27">
        <v>10</v>
      </c>
      <c r="L113" s="27" t="s">
        <v>185</v>
      </c>
      <c r="M113" s="57">
        <v>1</v>
      </c>
      <c r="N113" s="125">
        <v>300</v>
      </c>
      <c r="O113" s="126">
        <v>2600000</v>
      </c>
      <c r="P113" s="127">
        <v>2340000</v>
      </c>
      <c r="Q113" s="129" t="s">
        <v>191</v>
      </c>
      <c r="R113" s="31">
        <f t="shared" si="5"/>
        <v>2340000</v>
      </c>
    </row>
    <row r="114" spans="1:21" s="45" customFormat="1" ht="30" customHeight="1">
      <c r="A114" s="27" t="s">
        <v>278</v>
      </c>
      <c r="B114" s="162"/>
      <c r="C114" s="101" t="s">
        <v>165</v>
      </c>
      <c r="D114" s="101" t="s">
        <v>289</v>
      </c>
      <c r="E114" s="33" t="s">
        <v>191</v>
      </c>
      <c r="F114" s="27">
        <v>1</v>
      </c>
      <c r="G114" s="27">
        <v>1</v>
      </c>
      <c r="H114" s="47" t="s">
        <v>184</v>
      </c>
      <c r="I114" s="27" t="s">
        <v>4</v>
      </c>
      <c r="J114" s="44"/>
      <c r="K114" s="27">
        <v>10</v>
      </c>
      <c r="L114" s="27" t="s">
        <v>185</v>
      </c>
      <c r="M114" s="57">
        <v>1</v>
      </c>
      <c r="N114" s="125">
        <v>300</v>
      </c>
      <c r="O114" s="126">
        <v>2600000</v>
      </c>
      <c r="P114" s="127">
        <v>2340000</v>
      </c>
      <c r="Q114" s="129" t="s">
        <v>191</v>
      </c>
      <c r="R114" s="31">
        <f t="shared" si="5"/>
        <v>2340000</v>
      </c>
    </row>
    <row r="115" spans="1:21" s="45" customFormat="1" ht="30" customHeight="1">
      <c r="A115" s="27" t="s">
        <v>278</v>
      </c>
      <c r="B115" s="162"/>
      <c r="C115" s="101" t="s">
        <v>165</v>
      </c>
      <c r="D115" s="101" t="s">
        <v>290</v>
      </c>
      <c r="E115" s="33" t="s">
        <v>191</v>
      </c>
      <c r="F115" s="27">
        <v>1</v>
      </c>
      <c r="G115" s="27">
        <v>1</v>
      </c>
      <c r="H115" s="47" t="s">
        <v>184</v>
      </c>
      <c r="I115" s="27" t="s">
        <v>4</v>
      </c>
      <c r="J115" s="44"/>
      <c r="K115" s="27">
        <v>10</v>
      </c>
      <c r="L115" s="27" t="s">
        <v>185</v>
      </c>
      <c r="M115" s="57">
        <v>1</v>
      </c>
      <c r="N115" s="125">
        <v>300</v>
      </c>
      <c r="O115" s="126">
        <v>2600000</v>
      </c>
      <c r="P115" s="127">
        <v>2340000</v>
      </c>
      <c r="Q115" s="129" t="s">
        <v>191</v>
      </c>
      <c r="R115" s="31">
        <f t="shared" si="5"/>
        <v>2340000</v>
      </c>
    </row>
    <row r="116" spans="1:21" s="45" customFormat="1" ht="30" customHeight="1">
      <c r="A116" s="27" t="s">
        <v>278</v>
      </c>
      <c r="B116" s="162"/>
      <c r="C116" s="101" t="s">
        <v>165</v>
      </c>
      <c r="D116" s="101" t="s">
        <v>328</v>
      </c>
      <c r="E116" s="33" t="s">
        <v>191</v>
      </c>
      <c r="F116" s="27">
        <v>1</v>
      </c>
      <c r="G116" s="27">
        <v>1</v>
      </c>
      <c r="H116" s="46" t="s">
        <v>291</v>
      </c>
      <c r="I116" s="27" t="s">
        <v>4</v>
      </c>
      <c r="J116" s="44"/>
      <c r="K116" s="27">
        <v>10</v>
      </c>
      <c r="L116" s="27" t="s">
        <v>185</v>
      </c>
      <c r="M116" s="57">
        <v>1</v>
      </c>
      <c r="N116" s="125">
        <v>300</v>
      </c>
      <c r="O116" s="126">
        <v>2600000</v>
      </c>
      <c r="P116" s="127">
        <v>2340000</v>
      </c>
      <c r="Q116" s="129" t="s">
        <v>191</v>
      </c>
      <c r="R116" s="31">
        <f t="shared" si="5"/>
        <v>2340000</v>
      </c>
    </row>
    <row r="117" spans="1:21" s="45" customFormat="1" ht="30" customHeight="1">
      <c r="A117" s="27" t="s">
        <v>278</v>
      </c>
      <c r="B117" s="162"/>
      <c r="C117" s="101" t="s">
        <v>165</v>
      </c>
      <c r="D117" s="101" t="s">
        <v>329</v>
      </c>
      <c r="E117" s="33" t="s">
        <v>191</v>
      </c>
      <c r="F117" s="27">
        <v>1</v>
      </c>
      <c r="G117" s="27">
        <v>1</v>
      </c>
      <c r="H117" s="46" t="s">
        <v>291</v>
      </c>
      <c r="I117" s="27" t="s">
        <v>4</v>
      </c>
      <c r="J117" s="44"/>
      <c r="K117" s="27">
        <v>10</v>
      </c>
      <c r="L117" s="27" t="s">
        <v>185</v>
      </c>
      <c r="M117" s="57">
        <v>1</v>
      </c>
      <c r="N117" s="125">
        <v>300</v>
      </c>
      <c r="O117" s="126">
        <v>2600000</v>
      </c>
      <c r="P117" s="127">
        <v>2340000</v>
      </c>
      <c r="Q117" s="129" t="s">
        <v>191</v>
      </c>
      <c r="R117" s="31">
        <f t="shared" si="5"/>
        <v>2340000</v>
      </c>
    </row>
    <row r="118" spans="1:21" s="45" customFormat="1" ht="30" customHeight="1">
      <c r="A118" s="27" t="s">
        <v>278</v>
      </c>
      <c r="B118" s="162"/>
      <c r="C118" s="101" t="s">
        <v>165</v>
      </c>
      <c r="D118" s="101" t="s">
        <v>330</v>
      </c>
      <c r="E118" s="33" t="s">
        <v>191</v>
      </c>
      <c r="F118" s="27">
        <v>1</v>
      </c>
      <c r="G118" s="27">
        <v>1</v>
      </c>
      <c r="H118" s="46" t="s">
        <v>291</v>
      </c>
      <c r="I118" s="27" t="s">
        <v>4</v>
      </c>
      <c r="J118" s="44"/>
      <c r="K118" s="27">
        <v>10</v>
      </c>
      <c r="L118" s="27" t="s">
        <v>185</v>
      </c>
      <c r="M118" s="57">
        <v>1</v>
      </c>
      <c r="N118" s="125">
        <v>300</v>
      </c>
      <c r="O118" s="126">
        <v>2600000</v>
      </c>
      <c r="P118" s="127">
        <v>2340000</v>
      </c>
      <c r="Q118" s="129" t="s">
        <v>191</v>
      </c>
      <c r="R118" s="31">
        <f t="shared" si="5"/>
        <v>2340000</v>
      </c>
    </row>
    <row r="119" spans="1:21" ht="15" customHeight="1">
      <c r="A119" s="39"/>
      <c r="B119" s="40"/>
      <c r="C119" s="41"/>
      <c r="D119" s="42"/>
      <c r="E119" s="41"/>
      <c r="F119" s="41"/>
      <c r="G119" s="41"/>
      <c r="H119" s="41"/>
      <c r="I119" s="41"/>
      <c r="J119" s="41"/>
      <c r="K119" s="23"/>
      <c r="L119" s="41"/>
      <c r="M119" s="41"/>
      <c r="N119" s="130"/>
      <c r="O119" s="131">
        <f>SUM(O9:O118)</f>
        <v>680400000</v>
      </c>
      <c r="P119" s="131">
        <f>SUM(P9:P118)</f>
        <v>596325000</v>
      </c>
      <c r="Q119" s="43"/>
      <c r="R119" s="43">
        <f>SUM(R9:R118)</f>
        <v>596325000</v>
      </c>
    </row>
    <row r="121" spans="1:21" ht="17" thickBot="1">
      <c r="O121" s="13"/>
      <c r="S121" s="6"/>
      <c r="T121" s="6"/>
    </row>
    <row r="122" spans="1:21" ht="25" customHeight="1">
      <c r="O122" s="13"/>
      <c r="P122" s="13"/>
      <c r="Q122" s="14" t="s">
        <v>170</v>
      </c>
      <c r="R122" s="15">
        <f>R119</f>
        <v>596325000</v>
      </c>
      <c r="S122" s="6"/>
    </row>
    <row r="123" spans="1:21" ht="25" customHeight="1">
      <c r="P123" s="13"/>
      <c r="Q123" s="16" t="s">
        <v>351</v>
      </c>
      <c r="R123" s="17">
        <f>R122*2%</f>
        <v>11926500</v>
      </c>
      <c r="S123" s="6"/>
      <c r="T123" s="151"/>
    </row>
    <row r="124" spans="1:21" ht="25" customHeight="1" thickBot="1">
      <c r="P124" s="13"/>
      <c r="Q124" s="18" t="s">
        <v>171</v>
      </c>
      <c r="R124" s="19">
        <f>(R122+R123)*1.12</f>
        <v>681241680.00000012</v>
      </c>
      <c r="S124" s="6"/>
    </row>
    <row r="125" spans="1:21">
      <c r="P125" s="13"/>
      <c r="S125" s="6"/>
      <c r="T125" s="6"/>
      <c r="U125" s="6"/>
    </row>
    <row r="126" spans="1:21">
      <c r="P126" s="13"/>
      <c r="S126" s="6"/>
      <c r="T126" s="6"/>
    </row>
    <row r="127" spans="1:21">
      <c r="P127" s="13"/>
      <c r="S127" s="6"/>
      <c r="T127" s="6"/>
    </row>
    <row r="128" spans="1:21">
      <c r="P128" s="13"/>
      <c r="S128" s="6"/>
      <c r="T128" s="6"/>
    </row>
    <row r="129" spans="15:19">
      <c r="O129" s="13"/>
      <c r="S129" s="6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K119 P103:Q103 N119" name="Диапазон1"/>
    <protectedRange algorithmName="SHA-512" hashValue="20tZejZtY/ZGRcGLZm0ZbWfCu51ejQGMqdRYwv0b9rb/5Q/ejFDHQOXySZDQbnMuPhvZC4Bfbq/BWdBxp9Ls4w==" saltValue="Q+V8rXhHsE4u/j5xUQJeAg==" spinCount="100000" sqref="G103" name="Диапазон1_1_2"/>
    <protectedRange algorithmName="SHA-512" hashValue="20tZejZtY/ZGRcGLZm0ZbWfCu51ejQGMqdRYwv0b9rb/5Q/ejFDHQOXySZDQbnMuPhvZC4Bfbq/BWdBxp9Ls4w==" saltValue="Q+V8rXhHsE4u/j5xUQJeAg==" spinCount="100000" sqref="O103" name="Диапазон1_1_3"/>
    <protectedRange algorithmName="SHA-512" hashValue="20tZejZtY/ZGRcGLZm0ZbWfCu51ejQGMqdRYwv0b9rb/5Q/ejFDHQOXySZDQbnMuPhvZC4Bfbq/BWdBxp9Ls4w==" saltValue="Q+V8rXhHsE4u/j5xUQJeAg==" spinCount="100000" sqref="H104:H115 D103:E103" name="Диапазон1_2_2"/>
    <protectedRange algorithmName="SHA-512" hashValue="20tZejZtY/ZGRcGLZm0ZbWfCu51ejQGMqdRYwv0b9rb/5Q/ejFDHQOXySZDQbnMuPhvZC4Bfbq/BWdBxp9Ls4w==" saltValue="Q+V8rXhHsE4u/j5xUQJeAg==" spinCount="100000" sqref="J103" name="Диапазон1_4_1"/>
    <protectedRange algorithmName="SHA-512" hashValue="20tZejZtY/ZGRcGLZm0ZbWfCu51ejQGMqdRYwv0b9rb/5Q/ejFDHQOXySZDQbnMuPhvZC4Bfbq/BWdBxp9Ls4w==" saltValue="Q+V8rXhHsE4u/j5xUQJeAg==" spinCount="100000" sqref="B103" name="Диапазон1_9_1"/>
    <protectedRange algorithmName="SHA-512" hashValue="20tZejZtY/ZGRcGLZm0ZbWfCu51ejQGMqdRYwv0b9rb/5Q/ejFDHQOXySZDQbnMuPhvZC4Bfbq/BWdBxp9Ls4w==" saltValue="Q+V8rXhHsE4u/j5xUQJeAg==" spinCount="100000" sqref="L103 N103" name="Диапазон1_4"/>
    <protectedRange algorithmName="SHA-512" hashValue="20tZejZtY/ZGRcGLZm0ZbWfCu51ejQGMqdRYwv0b9rb/5Q/ejFDHQOXySZDQbnMuPhvZC4Bfbq/BWdBxp9Ls4w==" saltValue="Q+V8rXhHsE4u/j5xUQJeAg==" spinCount="100000" sqref="M103" name="Диапазон1_1_1"/>
    <protectedRange algorithmName="SHA-512" hashValue="20tZejZtY/ZGRcGLZm0ZbWfCu51ejQGMqdRYwv0b9rb/5Q/ejFDHQOXySZDQbnMuPhvZC4Bfbq/BWdBxp9Ls4w==" saltValue="Q+V8rXhHsE4u/j5xUQJeAg==" spinCount="100000" sqref="C103" name="Диапазон1_2_1"/>
    <protectedRange algorithmName="SHA-512" hashValue="20tZejZtY/ZGRcGLZm0ZbWfCu51ejQGMqdRYwv0b9rb/5Q/ejFDHQOXySZDQbnMuPhvZC4Bfbq/BWdBxp9Ls4w==" saltValue="Q+V8rXhHsE4u/j5xUQJeAg==" spinCount="100000" sqref="K103" name="Диапазон1_7_1"/>
    <protectedRange algorithmName="SHA-512" hashValue="20tZejZtY/ZGRcGLZm0ZbWfCu51ejQGMqdRYwv0b9rb/5Q/ejFDHQOXySZDQbnMuPhvZC4Bfbq/BWdBxp9Ls4w==" saltValue="Q+V8rXhHsE4u/j5xUQJeAg==" spinCount="100000" sqref="I103" name="Диапазон1_1_2_1"/>
    <protectedRange algorithmName="SHA-512" hashValue="20tZejZtY/ZGRcGLZm0ZbWfCu51ejQGMqdRYwv0b9rb/5Q/ejFDHQOXySZDQbnMuPhvZC4Bfbq/BWdBxp9Ls4w==" saltValue="Q+V8rXhHsE4u/j5xUQJeAg==" spinCount="100000" sqref="H103 F103" name="Диапазон1_5_2_1"/>
    <protectedRange algorithmName="SHA-512" hashValue="20tZejZtY/ZGRcGLZm0ZbWfCu51ejQGMqdRYwv0b9rb/5Q/ejFDHQOXySZDQbnMuPhvZC4Bfbq/BWdBxp9Ls4w==" saltValue="Q+V8rXhHsE4u/j5xUQJeAg==" spinCount="100000" sqref="P104:P115" name="Диапазон1_9"/>
    <protectedRange algorithmName="SHA-512" hashValue="20tZejZtY/ZGRcGLZm0ZbWfCu51ejQGMqdRYwv0b9rb/5Q/ejFDHQOXySZDQbnMuPhvZC4Bfbq/BWdBxp9Ls4w==" saltValue="Q+V8rXhHsE4u/j5xUQJeAg==" spinCount="100000" sqref="G104:G115" name="Диапазон1_1_2_2"/>
    <protectedRange algorithmName="SHA-512" hashValue="20tZejZtY/ZGRcGLZm0ZbWfCu51ejQGMqdRYwv0b9rb/5Q/ejFDHQOXySZDQbnMuPhvZC4Bfbq/BWdBxp9Ls4w==" saltValue="Q+V8rXhHsE4u/j5xUQJeAg==" spinCount="100000" sqref="K104:K115 M104:N115" name="Диапазон1_3_1"/>
    <protectedRange algorithmName="SHA-512" hashValue="20tZejZtY/ZGRcGLZm0ZbWfCu51ejQGMqdRYwv0b9rb/5Q/ejFDHQOXySZDQbnMuPhvZC4Bfbq/BWdBxp9Ls4w==" saltValue="Q+V8rXhHsE4u/j5xUQJeAg==" spinCount="100000" sqref="I104:I115 O104:O115" name="Диапазон1_1_3_2"/>
    <protectedRange algorithmName="SHA-512" hashValue="20tZejZtY/ZGRcGLZm0ZbWfCu51ejQGMqdRYwv0b9rb/5Q/ejFDHQOXySZDQbnMuPhvZC4Bfbq/BWdBxp9Ls4w==" saltValue="Q+V8rXhHsE4u/j5xUQJeAg==" spinCount="100000" sqref="C104:E115" name="Диапазон1_2_2_1"/>
    <protectedRange algorithmName="SHA-512" hashValue="20tZejZtY/ZGRcGLZm0ZbWfCu51ejQGMqdRYwv0b9rb/5Q/ejFDHQOXySZDQbnMuPhvZC4Bfbq/BWdBxp9Ls4w==" saltValue="Q+V8rXhHsE4u/j5xUQJeAg==" spinCount="100000" sqref="J104:J115" name="Диапазон1_4_1_1"/>
    <protectedRange algorithmName="SHA-512" hashValue="20tZejZtY/ZGRcGLZm0ZbWfCu51ejQGMqdRYwv0b9rb/5Q/ejFDHQOXySZDQbnMuPhvZC4Bfbq/BWdBxp9Ls4w==" saltValue="Q+V8rXhHsE4u/j5xUQJeAg==" spinCount="100000" sqref="B104:B115" name="Диапазон1_9_1_1"/>
    <protectedRange algorithmName="SHA-512" hashValue="20tZejZtY/ZGRcGLZm0ZbWfCu51ejQGMqdRYwv0b9rb/5Q/ejFDHQOXySZDQbnMuPhvZC4Bfbq/BWdBxp9Ls4w==" saltValue="Q+V8rXhHsE4u/j5xUQJeAg==" spinCount="100000" sqref="L104:L115" name="Диапазон1_4_2"/>
    <protectedRange algorithmName="SHA-512" hashValue="20tZejZtY/ZGRcGLZm0ZbWfCu51ejQGMqdRYwv0b9rb/5Q/ejFDHQOXySZDQbnMuPhvZC4Bfbq/BWdBxp9Ls4w==" saltValue="Q+V8rXhHsE4u/j5xUQJeAg==" spinCount="100000" sqref="F104:F115" name="Диапазон1_5_2_1_1"/>
    <protectedRange algorithmName="SHA-512" hashValue="20tZejZtY/ZGRcGLZm0ZbWfCu51ejQGMqdRYwv0b9rb/5Q/ejFDHQOXySZDQbnMuPhvZC4Bfbq/BWdBxp9Ls4w==" saltValue="Q+V8rXhHsE4u/j5xUQJeAg==" spinCount="100000" sqref="G54:G83" name="Диапазон1_1_2_5"/>
    <protectedRange algorithmName="SHA-512" hashValue="20tZejZtY/ZGRcGLZm0ZbWfCu51ejQGMqdRYwv0b9rb/5Q/ejFDHQOXySZDQbnMuPhvZC4Bfbq/BWdBxp9Ls4w==" saltValue="Q+V8rXhHsE4u/j5xUQJeAg==" spinCount="100000" sqref="O54:O83" name="Диапазон1_1_3_5"/>
    <protectedRange algorithmName="SHA-512" hashValue="20tZejZtY/ZGRcGLZm0ZbWfCu51ejQGMqdRYwv0b9rb/5Q/ejFDHQOXySZDQbnMuPhvZC4Bfbq/BWdBxp9Ls4w==" saltValue="Q+V8rXhHsE4u/j5xUQJeAg==" spinCount="100000" sqref="D54:E64 D75:E83" name="Диапазон1_2_2_4"/>
    <protectedRange algorithmName="SHA-512" hashValue="20tZejZtY/ZGRcGLZm0ZbWfCu51ejQGMqdRYwv0b9rb/5Q/ejFDHQOXySZDQbnMuPhvZC4Bfbq/BWdBxp9Ls4w==" saltValue="Q+V8rXhHsE4u/j5xUQJeAg==" spinCount="100000" sqref="J54:J83" name="Диапазон1_4_1_4"/>
    <protectedRange algorithmName="SHA-512" hashValue="20tZejZtY/ZGRcGLZm0ZbWfCu51ejQGMqdRYwv0b9rb/5Q/ejFDHQOXySZDQbnMuPhvZC4Bfbq/BWdBxp9Ls4w==" saltValue="Q+V8rXhHsE4u/j5xUQJeAg==" spinCount="100000" sqref="B54:B83" name="Диапазон1_9_1_4"/>
    <protectedRange algorithmName="SHA-512" hashValue="20tZejZtY/ZGRcGLZm0ZbWfCu51ejQGMqdRYwv0b9rb/5Q/ejFDHQOXySZDQbnMuPhvZC4Bfbq/BWdBxp9Ls4w==" saltValue="Q+V8rXhHsE4u/j5xUQJeAg==" spinCount="100000" sqref="L54:L83 N54:N83" name="Диапазон1_4_6"/>
    <protectedRange algorithmName="SHA-512" hashValue="20tZejZtY/ZGRcGLZm0ZbWfCu51ejQGMqdRYwv0b9rb/5Q/ejFDHQOXySZDQbnMuPhvZC4Bfbq/BWdBxp9Ls4w==" saltValue="Q+V8rXhHsE4u/j5xUQJeAg==" spinCount="100000" sqref="M54:M83" name="Диапазон1_1_1_3"/>
    <protectedRange algorithmName="SHA-512" hashValue="20tZejZtY/ZGRcGLZm0ZbWfCu51ejQGMqdRYwv0b9rb/5Q/ejFDHQOXySZDQbnMuPhvZC4Bfbq/BWdBxp9Ls4w==" saltValue="Q+V8rXhHsE4u/j5xUQJeAg==" spinCount="100000" sqref="C54:C64 C75:C83" name="Диапазон1_2_1_4"/>
    <protectedRange algorithmName="SHA-512" hashValue="20tZejZtY/ZGRcGLZm0ZbWfCu51ejQGMqdRYwv0b9rb/5Q/ejFDHQOXySZDQbnMuPhvZC4Bfbq/BWdBxp9Ls4w==" saltValue="Q+V8rXhHsE4u/j5xUQJeAg==" spinCount="100000" sqref="K54:K83" name="Диапазон1_7_1_3"/>
    <protectedRange algorithmName="SHA-512" hashValue="20tZejZtY/ZGRcGLZm0ZbWfCu51ejQGMqdRYwv0b9rb/5Q/ejFDHQOXySZDQbnMuPhvZC4Bfbq/BWdBxp9Ls4w==" saltValue="Q+V8rXhHsE4u/j5xUQJeAg==" spinCount="100000" sqref="I54:I83" name="Диапазон1_1_2_1_3"/>
    <protectedRange algorithmName="SHA-512" hashValue="20tZejZtY/ZGRcGLZm0ZbWfCu51ejQGMqdRYwv0b9rb/5Q/ejFDHQOXySZDQbnMuPhvZC4Bfbq/BWdBxp9Ls4w==" saltValue="Q+V8rXhHsE4u/j5xUQJeAg==" spinCount="100000" sqref="F54:F83 H54:H83" name="Диапазон1_5_2_1_4"/>
    <protectedRange algorithmName="SHA-512" hashValue="20tZejZtY/ZGRcGLZm0ZbWfCu51ejQGMqdRYwv0b9rb/5Q/ejFDHQOXySZDQbnMuPhvZC4Bfbq/BWdBxp9Ls4w==" saltValue="Q+V8rXhHsE4u/j5xUQJeAg==" spinCount="100000" sqref="D65:E74" name="Диапазон1_2_2_1_1"/>
    <protectedRange algorithmName="SHA-512" hashValue="20tZejZtY/ZGRcGLZm0ZbWfCu51ejQGMqdRYwv0b9rb/5Q/ejFDHQOXySZDQbnMuPhvZC4Bfbq/BWdBxp9Ls4w==" saltValue="Q+V8rXhHsE4u/j5xUQJeAg==" spinCount="100000" sqref="C65:C74" name="Диапазон1_2_1_2_1"/>
    <protectedRange algorithmName="SHA-512" hashValue="20tZejZtY/ZGRcGLZm0ZbWfCu51ejQGMqdRYwv0b9rb/5Q/ejFDHQOXySZDQbnMuPhvZC4Bfbq/BWdBxp9Ls4w==" saltValue="Q+V8rXhHsE4u/j5xUQJeAg==" spinCount="100000" sqref="P116:P118" name="Диапазон1_12"/>
    <protectedRange algorithmName="SHA-512" hashValue="20tZejZtY/ZGRcGLZm0ZbWfCu51ejQGMqdRYwv0b9rb/5Q/ejFDHQOXySZDQbnMuPhvZC4Bfbq/BWdBxp9Ls4w==" saltValue="Q+V8rXhHsE4u/j5xUQJeAg==" spinCount="100000" sqref="G116:G118" name="Диапазон1_1_2_6"/>
    <protectedRange algorithmName="SHA-512" hashValue="20tZejZtY/ZGRcGLZm0ZbWfCu51ejQGMqdRYwv0b9rb/5Q/ejFDHQOXySZDQbnMuPhvZC4Bfbq/BWdBxp9Ls4w==" saltValue="Q+V8rXhHsE4u/j5xUQJeAg==" spinCount="100000" sqref="K116:K118 M116:N118" name="Диапазон1_3_2"/>
    <protectedRange algorithmName="SHA-512" hashValue="20tZejZtY/ZGRcGLZm0ZbWfCu51ejQGMqdRYwv0b9rb/5Q/ejFDHQOXySZDQbnMuPhvZC4Bfbq/BWdBxp9Ls4w==" saltValue="Q+V8rXhHsE4u/j5xUQJeAg==" spinCount="100000" sqref="I116:I118 O116:O118" name="Диапазон1_1_3_6"/>
    <protectedRange algorithmName="SHA-512" hashValue="20tZejZtY/ZGRcGLZm0ZbWfCu51ejQGMqdRYwv0b9rb/5Q/ejFDHQOXySZDQbnMuPhvZC4Bfbq/BWdBxp9Ls4w==" saltValue="Q+V8rXhHsE4u/j5xUQJeAg==" spinCount="100000" sqref="H116:H118" name="Диапазон1_5_3"/>
    <protectedRange algorithmName="SHA-512" hashValue="20tZejZtY/ZGRcGLZm0ZbWfCu51ejQGMqdRYwv0b9rb/5Q/ejFDHQOXySZDQbnMuPhvZC4Bfbq/BWdBxp9Ls4w==" saltValue="Q+V8rXhHsE4u/j5xUQJeAg==" spinCount="100000" sqref="C116:E118" name="Диапазон1_2_2_5"/>
    <protectedRange algorithmName="SHA-512" hashValue="20tZejZtY/ZGRcGLZm0ZbWfCu51ejQGMqdRYwv0b9rb/5Q/ejFDHQOXySZDQbnMuPhvZC4Bfbq/BWdBxp9Ls4w==" saltValue="Q+V8rXhHsE4u/j5xUQJeAg==" spinCount="100000" sqref="J116:J118" name="Диапазон1_4_1_5"/>
    <protectedRange algorithmName="SHA-512" hashValue="20tZejZtY/ZGRcGLZm0ZbWfCu51ejQGMqdRYwv0b9rb/5Q/ejFDHQOXySZDQbnMuPhvZC4Bfbq/BWdBxp9Ls4w==" saltValue="Q+V8rXhHsE4u/j5xUQJeAg==" spinCount="100000" sqref="B116:B118" name="Диапазон1_9_1_5"/>
    <protectedRange algorithmName="SHA-512" hashValue="20tZejZtY/ZGRcGLZm0ZbWfCu51ejQGMqdRYwv0b9rb/5Q/ejFDHQOXySZDQbnMuPhvZC4Bfbq/BWdBxp9Ls4w==" saltValue="Q+V8rXhHsE4u/j5xUQJeAg==" spinCount="100000" sqref="L116:L118" name="Диапазон1_4_7"/>
    <protectedRange algorithmName="SHA-512" hashValue="20tZejZtY/ZGRcGLZm0ZbWfCu51ejQGMqdRYwv0b9rb/5Q/ejFDHQOXySZDQbnMuPhvZC4Bfbq/BWdBxp9Ls4w==" saltValue="Q+V8rXhHsE4u/j5xUQJeAg==" spinCount="100000" sqref="F116:F118" name="Диапазон1_5_2_1_5"/>
    <protectedRange algorithmName="SHA-512" hashValue="20tZejZtY/ZGRcGLZm0ZbWfCu51ejQGMqdRYwv0b9rb/5Q/ejFDHQOXySZDQbnMuPhvZC4Bfbq/BWdBxp9Ls4w==" saltValue="Q+V8rXhHsE4u/j5xUQJeAg==" spinCount="100000" sqref="L9:L11 L14:L16 N9:N11 N14:N16 P9:P102" name="Диапазон1_9_4"/>
    <protectedRange algorithmName="SHA-512" hashValue="20tZejZtY/ZGRcGLZm0ZbWfCu51ejQGMqdRYwv0b9rb/5Q/ejFDHQOXySZDQbnMuPhvZC4Bfbq/BWdBxp9Ls4w==" saltValue="Q+V8rXhHsE4u/j5xUQJeAg==" spinCount="100000" sqref="M9:M11 M14:M16" name="Диапазон1_1_5_1"/>
    <protectedRange algorithmName="SHA-512" hashValue="20tZejZtY/ZGRcGLZm0ZbWfCu51ejQGMqdRYwv0b9rb/5Q/ejFDHQOXySZDQbnMuPhvZC4Bfbq/BWdBxp9Ls4w==" saltValue="Q+V8rXhHsE4u/j5xUQJeAg==" spinCount="100000" sqref="O16 O9:O11" name="Диапазон1_14_3_1"/>
    <protectedRange algorithmName="SHA-512" hashValue="20tZejZtY/ZGRcGLZm0ZbWfCu51ejQGMqdRYwv0b9rb/5Q/ejFDHQOXySZDQbnMuPhvZC4Bfbq/BWdBxp9Ls4w==" saltValue="Q+V8rXhHsE4u/j5xUQJeAg==" spinCount="100000" sqref="D9:D11" name="Диапазон1_17_1_1"/>
    <protectedRange algorithmName="SHA-512" hashValue="20tZejZtY/ZGRcGLZm0ZbWfCu51ejQGMqdRYwv0b9rb/5Q/ejFDHQOXySZDQbnMuPhvZC4Bfbq/BWdBxp9Ls4w==" saltValue="Q+V8rXhHsE4u/j5xUQJeAg==" spinCount="100000" sqref="C9:C11 C14:C16" name="Диапазон1_2_5_1"/>
    <protectedRange algorithmName="SHA-512" hashValue="20tZejZtY/ZGRcGLZm0ZbWfCu51ejQGMqdRYwv0b9rb/5Q/ejFDHQOXySZDQbnMuPhvZC4Bfbq/BWdBxp9Ls4w==" saltValue="Q+V8rXhHsE4u/j5xUQJeAg==" spinCount="100000" sqref="J9:J11 J14:J15 J29:J31" name="Диапазон1_6_1_1"/>
    <protectedRange algorithmName="SHA-512" hashValue="20tZejZtY/ZGRcGLZm0ZbWfCu51ejQGMqdRYwv0b9rb/5Q/ejFDHQOXySZDQbnMuPhvZC4Bfbq/BWdBxp9Ls4w==" saltValue="Q+V8rXhHsE4u/j5xUQJeAg==" spinCount="100000" sqref="K9:K11 K14:K16" name="Диапазон1_7_2_1"/>
    <protectedRange algorithmName="SHA-512" hashValue="20tZejZtY/ZGRcGLZm0ZbWfCu51ejQGMqdRYwv0b9rb/5Q/ejFDHQOXySZDQbnMuPhvZC4Bfbq/BWdBxp9Ls4w==" saltValue="Q+V8rXhHsE4u/j5xUQJeAg==" spinCount="100000" sqref="I9:I11 I14:I16 G9:G33" name="Диапазон1_1_2_3_2"/>
    <protectedRange algorithmName="SHA-512" hashValue="20tZejZtY/ZGRcGLZm0ZbWfCu51ejQGMqdRYwv0b9rb/5Q/ejFDHQOXySZDQbnMuPhvZC4Bfbq/BWdBxp9Ls4w==" saltValue="Q+V8rXhHsE4u/j5xUQJeAg==" spinCount="100000" sqref="F9:F11 H9:H11 F14:F16 H14:H16" name="Диапазон1_5_2_2_1"/>
    <protectedRange algorithmName="SHA-512" hashValue="20tZejZtY/ZGRcGLZm0ZbWfCu51ejQGMqdRYwv0b9rb/5Q/ejFDHQOXySZDQbnMuPhvZC4Bfbq/BWdBxp9Ls4w==" saltValue="Q+V8rXhHsE4u/j5xUQJeAg==" spinCount="100000" sqref="E14:E16 E18" name="Диапазон1_8_2_1"/>
    <protectedRange algorithmName="SHA-512" hashValue="20tZejZtY/ZGRcGLZm0ZbWfCu51ejQGMqdRYwv0b9rb/5Q/ejFDHQOXySZDQbnMuPhvZC4Bfbq/BWdBxp9Ls4w==" saltValue="Q+V8rXhHsE4u/j5xUQJeAg==" spinCount="100000" sqref="D14:D16" name="Диапазон1_2_3_2_1"/>
    <protectedRange algorithmName="SHA-512" hashValue="20tZejZtY/ZGRcGLZm0ZbWfCu51ejQGMqdRYwv0b9rb/5Q/ejFDHQOXySZDQbnMuPhvZC4Bfbq/BWdBxp9Ls4w==" saltValue="Q+V8rXhHsE4u/j5xUQJeAg==" spinCount="100000" sqref="B9:B11 B14:B16" name="Диапазон1_2_1_1_2_1"/>
    <protectedRange algorithmName="SHA-512" hashValue="20tZejZtY/ZGRcGLZm0ZbWfCu51ejQGMqdRYwv0b9rb/5Q/ejFDHQOXySZDQbnMuPhvZC4Bfbq/BWdBxp9Ls4w==" saltValue="Q+V8rXhHsE4u/j5xUQJeAg==" spinCount="100000" sqref="O19:O33 O43 O46 O48:O53" name="Диапазон1_1_3_1_3"/>
    <protectedRange algorithmName="SHA-512" hashValue="20tZejZtY/ZGRcGLZm0ZbWfCu51ejQGMqdRYwv0b9rb/5Q/ejFDHQOXySZDQbnMuPhvZC4Bfbq/BWdBxp9Ls4w==" saltValue="Q+V8rXhHsE4u/j5xUQJeAg==" spinCount="100000" sqref="D19:E33" name="Диапазон1_2_2_3_2"/>
    <protectedRange algorithmName="SHA-512" hashValue="20tZejZtY/ZGRcGLZm0ZbWfCu51ejQGMqdRYwv0b9rb/5Q/ejFDHQOXySZDQbnMuPhvZC4Bfbq/BWdBxp9Ls4w==" saltValue="Q+V8rXhHsE4u/j5xUQJeAg==" spinCount="100000" sqref="J19:J28 J32:J33" name="Диапазон1_4_1_2_2"/>
    <protectedRange algorithmName="SHA-512" hashValue="20tZejZtY/ZGRcGLZm0ZbWfCu51ejQGMqdRYwv0b9rb/5Q/ejFDHQOXySZDQbnMuPhvZC4Bfbq/BWdBxp9Ls4w==" saltValue="Q+V8rXhHsE4u/j5xUQJeAg==" spinCount="100000" sqref="B19:B33" name="Диапазон1_9_1_2_2"/>
    <protectedRange algorithmName="SHA-512" hashValue="20tZejZtY/ZGRcGLZm0ZbWfCu51ejQGMqdRYwv0b9rb/5Q/ejFDHQOXySZDQbnMuPhvZC4Bfbq/BWdBxp9Ls4w==" saltValue="Q+V8rXhHsE4u/j5xUQJeAg==" spinCount="100000" sqref="L17:L33 N17:N33" name="Диапазон1_4_2_2"/>
    <protectedRange algorithmName="SHA-512" hashValue="20tZejZtY/ZGRcGLZm0ZbWfCu51ejQGMqdRYwv0b9rb/5Q/ejFDHQOXySZDQbnMuPhvZC4Bfbq/BWdBxp9Ls4w==" saltValue="Q+V8rXhHsE4u/j5xUQJeAg==" spinCount="100000" sqref="M17:M33" name="Диапазон1_1_1_2_2"/>
    <protectedRange algorithmName="SHA-512" hashValue="20tZejZtY/ZGRcGLZm0ZbWfCu51ejQGMqdRYwv0b9rb/5Q/ejFDHQOXySZDQbnMuPhvZC4Bfbq/BWdBxp9Ls4w==" saltValue="Q+V8rXhHsE4u/j5xUQJeAg==" spinCount="100000" sqref="O17:O18" name="Диапазон1_14_1_1_1"/>
    <protectedRange algorithmName="SHA-512" hashValue="20tZejZtY/ZGRcGLZm0ZbWfCu51ejQGMqdRYwv0b9rb/5Q/ejFDHQOXySZDQbnMuPhvZC4Bfbq/BWdBxp9Ls4w==" saltValue="Q+V8rXhHsE4u/j5xUQJeAg==" spinCount="100000" sqref="C17:C33" name="Диапазон1_2_1_4_2"/>
    <protectedRange algorithmName="SHA-512" hashValue="20tZejZtY/ZGRcGLZm0ZbWfCu51ejQGMqdRYwv0b9rb/5Q/ejFDHQOXySZDQbnMuPhvZC4Bfbq/BWdBxp9Ls4w==" saltValue="Q+V8rXhHsE4u/j5xUQJeAg==" spinCount="100000" sqref="K17:K33" name="Диапазон1_7_1_2_2"/>
    <protectedRange algorithmName="SHA-512" hashValue="20tZejZtY/ZGRcGLZm0ZbWfCu51ejQGMqdRYwv0b9rb/5Q/ejFDHQOXySZDQbnMuPhvZC4Bfbq/BWdBxp9Ls4w==" saltValue="Q+V8rXhHsE4u/j5xUQJeAg==" spinCount="100000" sqref="I17:I33" name="Диапазон1_1_2_1_2_2"/>
    <protectedRange algorithmName="SHA-512" hashValue="20tZejZtY/ZGRcGLZm0ZbWfCu51ejQGMqdRYwv0b9rb/5Q/ejFDHQOXySZDQbnMuPhvZC4Bfbq/BWdBxp9Ls4w==" saltValue="Q+V8rXhHsE4u/j5xUQJeAg==" spinCount="100000" sqref="H17:H33 F17:F33" name="Диапазон1_5_2_1_2_2"/>
    <protectedRange algorithmName="SHA-512" hashValue="20tZejZtY/ZGRcGLZm0ZbWfCu51ejQGMqdRYwv0b9rb/5Q/ejFDHQOXySZDQbnMuPhvZC4Bfbq/BWdBxp9Ls4w==" saltValue="Q+V8rXhHsE4u/j5xUQJeAg==" spinCount="100000" sqref="E17" name="Диапазон1_8_1_1_1"/>
    <protectedRange algorithmName="SHA-512" hashValue="20tZejZtY/ZGRcGLZm0ZbWfCu51ejQGMqdRYwv0b9rb/5Q/ejFDHQOXySZDQbnMuPhvZC4Bfbq/BWdBxp9Ls4w==" saltValue="Q+V8rXhHsE4u/j5xUQJeAg==" spinCount="100000" sqref="D17:D18" name="Диапазон1_2_3_1_1_1"/>
    <protectedRange algorithmName="SHA-512" hashValue="20tZejZtY/ZGRcGLZm0ZbWfCu51ejQGMqdRYwv0b9rb/5Q/ejFDHQOXySZDQbnMuPhvZC4Bfbq/BWdBxp9Ls4w==" saltValue="Q+V8rXhHsE4u/j5xUQJeAg==" spinCount="100000" sqref="B17:B18" name="Диапазон1_2_1_1_1_1_1"/>
    <protectedRange algorithmName="SHA-512" hashValue="20tZejZtY/ZGRcGLZm0ZbWfCu51ejQGMqdRYwv0b9rb/5Q/ejFDHQOXySZDQbnMuPhvZC4Bfbq/BWdBxp9Ls4w==" saltValue="Q+V8rXhHsE4u/j5xUQJeAg==" spinCount="100000" sqref="N12:N13" name="Диапазон1_4_3_1_1"/>
    <protectedRange algorithmName="SHA-512" hashValue="20tZejZtY/ZGRcGLZm0ZbWfCu51ejQGMqdRYwv0b9rb/5Q/ejFDHQOXySZDQbnMuPhvZC4Bfbq/BWdBxp9Ls4w==" saltValue="Q+V8rXhHsE4u/j5xUQJeAg==" spinCount="100000" sqref="M12:M13" name="Диапазон1_1_4_2_1"/>
    <protectedRange algorithmName="SHA-512" hashValue="20tZejZtY/ZGRcGLZm0ZbWfCu51ejQGMqdRYwv0b9rb/5Q/ejFDHQOXySZDQbnMuPhvZC4Bfbq/BWdBxp9Ls4w==" saltValue="Q+V8rXhHsE4u/j5xUQJeAg==" spinCount="100000" sqref="H12:H13" name="Диапазон1_5_2_1_1_2_1_1_1"/>
    <protectedRange algorithmName="SHA-512" hashValue="20tZejZtY/ZGRcGLZm0ZbWfCu51ejQGMqdRYwv0b9rb/5Q/ejFDHQOXySZDQbnMuPhvZC4Bfbq/BWdBxp9Ls4w==" saltValue="Q+V8rXhHsE4u/j5xUQJeAg==" spinCount="100000" sqref="O12" name="Диапазон1_1_4_1_1_1"/>
    <protectedRange algorithmName="SHA-512" hashValue="20tZejZtY/ZGRcGLZm0ZbWfCu51ejQGMqdRYwv0b9rb/5Q/ejFDHQOXySZDQbnMuPhvZC4Bfbq/BWdBxp9Ls4w==" saltValue="Q+V8rXhHsE4u/j5xUQJeAg==" spinCount="100000" sqref="G38:G53" name="Диапазон1_1_2_3_1_3"/>
    <protectedRange algorithmName="SHA-512" hashValue="20tZejZtY/ZGRcGLZm0ZbWfCu51ejQGMqdRYwv0b9rb/5Q/ejFDHQOXySZDQbnMuPhvZC4Bfbq/BWdBxp9Ls4w==" saltValue="Q+V8rXhHsE4u/j5xUQJeAg==" spinCount="100000" sqref="O38:O42 O45" name="Диапазон1_1_3_3_2"/>
    <protectedRange algorithmName="SHA-512" hashValue="20tZejZtY/ZGRcGLZm0ZbWfCu51ejQGMqdRYwv0b9rb/5Q/ejFDHQOXySZDQbnMuPhvZC4Bfbq/BWdBxp9Ls4w==" saltValue="Q+V8rXhHsE4u/j5xUQJeAg==" spinCount="100000" sqref="D38:E53" name="Диапазон1_2_2_2_1_2"/>
    <protectedRange algorithmName="SHA-512" hashValue="20tZejZtY/ZGRcGLZm0ZbWfCu51ejQGMqdRYwv0b9rb/5Q/ejFDHQOXySZDQbnMuPhvZC4Bfbq/BWdBxp9Ls4w==" saltValue="Q+V8rXhHsE4u/j5xUQJeAg==" spinCount="100000" sqref="J38:J53" name="Диапазон1_4_1_2_1_3"/>
    <protectedRange algorithmName="SHA-512" hashValue="20tZejZtY/ZGRcGLZm0ZbWfCu51ejQGMqdRYwv0b9rb/5Q/ejFDHQOXySZDQbnMuPhvZC4Bfbq/BWdBxp9Ls4w==" saltValue="Q+V8rXhHsE4u/j5xUQJeAg==" spinCount="100000" sqref="B38:B53" name="Диапазон1_9_1_2_1_3"/>
    <protectedRange algorithmName="SHA-512" hashValue="20tZejZtY/ZGRcGLZm0ZbWfCu51ejQGMqdRYwv0b9rb/5Q/ejFDHQOXySZDQbnMuPhvZC4Bfbq/BWdBxp9Ls4w==" saltValue="Q+V8rXhHsE4u/j5xUQJeAg==" spinCount="100000" sqref="N38:N53 L38:L53" name="Диапазон1_4_4_1_2"/>
    <protectedRange algorithmName="SHA-512" hashValue="20tZejZtY/ZGRcGLZm0ZbWfCu51ejQGMqdRYwv0b9rb/5Q/ejFDHQOXySZDQbnMuPhvZC4Bfbq/BWdBxp9Ls4w==" saltValue="Q+V8rXhHsE4u/j5xUQJeAg==" spinCount="100000" sqref="M38:M53" name="Диапазон1_1_1_1_1_2"/>
    <protectedRange algorithmName="SHA-512" hashValue="20tZejZtY/ZGRcGLZm0ZbWfCu51ejQGMqdRYwv0b9rb/5Q/ejFDHQOXySZDQbnMuPhvZC4Bfbq/BWdBxp9Ls4w==" saltValue="Q+V8rXhHsE4u/j5xUQJeAg==" spinCount="100000" sqref="C38:C53" name="Диапазон1_2_1_2_1_3"/>
    <protectedRange algorithmName="SHA-512" hashValue="20tZejZtY/ZGRcGLZm0ZbWfCu51ejQGMqdRYwv0b9rb/5Q/ejFDHQOXySZDQbnMuPhvZC4Bfbq/BWdBxp9Ls4w==" saltValue="Q+V8rXhHsE4u/j5xUQJeAg==" spinCount="100000" sqref="K38:K53" name="Диапазон1_7_1_1_1_2"/>
    <protectedRange algorithmName="SHA-512" hashValue="20tZejZtY/ZGRcGLZm0ZbWfCu51ejQGMqdRYwv0b9rb/5Q/ejFDHQOXySZDQbnMuPhvZC4Bfbq/BWdBxp9Ls4w==" saltValue="Q+V8rXhHsE4u/j5xUQJeAg==" spinCount="100000" sqref="I38:I53" name="Диапазон1_1_2_1_1_1_2"/>
    <protectedRange algorithmName="SHA-512" hashValue="20tZejZtY/ZGRcGLZm0ZbWfCu51ejQGMqdRYwv0b9rb/5Q/ejFDHQOXySZDQbnMuPhvZC4Bfbq/BWdBxp9Ls4w==" saltValue="Q+V8rXhHsE4u/j5xUQJeAg==" spinCount="100000" sqref="F38:F53 H38:H53" name="Диапазон1_5_2_1_2_1_3"/>
    <protectedRange algorithmName="SHA-512" hashValue="20tZejZtY/ZGRcGLZm0ZbWfCu51ejQGMqdRYwv0b9rb/5Q/ejFDHQOXySZDQbnMuPhvZC4Bfbq/BWdBxp9Ls4w==" saltValue="Q+V8rXhHsE4u/j5xUQJeAg==" spinCount="100000" sqref="G34:G37" name="Диапазон1_1_2_4_2"/>
    <protectedRange algorithmName="SHA-512" hashValue="20tZejZtY/ZGRcGLZm0ZbWfCu51ejQGMqdRYwv0b9rb/5Q/ejFDHQOXySZDQbnMuPhvZC4Bfbq/BWdBxp9Ls4w==" saltValue="Q+V8rXhHsE4u/j5xUQJeAg==" spinCount="100000" sqref="O34:O37 O44 O47" name="Диапазон1_1_3_4_2"/>
    <protectedRange algorithmName="SHA-512" hashValue="20tZejZtY/ZGRcGLZm0ZbWfCu51ejQGMqdRYwv0b9rb/5Q/ejFDHQOXySZDQbnMuPhvZC4Bfbq/BWdBxp9Ls4w==" saltValue="Q+V8rXhHsE4u/j5xUQJeAg==" spinCount="100000" sqref="D34:E37" name="Диапазон1_2_2_3_1_2"/>
    <protectedRange algorithmName="SHA-512" hashValue="20tZejZtY/ZGRcGLZm0ZbWfCu51ejQGMqdRYwv0b9rb/5Q/ejFDHQOXySZDQbnMuPhvZC4Bfbq/BWdBxp9Ls4w==" saltValue="Q+V8rXhHsE4u/j5xUQJeAg==" spinCount="100000" sqref="J34:J37" name="Диапазон1_4_1_3_2"/>
    <protectedRange algorithmName="SHA-512" hashValue="20tZejZtY/ZGRcGLZm0ZbWfCu51ejQGMqdRYwv0b9rb/5Q/ejFDHQOXySZDQbnMuPhvZC4Bfbq/BWdBxp9Ls4w==" saltValue="Q+V8rXhHsE4u/j5xUQJeAg==" spinCount="100000" sqref="B34:B37" name="Диапазон1_9_1_3_2"/>
    <protectedRange algorithmName="SHA-512" hashValue="20tZejZtY/ZGRcGLZm0ZbWfCu51ejQGMqdRYwv0b9rb/5Q/ejFDHQOXySZDQbnMuPhvZC4Bfbq/BWdBxp9Ls4w==" saltValue="Q+V8rXhHsE4u/j5xUQJeAg==" spinCount="100000" sqref="L34:L37 N34:N37" name="Диапазон1_4_5_2"/>
    <protectedRange algorithmName="SHA-512" hashValue="20tZejZtY/ZGRcGLZm0ZbWfCu51ejQGMqdRYwv0b9rb/5Q/ejFDHQOXySZDQbnMuPhvZC4Bfbq/BWdBxp9Ls4w==" saltValue="Q+V8rXhHsE4u/j5xUQJeAg==" spinCount="100000" sqref="M34:M37" name="Диапазон1_1_1_2_1_2"/>
    <protectedRange algorithmName="SHA-512" hashValue="20tZejZtY/ZGRcGLZm0ZbWfCu51ejQGMqdRYwv0b9rb/5Q/ejFDHQOXySZDQbnMuPhvZC4Bfbq/BWdBxp9Ls4w==" saltValue="Q+V8rXhHsE4u/j5xUQJeAg==" spinCount="100000" sqref="C34:C37" name="Диапазон1_2_1_3_1_1"/>
    <protectedRange algorithmName="SHA-512" hashValue="20tZejZtY/ZGRcGLZm0ZbWfCu51ejQGMqdRYwv0b9rb/5Q/ejFDHQOXySZDQbnMuPhvZC4Bfbq/BWdBxp9Ls4w==" saltValue="Q+V8rXhHsE4u/j5xUQJeAg==" spinCount="100000" sqref="K34:K37" name="Диапазон1_7_1_2_1_2"/>
    <protectedRange algorithmName="SHA-512" hashValue="20tZejZtY/ZGRcGLZm0ZbWfCu51ejQGMqdRYwv0b9rb/5Q/ejFDHQOXySZDQbnMuPhvZC4Bfbq/BWdBxp9Ls4w==" saltValue="Q+V8rXhHsE4u/j5xUQJeAg==" spinCount="100000" sqref="I34:I37" name="Диапазон1_1_2_1_2_1_2"/>
    <protectedRange algorithmName="SHA-512" hashValue="20tZejZtY/ZGRcGLZm0ZbWfCu51ejQGMqdRYwv0b9rb/5Q/ejFDHQOXySZDQbnMuPhvZC4Bfbq/BWdBxp9Ls4w==" saltValue="Q+V8rXhHsE4u/j5xUQJeAg==" spinCount="100000" sqref="H34:H37 F34:F37" name="Диапазон1_5_2_1_3_2"/>
    <protectedRange algorithmName="SHA-512" hashValue="20tZejZtY/ZGRcGLZm0ZbWfCu51ejQGMqdRYwv0b9rb/5Q/ejFDHQOXySZDQbnMuPhvZC4Bfbq/BWdBxp9Ls4w==" saltValue="Q+V8rXhHsE4u/j5xUQJeAg==" spinCount="100000" sqref="Q9:Q83 Q104:Q118" name="Диапазон1_12_3"/>
    <protectedRange algorithmName="SHA-512" hashValue="20tZejZtY/ZGRcGLZm0ZbWfCu51ejQGMqdRYwv0b9rb/5Q/ejFDHQOXySZDQbnMuPhvZC4Bfbq/BWdBxp9Ls4w==" saltValue="Q+V8rXhHsE4u/j5xUQJeAg==" spinCount="100000" sqref="G84:G102" name="Диапазон1_1_2_3"/>
    <protectedRange algorithmName="SHA-512" hashValue="20tZejZtY/ZGRcGLZm0ZbWfCu51ejQGMqdRYwv0b9rb/5Q/ejFDHQOXySZDQbnMuPhvZC4Bfbq/BWdBxp9Ls4w==" saltValue="Q+V8rXhHsE4u/j5xUQJeAg==" spinCount="100000" sqref="O84:O102" name="Диапазон1_1_3_1"/>
    <protectedRange algorithmName="SHA-512" hashValue="20tZejZtY/ZGRcGLZm0ZbWfCu51ejQGMqdRYwv0b9rb/5Q/ejFDHQOXySZDQbnMuPhvZC4Bfbq/BWdBxp9Ls4w==" saltValue="Q+V8rXhHsE4u/j5xUQJeAg==" spinCount="100000" sqref="D84:E102" name="Диапазон1_2_2_2"/>
    <protectedRange algorithmName="SHA-512" hashValue="20tZejZtY/ZGRcGLZm0ZbWfCu51ejQGMqdRYwv0b9rb/5Q/ejFDHQOXySZDQbnMuPhvZC4Bfbq/BWdBxp9Ls4w==" saltValue="Q+V8rXhHsE4u/j5xUQJeAg==" spinCount="100000" sqref="J84:J102" name="Диапазон1_4_1_2"/>
    <protectedRange algorithmName="SHA-512" hashValue="20tZejZtY/ZGRcGLZm0ZbWfCu51ejQGMqdRYwv0b9rb/5Q/ejFDHQOXySZDQbnMuPhvZC4Bfbq/BWdBxp9Ls4w==" saltValue="Q+V8rXhHsE4u/j5xUQJeAg==" spinCount="100000" sqref="B84:B102" name="Диапазон1_9_1_2"/>
    <protectedRange algorithmName="SHA-512" hashValue="20tZejZtY/ZGRcGLZm0ZbWfCu51ejQGMqdRYwv0b9rb/5Q/ejFDHQOXySZDQbnMuPhvZC4Bfbq/BWdBxp9Ls4w==" saltValue="Q+V8rXhHsE4u/j5xUQJeAg==" spinCount="100000" sqref="N84:N102 L84:L102" name="Диапазон1_4_3"/>
    <protectedRange algorithmName="SHA-512" hashValue="20tZejZtY/ZGRcGLZm0ZbWfCu51ejQGMqdRYwv0b9rb/5Q/ejFDHQOXySZDQbnMuPhvZC4Bfbq/BWdBxp9Ls4w==" saltValue="Q+V8rXhHsE4u/j5xUQJeAg==" spinCount="100000" sqref="M84:M102" name="Диапазон1_1_1_1"/>
    <protectedRange algorithmName="SHA-512" hashValue="20tZejZtY/ZGRcGLZm0ZbWfCu51ejQGMqdRYwv0b9rb/5Q/ejFDHQOXySZDQbnMuPhvZC4Bfbq/BWdBxp9Ls4w==" saltValue="Q+V8rXhHsE4u/j5xUQJeAg==" spinCount="100000" sqref="K84:K102" name="Диапазон1_7_1_1"/>
    <protectedRange algorithmName="SHA-512" hashValue="20tZejZtY/ZGRcGLZm0ZbWfCu51ejQGMqdRYwv0b9rb/5Q/ejFDHQOXySZDQbnMuPhvZC4Bfbq/BWdBxp9Ls4w==" saltValue="Q+V8rXhHsE4u/j5xUQJeAg==" spinCount="100000" sqref="H84:H102 F84:F102" name="Диапазон1_5_2_1_2"/>
    <protectedRange algorithmName="SHA-512" hashValue="20tZejZtY/ZGRcGLZm0ZbWfCu51ejQGMqdRYwv0b9rb/5Q/ejFDHQOXySZDQbnMuPhvZC4Bfbq/BWdBxp9Ls4w==" saltValue="Q+V8rXhHsE4u/j5xUQJeAg==" spinCount="100000" sqref="Q84:Q102" name="Диапазон1_9_2"/>
  </protectedRanges>
  <autoFilter ref="A8:R8" xr:uid="{BE85CF9D-56C6-49A4-9D20-1C978740FDBB}"/>
  <mergeCells count="2">
    <mergeCell ref="A103:R103"/>
    <mergeCell ref="B104:B118"/>
  </mergeCells>
  <phoneticPr fontId="18" type="noConversion"/>
  <hyperlinks>
    <hyperlink ref="B104" r:id="rId1" display="https://drive.google.com/file/d/1wRJmL9cWiW402cRNpCeANgmmT3hLApR_/view" xr:uid="{F683CE10-EEC3-C04B-8190-82FF7249BB3B}"/>
    <hyperlink ref="B54" r:id="rId2" xr:uid="{4BE4BEBD-5E11-C34C-9A95-11D493DC90AE}"/>
    <hyperlink ref="B55" r:id="rId3" xr:uid="{5DE4F077-4CBF-9541-8397-AF394A799699}"/>
    <hyperlink ref="B56" r:id="rId4" xr:uid="{497171E9-10C5-5D48-9F87-CD96C4B3545B}"/>
    <hyperlink ref="B57" r:id="rId5" xr:uid="{3E2A2B19-9A09-FA4B-BAD2-95D7BB8D95CB}"/>
    <hyperlink ref="B58" r:id="rId6" xr:uid="{B96EEAF7-BADC-F240-BD70-2FB393D08344}"/>
    <hyperlink ref="B59" r:id="rId7" xr:uid="{05D3A848-EDEC-BD4C-AAC3-AF2EEAA1B0AC}"/>
    <hyperlink ref="B65" r:id="rId8" xr:uid="{E761B6A8-ED3F-C54D-BF95-E8998A551D8C}"/>
    <hyperlink ref="B66" r:id="rId9" xr:uid="{F3D07A5E-63AD-D244-850E-715DAA099F5C}"/>
    <hyperlink ref="B67" r:id="rId10" xr:uid="{636F19B3-3DEE-8643-A9E5-2E9F77431BBB}"/>
    <hyperlink ref="B68" r:id="rId11" xr:uid="{A731CADB-615B-2049-B3AC-CE09573F4E09}"/>
    <hyperlink ref="B70" r:id="rId12" xr:uid="{875B38C2-AFF5-884D-9F01-965BA4512775}"/>
    <hyperlink ref="B75" r:id="rId13" xr:uid="{80CD983F-87D9-DD49-BEC4-1F892C63D6BA}"/>
    <hyperlink ref="B76" r:id="rId14" xr:uid="{CD80E9BA-2E56-1748-AD08-234B79853E3F}"/>
    <hyperlink ref="B77" r:id="rId15" xr:uid="{986366C0-099C-9A4D-A07A-7FFD18E427C9}"/>
    <hyperlink ref="B78" r:id="rId16" xr:uid="{6BE27287-289B-4446-A9C6-1F843F988831}"/>
    <hyperlink ref="B79" r:id="rId17" xr:uid="{E526A5EF-880E-424C-8AB8-5155D3861A0B}"/>
    <hyperlink ref="B80" r:id="rId18" xr:uid="{3F8D0122-1DF8-F34B-A7F9-F2CDB58B391B}"/>
    <hyperlink ref="B60" r:id="rId19" xr:uid="{3229CAD6-54FF-4840-88F6-672822F382AE}"/>
    <hyperlink ref="B69" r:id="rId20" xr:uid="{E24066F7-672D-FD47-A70B-73C1DAC57926}"/>
    <hyperlink ref="B61" r:id="rId21" display="https://drive.google.com/file/d/1ecS9P5s7IrcGwxYk13fUxs4YBBPtZYuk/view?usp=sharing" xr:uid="{38C6C280-2BE8-E24F-B87D-8E84660D6E98}"/>
    <hyperlink ref="B62" r:id="rId22" display="https://drive.google.com/file/d/1KDZHTHQwD16KGLuxqxHcFnsp05ITUOJK/view?usp=sharing" xr:uid="{7BEF77B1-328C-D84E-B62D-5CA2A5C1A9F1}"/>
    <hyperlink ref="B63" r:id="rId23" display="https://drive.google.com/file/d/1wkazpC2cwFnMzdXp-6qimQwV8mdiXTd3/view?usp=sharing" xr:uid="{82439FEA-E6C5-5047-BB4D-4D8BFA3DEEEA}"/>
    <hyperlink ref="B64" r:id="rId24" display="https://drive.google.com/file/d/1FLlNBupcjSkQ3SH0f6Vsyvtj23fAG5-K/view?usp=sharing" xr:uid="{588585D9-4E78-064A-83E1-AE8D389811A2}"/>
    <hyperlink ref="B71" r:id="rId25" display="https://drive.google.com/file/d/1nFtI7bu--IhW_c_po6oCbgrFnxYkMZmv/view?usp=sharing" xr:uid="{FCA930EF-F732-4F42-994D-F5F33B912A28}"/>
    <hyperlink ref="B72" r:id="rId26" display="https://drive.google.com/file/d/1O-r0Smtnr9t53zNNlhB--ueeDrc-dpkd/view?usp=sharing" xr:uid="{E029922F-4805-9A42-807F-1FADB2D91D60}"/>
    <hyperlink ref="B73" r:id="rId27" display="https://drive.google.com/file/d/1tMficYIDQ7vL5DZhwcUsHG2MEvucDTLY/view?usp=sharing" xr:uid="{085C9FAC-E8A8-9A49-B9A6-45B7D9454500}"/>
    <hyperlink ref="B74" r:id="rId28" display="https://drive.google.com/file/d/1IWkRcqgbCE42igM244CcGpCXtGcwmSJ8/view?usp=sharing" xr:uid="{D7E3096E-1727-554D-85C6-1CBA4B396708}"/>
    <hyperlink ref="B81" r:id="rId29" display="https://drive.google.com/file/d/11jvvpVYYUhpXZVLmFWh724o0GGCkQdCg/view?usp=sharing" xr:uid="{352AF864-C471-914E-B2D2-8D714AE43AA3}"/>
    <hyperlink ref="B82" r:id="rId30" display="https://drive.google.com/file/d/16DOWyaHfPapR_E09Yq9ZNgz6I5L9uaoR/view?usp=sharing" xr:uid="{324F7A7A-852D-9F49-AAAB-16D62446D69D}"/>
    <hyperlink ref="B83" r:id="rId31" display="https://drive.google.com/file/d/1ApuNaWpH269o67QKkNBFDQtTCM8GtPFB/view?usp=sharing" xr:uid="{F4D7781B-F1A9-7E41-BAED-EC2929C55D7B}"/>
    <hyperlink ref="B26" r:id="rId32" xr:uid="{44CF991D-1B23-664D-B8D5-CEC0A5CAAAE5}"/>
    <hyperlink ref="B27" r:id="rId33" xr:uid="{C513E2C4-D566-1C45-AB37-68AF9ED9B455}"/>
    <hyperlink ref="B28" r:id="rId34" xr:uid="{DA04930F-4DB2-5C41-9928-6021276BB2B1}"/>
    <hyperlink ref="B25" r:id="rId35" xr:uid="{AB272A95-136D-3F4A-8C64-6A078B1E9682}"/>
    <hyperlink ref="B24" r:id="rId36" xr:uid="{1AA170B5-7FA2-5842-B7C5-BF862541B393}"/>
    <hyperlink ref="B23" r:id="rId37" xr:uid="{8FB672FF-A6F7-0042-96FA-B0210EA7DDA4}"/>
    <hyperlink ref="B22" r:id="rId38" xr:uid="{E8F591F7-4BBB-5B4E-B705-61E0E232DD39}"/>
    <hyperlink ref="B20" r:id="rId39" xr:uid="{6951C260-4633-9B4B-8C75-410E9768C92E}"/>
    <hyperlink ref="B21" r:id="rId40" xr:uid="{17ABC2D9-4B96-3543-B979-C2DC5E147CFF}"/>
    <hyperlink ref="B19" r:id="rId41" xr:uid="{CB5CC465-8CD4-9C45-A1F1-16C5CC97B3CE}"/>
    <hyperlink ref="B9" r:id="rId42" xr:uid="{F5F4CEF6-E4C6-994D-9E0A-87B2B0711254}"/>
    <hyperlink ref="B10" r:id="rId43" xr:uid="{FBDBE8BE-0A65-064A-8BC2-8B087B887F85}"/>
    <hyperlink ref="B11" r:id="rId44" xr:uid="{95D0E70D-1AEF-4844-841F-05DE0AFE2148}"/>
    <hyperlink ref="B12" r:id="rId45" xr:uid="{6F95638D-716E-7E4B-B6A3-4C3A79DFD90E}"/>
    <hyperlink ref="B13" r:id="rId46" xr:uid="{8AE359A2-37DD-8648-8ADA-EF7E663ABA22}"/>
    <hyperlink ref="B14" r:id="rId47" xr:uid="{5C72ACE3-745E-BA43-BA29-E4124315490D}"/>
    <hyperlink ref="B15" r:id="rId48" xr:uid="{5896D6D3-6352-894F-A3D8-E7EAE75FA809}"/>
    <hyperlink ref="B16" r:id="rId49" xr:uid="{D38C5510-0F4C-514E-AEB1-3DB232835739}"/>
    <hyperlink ref="B17" r:id="rId50" xr:uid="{F2A91915-50CD-8440-B3A7-9366CDCC98AA}"/>
    <hyperlink ref="B18" r:id="rId51" xr:uid="{58EA6924-BD85-A34C-9A29-BFE2FEBBC404}"/>
    <hyperlink ref="B29" r:id="rId52" xr:uid="{834FA420-160E-6448-9237-821D6A73DE1F}"/>
    <hyperlink ref="B30" r:id="rId53" xr:uid="{693E9958-C448-8043-A264-67CFDFA0A139}"/>
    <hyperlink ref="B31" r:id="rId54" xr:uid="{D1CE442B-5DA8-E349-AEC6-D6A933870D92}"/>
    <hyperlink ref="B32" r:id="rId55" xr:uid="{1A3BD936-F89B-CA43-929E-77B87FEA47D9}"/>
    <hyperlink ref="B33" r:id="rId56" xr:uid="{4A5A9E2A-19EF-BE4D-BABE-0E5E62F78186}"/>
    <hyperlink ref="B38" r:id="rId57" display="https://drive.google.com/file/d/1QK6RRFau8-H35b8X0bbGxiiRW5p5iP5P/view?usp=sharing" xr:uid="{8A6BFCD6-E671-6248-AEA4-C928489FBE80}"/>
    <hyperlink ref="B39" r:id="rId58" display="https://drive.google.com/file/d/1jZDDmLzT0u8iDed_s6yYK-QShJY6lIp_/view?usp=share_link" xr:uid="{135E0205-E574-374E-BC7E-0E044150CD7C}"/>
    <hyperlink ref="B40" r:id="rId59" display="https://drive.google.com/file/d/1DvN_SVpwMOggne3oO_F6Ebyh8nqn_v0_/view?usp=sharing" xr:uid="{00BA1B51-2157-8149-BA81-FA84D81BF700}"/>
    <hyperlink ref="B41" r:id="rId60" display="https://drive.google.com/file/d/1i2c6rTQzx6XNPd7yJ7N03cS_0hbr7YXh/view?usp=share_link" xr:uid="{B2827683-7615-3F45-B942-0F0E17D15FB2}"/>
    <hyperlink ref="B42" r:id="rId61" display="https://drive.google.com/file/d/1AoncQWdIihQbhdEUTdP5QF4aXor3r_VB/view?usp=sharing" xr:uid="{E7B8F366-683C-2441-98CE-6077A8C2EAA6}"/>
    <hyperlink ref="B34" r:id="rId62" display="https://drive.google.com/file/d/10zVtVzsk61gjpOxyK345lp3-z8CekXyW/view?usp=sharing" xr:uid="{A54DC8C9-7F8C-2648-B2B0-104EB562CC38}"/>
    <hyperlink ref="B37" r:id="rId63" display="https://drive.google.com/file/d/1ycLf-P3BZxjI57BB7pnH2-fsM-2HKShU/view?usp=share_link" xr:uid="{8CC312A5-3EB1-3B48-86FE-8E2B79FDD6EE}"/>
    <hyperlink ref="B35" r:id="rId64" display="https://drive.google.com/file/d/1advJYQYPx79MoLsP7ZXZOr_8FwW2qfuw/view?usp=share_link" xr:uid="{A5B73128-52BE-E147-A165-F4DEB9FEF337}"/>
    <hyperlink ref="B36" r:id="rId65" display="https://drive.google.com/file/d/1sMUwcHTAEnvSjLPbkB075Zv5Qcfz29RI/view?usp=share_link" xr:uid="{9D5D71CA-B5EB-7840-A0A2-C331F2317312}"/>
    <hyperlink ref="B43" r:id="rId66" display="https://drive.google.com/file/d/1cXCBfiE8xkXo0CeD9nB9QBaW72k3wQ89/view?usp=share_link" xr:uid="{EB2F42DB-2C0E-144E-89C4-BE4430923852}"/>
    <hyperlink ref="B44" r:id="rId67" display="https://drive.google.com/file/d/1JtiS-oz5ZyEh7YPH2-iIQCpYel9TB8pk/view?usp=sharing" xr:uid="{6AE87932-1CE8-3D4A-A45C-657BDEFD7E5E}"/>
    <hyperlink ref="B45" r:id="rId68" display="https://drive.google.com/file/d/1JD443DtIWKJ0jVBmRbasSd4P9YC8QzkJ/view?usp=drive_link" xr:uid="{20FA840A-C8E2-1443-9E9D-8B1700663AB7}"/>
    <hyperlink ref="B46" r:id="rId69" display="https://drive.google.com/file/d/19jPyU9cz0xE3cXhxQQKAOwglNGh7SlD4/view?usp=sharing" xr:uid="{4D8FC4F8-B68B-B84D-9F25-FF772C053E78}"/>
    <hyperlink ref="B47" r:id="rId70" display="https://drive.google.com/file/d/1z0KEVQUH3d_Q-_iugTGiL1y5XQX3oxfj/view?usp=drive_link" xr:uid="{A73EE033-88C2-AF43-AB43-48FFD2F43689}"/>
    <hyperlink ref="B48" r:id="rId71" display="https://drive.google.com/file/d/1K7nBqedkGDKdjW0-23YyArx3A18yE4ki/view?usp=share_link" xr:uid="{3421EFB9-3511-4243-B3A2-76A8F422F979}"/>
    <hyperlink ref="B49" r:id="rId72" display="https://drive.google.com/file/d/1KTcnGAELIse7ph8-CMAXR2Y-AaJK0RPP/view?usp=share_link" xr:uid="{75110D9D-3204-3D49-9696-40649C63C961}"/>
    <hyperlink ref="B50" r:id="rId73" display="https://drive.google.com/file/d/1XQMaKcaMiZagTd5meIVZtiw-yEiuXdRE/view?usp=share_link" xr:uid="{C6F5DF04-110C-CA46-90AD-B4BA34334F26}"/>
    <hyperlink ref="B51" r:id="rId74" display="https://drive.google.com/file/d/1381oWSjUlpUmp6ysOYzeRDhLo5SwV65I/view?usp=share_link" xr:uid="{9915D65F-833D-8246-AD14-5A8BEF90FBD3}"/>
    <hyperlink ref="B52" r:id="rId75" display="https://drive.google.com/file/d/1OLRyllGtnnZrks55o_oejQtn9bH-jSMC/view?usp=share_link" xr:uid="{0897EF49-D884-5246-BFDA-7F32268C9D40}"/>
    <hyperlink ref="B53" r:id="rId76" display="https://drive.google.com/file/d/11OB1vUpi60hcb25AdcPng8wMXG24LF-C/view?usp=share_link" xr:uid="{45995B62-15B4-6E45-8EA2-1D9E9FA4CB17}"/>
    <hyperlink ref="B84" r:id="rId77" display="https://drive.google.com/file/d/1H5FJc-JJq73SFyfUDdXNELZf0UpKye9s/view?usp=sharing" xr:uid="{C96C1599-D686-2C4B-8786-673C0626F995}"/>
    <hyperlink ref="B85" r:id="rId78" display="https://drive.google.com/file/d/15soeD0ceGdEeI6f3mywePuSuHUsbnuI2/view?usp=sharing" xr:uid="{45D19C50-F90A-5543-B932-32C30D63768B}"/>
    <hyperlink ref="B86" r:id="rId79" display="https://drive.google.com/file/d/1KqmjnS2m0Bk-nJGflTRRAchGM_q0JThC/view?usp=sharing" xr:uid="{A9837035-BC46-4342-9398-A3B33CD3F91A}"/>
    <hyperlink ref="B87" r:id="rId80" display="https://drive.google.com/file/d/18Pz95CwQFPcePbnoUt8o6417avP4Sskz/view?usp=sharing" xr:uid="{34D939E6-A74D-6A48-8F97-0F3F3A323CDB}"/>
    <hyperlink ref="B88" r:id="rId81" display="https://drive.google.com/file/d/1vSNbVr9bpDvhK7hn6GJJT3YvQOUfTkUe/view?usp=sharing" xr:uid="{23EA6E2C-E635-1241-9BFD-F0CCC11FAFB6}"/>
    <hyperlink ref="B89" r:id="rId82" display="https://drive.google.com/file/d/1wKUfdzNyB1S4z4D82hBTXQqZntYOV-PJ/view?usp=sharing" xr:uid="{8A769EF3-20AC-3E45-93A4-6B3B994B07D1}"/>
    <hyperlink ref="B90" r:id="rId83" display="https://drive.google.com/file/d/1geJ4mx2oWztg9t9EsAP2EuSbI4lGOeuJ/view?usp=sharing" xr:uid="{5968C351-581C-B04D-A6EB-245E3687C5B4}"/>
    <hyperlink ref="B91" r:id="rId84" display="https://drive.google.com/file/d/1n6hs8FxT8l1Aubr9sjWtUNZ3jqT4ivJk/view?usp=sharing" xr:uid="{F29CE781-8012-8540-A4DE-E07FC1C97E1B}"/>
    <hyperlink ref="B94" r:id="rId85" display="https://drive.google.com/file/d/1YSk_GvU6-OZEd87kx63F09Zp4hAXNjcb/view?usp=sharing" xr:uid="{88061D4A-BDCC-7B4E-A80B-421E125DF753}"/>
    <hyperlink ref="B95" r:id="rId86" display="https://drive.google.com/file/d/1ONXVeaA2AvHXV3Xy_Qp1_DnD00LCuHMa/view?usp=sharing" xr:uid="{929BF149-A18E-2C49-A248-6CAC8686403A}"/>
    <hyperlink ref="B96" r:id="rId87" display="https://drive.google.com/file/d/1C-iDA9s4-rpvo6wqGoKpEe_M02FMJFle/view?usp=sharing" xr:uid="{29CE8EC0-E9DB-DB4B-80F1-D45ADC30B94B}"/>
    <hyperlink ref="B97" r:id="rId88" display="https://drive.google.com/file/d/1Ix2D3ZraAvY9TY6kxCjzkZzDsBV3UJCi/view?usp=sharing" xr:uid="{C1AA41ED-2103-EF47-A091-8F29C917856F}"/>
    <hyperlink ref="B98" r:id="rId89" display="https://drive.google.com/file/d/1vMTm7KCKRC1kRx6Pe9J_15irWa8XE1ko/view?usp=sharing" xr:uid="{C0C0FEF1-8899-7D40-AC1A-B494853B397E}"/>
    <hyperlink ref="B92" r:id="rId90" display="https://drive.google.com/file/d/18soJTAounJxeZtjNYBtLoC_UvzAtEt0L/view?usp=sharing" xr:uid="{D0D88001-D0DD-1848-A5DC-3F1A5E434E61}"/>
    <hyperlink ref="B93" r:id="rId91" display="https://drive.google.com/file/d/1Blkbtw2uYfjndUbRgFkAgqKnikel2z40/view?usp=sharing" xr:uid="{D8BB8FA4-E61B-3340-9A41-2D04F21524ED}"/>
    <hyperlink ref="B99" r:id="rId92" display="https://drive.google.com/file/d/1_eovO5A2s6D6wzSTOcxFmtSBnybbKG6G/view?usp=sharing" xr:uid="{869F2D00-3ABF-3742-B382-E46CF86C2C65}"/>
    <hyperlink ref="B100" r:id="rId93" display="https://drive.google.com/file/d/1Op8OmCxt0XlAMLRGGpST2gaNFR7gV4sL/view?usp=sharing" xr:uid="{DB5AA1E5-981C-944F-8288-E56684A95425}"/>
    <hyperlink ref="B101" r:id="rId94" display="https://drive.google.com/file/d/1a1M3KK9fFbtFRJ2tHmbSAqUxCqecRRxD/view?usp=sharing" xr:uid="{BA1405B4-5A86-AA44-9B01-9025E3FEB453}"/>
    <hyperlink ref="B102" r:id="rId95" display="https://drive.google.com/file/d/18s4BVhiBB1v3BorQC1Ul7L1LI5A7UMmH/view?usp=sharing" xr:uid="{EC537C7D-3E9C-9742-92A1-A79CC64419FD}"/>
  </hyperlinks>
  <pageMargins left="0.7" right="0.7" top="0.75" bottom="0.75" header="0.3" footer="0.3"/>
  <pageSetup paperSize="9" orientation="portrait" verticalDpi="1200" r:id="rId96"/>
  <ignoredErrors>
    <ignoredError sqref="R122 R119" unlockedFormula="1"/>
  </ignoredErrors>
  <drawing r:id="rId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EE89-C85D-FE46-9F32-B861D1FFACCB}">
  <dimension ref="B2:U17"/>
  <sheetViews>
    <sheetView tabSelected="1" zoomScale="93" zoomScaleNormal="70" workbookViewId="0">
      <selection activeCell="N18" sqref="N18"/>
    </sheetView>
  </sheetViews>
  <sheetFormatPr baseColWidth="10" defaultColWidth="9" defaultRowHeight="15"/>
  <cols>
    <col min="1" max="1" width="4.83203125" style="60" customWidth="1"/>
    <col min="2" max="2" width="22.33203125" style="60" customWidth="1"/>
    <col min="3" max="12" width="17.5" style="60" customWidth="1"/>
    <col min="13" max="13" width="18.5" style="60" bestFit="1" customWidth="1"/>
    <col min="14" max="14" width="17.5" style="60" customWidth="1"/>
    <col min="15" max="17" width="9" style="60"/>
    <col min="18" max="18" width="19.33203125" style="60" bestFit="1" customWidth="1"/>
    <col min="19" max="16384" width="9" style="60"/>
  </cols>
  <sheetData>
    <row r="2" spans="2:21">
      <c r="B2" s="59" t="s">
        <v>177</v>
      </c>
      <c r="C2" s="67" t="s">
        <v>274</v>
      </c>
    </row>
    <row r="3" spans="2:21">
      <c r="B3" s="59" t="s">
        <v>261</v>
      </c>
      <c r="C3" s="68" t="s">
        <v>275</v>
      </c>
    </row>
    <row r="5" spans="2:21">
      <c r="E5" s="61"/>
      <c r="G5" s="163"/>
      <c r="H5" s="163"/>
      <c r="I5" s="163"/>
    </row>
    <row r="6" spans="2:21" s="62" customFormat="1" ht="22" customHeight="1">
      <c r="B6" s="70"/>
      <c r="C6" s="86" t="s">
        <v>262</v>
      </c>
      <c r="D6" s="86" t="s">
        <v>263</v>
      </c>
      <c r="E6" s="86" t="s">
        <v>264</v>
      </c>
      <c r="F6" s="86" t="s">
        <v>265</v>
      </c>
      <c r="G6" s="86" t="s">
        <v>266</v>
      </c>
      <c r="H6" s="86" t="s">
        <v>267</v>
      </c>
      <c r="I6" s="86" t="s">
        <v>268</v>
      </c>
      <c r="J6" s="86" t="s">
        <v>269</v>
      </c>
      <c r="K6" s="86" t="s">
        <v>270</v>
      </c>
      <c r="L6" s="86" t="s">
        <v>271</v>
      </c>
      <c r="M6" s="86" t="s">
        <v>272</v>
      </c>
      <c r="N6" s="86" t="s">
        <v>273</v>
      </c>
      <c r="O6" s="69"/>
    </row>
    <row r="7" spans="2:21" s="63" customFormat="1" ht="22" customHeight="1">
      <c r="B7" s="81" t="s">
        <v>276</v>
      </c>
      <c r="C7" s="82"/>
      <c r="D7" s="83"/>
      <c r="E7" s="83"/>
      <c r="F7" s="83"/>
      <c r="G7" s="84"/>
      <c r="H7" s="132">
        <v>46</v>
      </c>
      <c r="I7" s="83"/>
      <c r="J7" s="84"/>
      <c r="K7" s="132">
        <v>45</v>
      </c>
      <c r="L7" s="85"/>
      <c r="M7" s="83"/>
      <c r="N7" s="83"/>
      <c r="O7" s="70"/>
    </row>
    <row r="8" spans="2:21" s="63" customFormat="1" ht="22" customHeight="1">
      <c r="B8" s="81" t="s">
        <v>277</v>
      </c>
      <c r="C8" s="82"/>
      <c r="D8" s="85"/>
      <c r="E8" s="85"/>
      <c r="F8" s="85"/>
      <c r="G8" s="84"/>
      <c r="H8" s="132">
        <v>49</v>
      </c>
      <c r="I8" s="85"/>
      <c r="J8" s="84"/>
      <c r="K8" s="132">
        <v>49</v>
      </c>
      <c r="L8" s="85"/>
      <c r="M8" s="85"/>
      <c r="N8" s="85"/>
      <c r="O8" s="70"/>
    </row>
    <row r="9" spans="2:21" s="63" customFormat="1" ht="22" customHeight="1">
      <c r="B9" s="81" t="s">
        <v>193</v>
      </c>
      <c r="C9" s="82"/>
      <c r="D9" s="85"/>
      <c r="E9" s="85"/>
      <c r="F9" s="85"/>
      <c r="G9" s="84"/>
      <c r="H9" s="146">
        <v>12</v>
      </c>
      <c r="I9" s="146">
        <v>12</v>
      </c>
      <c r="J9" s="146">
        <v>12</v>
      </c>
      <c r="K9" s="146">
        <v>12</v>
      </c>
      <c r="L9" s="84"/>
      <c r="M9" s="84"/>
      <c r="N9" s="84"/>
      <c r="O9" s="70"/>
    </row>
    <row r="10" spans="2:21" s="63" customFormat="1" ht="22" customHeight="1">
      <c r="B10" s="81" t="s">
        <v>233</v>
      </c>
      <c r="C10" s="82"/>
      <c r="D10" s="85"/>
      <c r="E10" s="85"/>
      <c r="F10" s="85"/>
      <c r="G10" s="84"/>
      <c r="H10" s="132">
        <v>15</v>
      </c>
      <c r="I10" s="85"/>
      <c r="J10" s="84"/>
      <c r="K10" s="132">
        <v>15</v>
      </c>
      <c r="L10" s="85"/>
      <c r="M10" s="85"/>
      <c r="N10" s="85"/>
      <c r="O10" s="70"/>
    </row>
    <row r="11" spans="2:21" s="64" customFormat="1" ht="20" customHeight="1">
      <c r="B11" s="70"/>
      <c r="C11" s="71"/>
      <c r="D11" s="70"/>
      <c r="E11" s="70"/>
      <c r="F11" s="71"/>
      <c r="G11" s="72"/>
      <c r="H11" s="165">
        <v>679262500</v>
      </c>
      <c r="I11" s="165">
        <v>27000000</v>
      </c>
      <c r="J11" s="165">
        <v>27000000</v>
      </c>
      <c r="K11" s="165">
        <v>639379500</v>
      </c>
      <c r="L11" s="70"/>
      <c r="M11" s="71"/>
      <c r="N11" s="71"/>
      <c r="O11" s="73"/>
    </row>
    <row r="12" spans="2:21" s="62" customFormat="1" ht="20" customHeight="1">
      <c r="B12" s="69"/>
      <c r="C12" s="69"/>
      <c r="D12" s="74"/>
      <c r="E12" s="69"/>
      <c r="F12" s="69"/>
      <c r="G12" s="69"/>
      <c r="H12" s="69"/>
      <c r="I12" s="69"/>
      <c r="J12" s="69"/>
      <c r="K12" s="69"/>
      <c r="L12" s="71"/>
      <c r="M12" s="75"/>
      <c r="N12" s="76"/>
      <c r="O12" s="69"/>
    </row>
    <row r="13" spans="2:21" s="63" customFormat="1" ht="20" customHeight="1" thickBot="1">
      <c r="B13" s="70"/>
      <c r="C13" s="70"/>
      <c r="D13" s="70"/>
      <c r="E13" s="70"/>
      <c r="F13" s="70"/>
      <c r="G13" s="71"/>
      <c r="H13" s="71"/>
      <c r="I13" s="70"/>
      <c r="K13" s="134"/>
      <c r="L13" s="70"/>
      <c r="M13" s="70"/>
      <c r="N13" s="70"/>
      <c r="O13" s="80"/>
      <c r="P13" s="65"/>
      <c r="Q13" s="66"/>
    </row>
    <row r="14" spans="2:21" s="63" customFormat="1" ht="20" customHeight="1">
      <c r="B14" s="70"/>
      <c r="C14" s="70"/>
      <c r="D14" s="70"/>
      <c r="E14" s="71"/>
      <c r="F14" s="71"/>
      <c r="G14" s="71"/>
      <c r="H14" s="71"/>
      <c r="I14" s="71"/>
      <c r="K14" s="70"/>
      <c r="L14" s="70"/>
      <c r="M14" s="14" t="s">
        <v>170</v>
      </c>
      <c r="N14" s="48">
        <f>'Flint сентябрь'!R122+'Flint июнь'!S124</f>
        <v>1339825625</v>
      </c>
      <c r="O14" s="77"/>
      <c r="P14" s="66"/>
    </row>
    <row r="15" spans="2:21" s="63" customFormat="1" ht="20" customHeight="1">
      <c r="B15" s="70"/>
      <c r="C15" s="70"/>
      <c r="D15" s="70"/>
      <c r="E15" s="71"/>
      <c r="F15" s="71"/>
      <c r="G15" s="71"/>
      <c r="H15" s="71"/>
      <c r="I15" s="71"/>
      <c r="J15" s="71"/>
      <c r="K15" s="70"/>
      <c r="L15" s="70"/>
      <c r="M15" s="16" t="s">
        <v>351</v>
      </c>
      <c r="N15" s="49">
        <f>N14*2%</f>
        <v>26796512.5</v>
      </c>
      <c r="O15" s="77"/>
      <c r="P15" s="66"/>
      <c r="R15" s="164"/>
      <c r="S15" s="164"/>
      <c r="T15" s="164"/>
      <c r="U15" s="164"/>
    </row>
    <row r="16" spans="2:21" ht="17" thickBot="1">
      <c r="M16" s="18" t="s">
        <v>171</v>
      </c>
      <c r="N16" s="50">
        <f>(N14+N15)*1.12</f>
        <v>1530616794.0000002</v>
      </c>
    </row>
    <row r="17" spans="10:10">
      <c r="J17" s="152"/>
    </row>
  </sheetData>
  <mergeCells count="2">
    <mergeCell ref="G5:I5"/>
    <mergeCell ref="R15:U15"/>
  </mergeCells>
  <pageMargins left="0.7" right="0.7" top="0.75" bottom="0.75" header="0.3" footer="0.3"/>
  <ignoredErrors>
    <ignoredError sqref="N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zoomScale="80" zoomScaleNormal="80" workbookViewId="0">
      <selection activeCell="A2" sqref="A2:C154"/>
    </sheetView>
  </sheetViews>
  <sheetFormatPr baseColWidth="10" defaultColWidth="8.83203125" defaultRowHeight="15"/>
  <cols>
    <col min="1" max="1" width="11.5" customWidth="1"/>
    <col min="2" max="2" width="33.5" customWidth="1"/>
    <col min="3" max="3" width="16.5" bestFit="1" customWidth="1"/>
  </cols>
  <sheetData>
    <row r="1" spans="1:3">
      <c r="A1" s="1" t="s">
        <v>11</v>
      </c>
      <c r="B1" s="1" t="s">
        <v>0</v>
      </c>
      <c r="C1" s="1" t="s">
        <v>12</v>
      </c>
    </row>
    <row r="2" spans="1:3">
      <c r="A2" s="2" t="s">
        <v>1</v>
      </c>
      <c r="B2" s="2" t="s">
        <v>10</v>
      </c>
      <c r="C2" s="2" t="s">
        <v>9</v>
      </c>
    </row>
    <row r="3" spans="1:3">
      <c r="A3" s="2" t="s">
        <v>1</v>
      </c>
      <c r="B3" s="2" t="s">
        <v>13</v>
      </c>
      <c r="C3" s="2" t="s">
        <v>9</v>
      </c>
    </row>
    <row r="4" spans="1:3">
      <c r="A4" s="2" t="s">
        <v>1</v>
      </c>
      <c r="B4" s="2" t="s">
        <v>14</v>
      </c>
      <c r="C4" s="2" t="s">
        <v>9</v>
      </c>
    </row>
    <row r="5" spans="1:3">
      <c r="A5" s="2" t="s">
        <v>1</v>
      </c>
      <c r="B5" s="2" t="s">
        <v>15</v>
      </c>
      <c r="C5" s="2" t="s">
        <v>9</v>
      </c>
    </row>
    <row r="6" spans="1:3">
      <c r="A6" s="2" t="s">
        <v>1</v>
      </c>
      <c r="B6" s="2" t="s">
        <v>17</v>
      </c>
      <c r="C6" s="2" t="s">
        <v>9</v>
      </c>
    </row>
    <row r="7" spans="1:3">
      <c r="A7" s="2" t="s">
        <v>1</v>
      </c>
      <c r="B7" s="2" t="s">
        <v>18</v>
      </c>
      <c r="C7" s="2" t="s">
        <v>9</v>
      </c>
    </row>
    <row r="8" spans="1:3">
      <c r="A8" s="2" t="s">
        <v>1</v>
      </c>
      <c r="B8" s="2" t="s">
        <v>19</v>
      </c>
      <c r="C8" s="2" t="s">
        <v>9</v>
      </c>
    </row>
    <row r="9" spans="1:3">
      <c r="A9" s="2" t="s">
        <v>1</v>
      </c>
      <c r="B9" s="2" t="s">
        <v>20</v>
      </c>
      <c r="C9" s="2" t="s">
        <v>9</v>
      </c>
    </row>
    <row r="10" spans="1:3">
      <c r="A10" s="2" t="s">
        <v>1</v>
      </c>
      <c r="B10" s="2" t="s">
        <v>21</v>
      </c>
      <c r="C10" s="2" t="s">
        <v>9</v>
      </c>
    </row>
    <row r="11" spans="1:3">
      <c r="A11" s="2" t="s">
        <v>1</v>
      </c>
      <c r="B11" s="2" t="s">
        <v>22</v>
      </c>
      <c r="C11" s="2" t="s">
        <v>9</v>
      </c>
    </row>
    <row r="12" spans="1:3">
      <c r="A12" s="2" t="s">
        <v>1</v>
      </c>
      <c r="B12" s="2" t="s">
        <v>23</v>
      </c>
      <c r="C12" s="2" t="s">
        <v>9</v>
      </c>
    </row>
    <row r="13" spans="1:3">
      <c r="A13" s="2" t="s">
        <v>1</v>
      </c>
      <c r="B13" s="2" t="s">
        <v>24</v>
      </c>
      <c r="C13" s="2" t="s">
        <v>9</v>
      </c>
    </row>
    <row r="14" spans="1:3">
      <c r="A14" s="2" t="s">
        <v>1</v>
      </c>
      <c r="B14" s="2" t="s">
        <v>25</v>
      </c>
      <c r="C14" s="2" t="s">
        <v>9</v>
      </c>
    </row>
    <row r="15" spans="1:3">
      <c r="A15" s="2" t="s">
        <v>1</v>
      </c>
      <c r="B15" s="2" t="s">
        <v>26</v>
      </c>
      <c r="C15" s="2" t="s">
        <v>9</v>
      </c>
    </row>
    <row r="16" spans="1:3">
      <c r="A16" s="2" t="s">
        <v>1</v>
      </c>
      <c r="B16" s="2" t="s">
        <v>27</v>
      </c>
      <c r="C16" s="2" t="s">
        <v>9</v>
      </c>
    </row>
    <row r="17" spans="1:3">
      <c r="A17" s="2" t="s">
        <v>1</v>
      </c>
      <c r="B17" s="2" t="s">
        <v>28</v>
      </c>
      <c r="C17" s="2" t="s">
        <v>9</v>
      </c>
    </row>
    <row r="18" spans="1:3">
      <c r="A18" s="2" t="s">
        <v>1</v>
      </c>
      <c r="B18" s="2" t="s">
        <v>29</v>
      </c>
      <c r="C18" s="2" t="s">
        <v>9</v>
      </c>
    </row>
    <row r="19" spans="1:3">
      <c r="A19" s="2" t="s">
        <v>1</v>
      </c>
      <c r="B19" s="2" t="s">
        <v>30</v>
      </c>
      <c r="C19" s="2" t="s">
        <v>9</v>
      </c>
    </row>
    <row r="20" spans="1:3">
      <c r="A20" s="2" t="s">
        <v>1</v>
      </c>
      <c r="B20" s="2" t="s">
        <v>31</v>
      </c>
      <c r="C20" s="2" t="s">
        <v>9</v>
      </c>
    </row>
    <row r="21" spans="1:3">
      <c r="A21" s="2" t="s">
        <v>1</v>
      </c>
      <c r="B21" s="2" t="s">
        <v>32</v>
      </c>
      <c r="C21" s="2" t="s">
        <v>9</v>
      </c>
    </row>
    <row r="22" spans="1:3">
      <c r="A22" s="2" t="s">
        <v>1</v>
      </c>
      <c r="B22" s="2" t="s">
        <v>69</v>
      </c>
      <c r="C22" s="2" t="s">
        <v>94</v>
      </c>
    </row>
    <row r="23" spans="1:3">
      <c r="A23" s="2" t="s">
        <v>1</v>
      </c>
      <c r="B23" s="2" t="s">
        <v>95</v>
      </c>
      <c r="C23" s="2" t="s">
        <v>94</v>
      </c>
    </row>
    <row r="24" spans="1:3">
      <c r="A24" s="2" t="s">
        <v>1</v>
      </c>
      <c r="B24" s="2" t="s">
        <v>151</v>
      </c>
      <c r="C24" s="2" t="s">
        <v>94</v>
      </c>
    </row>
    <row r="25" spans="1:3">
      <c r="A25" s="2" t="s">
        <v>1</v>
      </c>
      <c r="B25" s="2" t="s">
        <v>96</v>
      </c>
      <c r="C25" s="2" t="s">
        <v>94</v>
      </c>
    </row>
    <row r="26" spans="1:3">
      <c r="A26" s="2" t="s">
        <v>1</v>
      </c>
      <c r="B26" s="2" t="s">
        <v>98</v>
      </c>
      <c r="C26" s="2" t="s">
        <v>94</v>
      </c>
    </row>
    <row r="27" spans="1:3">
      <c r="A27" s="2" t="s">
        <v>1</v>
      </c>
      <c r="B27" s="2" t="s">
        <v>99</v>
      </c>
      <c r="C27" s="2" t="s">
        <v>94</v>
      </c>
    </row>
    <row r="28" spans="1:3">
      <c r="A28" s="2" t="s">
        <v>1</v>
      </c>
      <c r="B28" s="2" t="s">
        <v>100</v>
      </c>
      <c r="C28" s="2" t="s">
        <v>94</v>
      </c>
    </row>
    <row r="29" spans="1:3">
      <c r="A29" s="2" t="s">
        <v>1</v>
      </c>
      <c r="B29" s="2" t="s">
        <v>101</v>
      </c>
      <c r="C29" s="2" t="s">
        <v>94</v>
      </c>
    </row>
    <row r="30" spans="1:3">
      <c r="A30" s="2" t="s">
        <v>1</v>
      </c>
      <c r="B30" s="2" t="s">
        <v>102</v>
      </c>
      <c r="C30" s="2" t="s">
        <v>94</v>
      </c>
    </row>
    <row r="31" spans="1:3">
      <c r="A31" s="2" t="s">
        <v>1</v>
      </c>
      <c r="B31" s="2" t="s">
        <v>103</v>
      </c>
      <c r="C31" s="2" t="s">
        <v>94</v>
      </c>
    </row>
    <row r="32" spans="1:3">
      <c r="A32" s="2" t="s">
        <v>1</v>
      </c>
      <c r="B32" s="2" t="s">
        <v>149</v>
      </c>
      <c r="C32" s="2" t="s">
        <v>94</v>
      </c>
    </row>
    <row r="33" spans="1:3">
      <c r="A33" s="2" t="s">
        <v>1</v>
      </c>
      <c r="B33" s="2" t="s">
        <v>104</v>
      </c>
      <c r="C33" s="2" t="s">
        <v>94</v>
      </c>
    </row>
    <row r="34" spans="1:3">
      <c r="A34" s="2" t="s">
        <v>1</v>
      </c>
      <c r="B34" s="2" t="s">
        <v>105</v>
      </c>
      <c r="C34" s="2" t="s">
        <v>94</v>
      </c>
    </row>
    <row r="35" spans="1:3">
      <c r="A35" s="2" t="s">
        <v>1</v>
      </c>
      <c r="B35" s="2" t="s">
        <v>144</v>
      </c>
      <c r="C35" s="2" t="s">
        <v>94</v>
      </c>
    </row>
    <row r="36" spans="1:3">
      <c r="A36" s="2" t="s">
        <v>1</v>
      </c>
      <c r="B36" s="2" t="s">
        <v>106</v>
      </c>
      <c r="C36" s="2" t="s">
        <v>94</v>
      </c>
    </row>
    <row r="37" spans="1:3">
      <c r="A37" s="2" t="s">
        <v>1</v>
      </c>
      <c r="B37" s="2" t="s">
        <v>150</v>
      </c>
      <c r="C37" s="2" t="s">
        <v>94</v>
      </c>
    </row>
    <row r="38" spans="1:3">
      <c r="A38" s="2" t="s">
        <v>1</v>
      </c>
      <c r="B38" s="2" t="s">
        <v>108</v>
      </c>
      <c r="C38" s="2" t="s">
        <v>94</v>
      </c>
    </row>
    <row r="39" spans="1:3">
      <c r="A39" s="2" t="s">
        <v>1</v>
      </c>
      <c r="B39" s="2" t="s">
        <v>109</v>
      </c>
      <c r="C39" s="2" t="s">
        <v>94</v>
      </c>
    </row>
    <row r="40" spans="1:3">
      <c r="A40" s="2" t="s">
        <v>1</v>
      </c>
      <c r="B40" s="2" t="s">
        <v>83</v>
      </c>
      <c r="C40" s="2" t="s">
        <v>82</v>
      </c>
    </row>
    <row r="41" spans="1:3">
      <c r="A41" s="2" t="s">
        <v>1</v>
      </c>
      <c r="B41" s="2" t="s">
        <v>84</v>
      </c>
      <c r="C41" s="2" t="s">
        <v>82</v>
      </c>
    </row>
    <row r="42" spans="1:3">
      <c r="A42" s="2" t="s">
        <v>1</v>
      </c>
      <c r="B42" s="2" t="s">
        <v>85</v>
      </c>
      <c r="C42" s="2" t="s">
        <v>82</v>
      </c>
    </row>
    <row r="43" spans="1:3">
      <c r="A43" s="2" t="s">
        <v>1</v>
      </c>
      <c r="B43" s="2" t="s">
        <v>86</v>
      </c>
      <c r="C43" s="2" t="s">
        <v>82</v>
      </c>
    </row>
    <row r="44" spans="1:3">
      <c r="A44" s="2" t="s">
        <v>1</v>
      </c>
      <c r="B44" s="2" t="s">
        <v>87</v>
      </c>
      <c r="C44" s="2" t="s">
        <v>82</v>
      </c>
    </row>
    <row r="45" spans="1:3">
      <c r="A45" s="2" t="s">
        <v>1</v>
      </c>
      <c r="B45" s="2" t="s">
        <v>88</v>
      </c>
      <c r="C45" s="2" t="s">
        <v>82</v>
      </c>
    </row>
    <row r="46" spans="1:3">
      <c r="A46" s="2" t="s">
        <v>1</v>
      </c>
      <c r="B46" s="2" t="s">
        <v>89</v>
      </c>
      <c r="C46" s="2" t="s">
        <v>82</v>
      </c>
    </row>
    <row r="47" spans="1:3">
      <c r="A47" s="2" t="s">
        <v>1</v>
      </c>
      <c r="B47" s="2" t="s">
        <v>90</v>
      </c>
      <c r="C47" s="2" t="s">
        <v>82</v>
      </c>
    </row>
    <row r="48" spans="1:3">
      <c r="A48" s="2" t="s">
        <v>1</v>
      </c>
      <c r="B48" s="2" t="s">
        <v>91</v>
      </c>
      <c r="C48" s="2" t="s">
        <v>82</v>
      </c>
    </row>
    <row r="49" spans="1:3">
      <c r="A49" s="2" t="s">
        <v>1</v>
      </c>
      <c r="B49" s="2" t="s">
        <v>92</v>
      </c>
      <c r="C49" s="2" t="s">
        <v>82</v>
      </c>
    </row>
    <row r="50" spans="1:3">
      <c r="A50" s="2" t="s">
        <v>1</v>
      </c>
      <c r="B50" s="2" t="s">
        <v>93</v>
      </c>
      <c r="C50" s="2" t="s">
        <v>82</v>
      </c>
    </row>
    <row r="51" spans="1:3">
      <c r="A51" s="2" t="s">
        <v>1</v>
      </c>
      <c r="B51" s="2" t="s">
        <v>111</v>
      </c>
      <c r="C51" s="2" t="s">
        <v>110</v>
      </c>
    </row>
    <row r="52" spans="1:3">
      <c r="A52" s="2" t="s">
        <v>1</v>
      </c>
      <c r="B52" s="2" t="s">
        <v>112</v>
      </c>
      <c r="C52" s="2" t="s">
        <v>110</v>
      </c>
    </row>
    <row r="53" spans="1:3">
      <c r="A53" s="2" t="s">
        <v>1</v>
      </c>
      <c r="B53" s="2" t="s">
        <v>113</v>
      </c>
      <c r="C53" s="2" t="s">
        <v>110</v>
      </c>
    </row>
    <row r="54" spans="1:3">
      <c r="A54" s="2" t="s">
        <v>1</v>
      </c>
      <c r="B54" s="2" t="s">
        <v>114</v>
      </c>
      <c r="C54" s="2" t="s">
        <v>110</v>
      </c>
    </row>
    <row r="55" spans="1:3">
      <c r="A55" s="2" t="s">
        <v>1</v>
      </c>
      <c r="B55" s="2" t="s">
        <v>115</v>
      </c>
      <c r="C55" s="2" t="s">
        <v>110</v>
      </c>
    </row>
    <row r="56" spans="1:3">
      <c r="A56" s="2" t="s">
        <v>1</v>
      </c>
      <c r="B56" s="2" t="s">
        <v>116</v>
      </c>
      <c r="C56" s="2" t="s">
        <v>110</v>
      </c>
    </row>
    <row r="57" spans="1:3">
      <c r="A57" s="2" t="s">
        <v>1</v>
      </c>
      <c r="B57" s="2" t="s">
        <v>117</v>
      </c>
      <c r="C57" s="2" t="s">
        <v>110</v>
      </c>
    </row>
    <row r="58" spans="1:3">
      <c r="A58" s="2" t="s">
        <v>1</v>
      </c>
      <c r="B58" s="2" t="s">
        <v>118</v>
      </c>
      <c r="C58" s="2" t="s">
        <v>110</v>
      </c>
    </row>
    <row r="59" spans="1:3">
      <c r="A59" s="2" t="s">
        <v>1</v>
      </c>
      <c r="B59" s="2" t="s">
        <v>119</v>
      </c>
      <c r="C59" s="2" t="s">
        <v>110</v>
      </c>
    </row>
    <row r="60" spans="1:3">
      <c r="A60" s="2" t="s">
        <v>1</v>
      </c>
      <c r="B60" s="2" t="s">
        <v>120</v>
      </c>
      <c r="C60" s="2" t="s">
        <v>110</v>
      </c>
    </row>
    <row r="61" spans="1:3">
      <c r="A61" s="2" t="s">
        <v>1</v>
      </c>
      <c r="B61" s="2" t="s">
        <v>121</v>
      </c>
      <c r="C61" s="2" t="s">
        <v>110</v>
      </c>
    </row>
    <row r="62" spans="1:3">
      <c r="A62" s="2" t="s">
        <v>1</v>
      </c>
      <c r="B62" s="2" t="s">
        <v>122</v>
      </c>
      <c r="C62" s="2" t="s">
        <v>110</v>
      </c>
    </row>
    <row r="63" spans="1:3">
      <c r="A63" s="2" t="s">
        <v>1</v>
      </c>
      <c r="B63" s="2" t="s">
        <v>16</v>
      </c>
      <c r="C63" s="2" t="s">
        <v>153</v>
      </c>
    </row>
    <row r="64" spans="1:3">
      <c r="A64" s="2" t="s">
        <v>1</v>
      </c>
      <c r="B64" s="2" t="s">
        <v>50</v>
      </c>
      <c r="C64" s="2" t="s">
        <v>153</v>
      </c>
    </row>
    <row r="65" spans="1:3">
      <c r="A65" s="2" t="s">
        <v>1</v>
      </c>
      <c r="B65" s="2" t="s">
        <v>51</v>
      </c>
      <c r="C65" s="2" t="s">
        <v>153</v>
      </c>
    </row>
    <row r="66" spans="1:3">
      <c r="A66" s="2" t="s">
        <v>1</v>
      </c>
      <c r="B66" s="2" t="s">
        <v>52</v>
      </c>
      <c r="C66" s="2" t="s">
        <v>153</v>
      </c>
    </row>
    <row r="67" spans="1:3">
      <c r="A67" s="2" t="s">
        <v>1</v>
      </c>
      <c r="B67" s="2" t="s">
        <v>53</v>
      </c>
      <c r="C67" s="2" t="s">
        <v>153</v>
      </c>
    </row>
    <row r="68" spans="1:3">
      <c r="A68" s="2" t="s">
        <v>1</v>
      </c>
      <c r="B68" s="2" t="s">
        <v>54</v>
      </c>
      <c r="C68" s="2" t="s">
        <v>153</v>
      </c>
    </row>
    <row r="69" spans="1:3">
      <c r="A69" s="2" t="s">
        <v>1</v>
      </c>
      <c r="B69" s="2" t="s">
        <v>55</v>
      </c>
      <c r="C69" s="2" t="s">
        <v>153</v>
      </c>
    </row>
    <row r="70" spans="1:3">
      <c r="A70" s="2" t="s">
        <v>1</v>
      </c>
      <c r="B70" s="2" t="s">
        <v>56</v>
      </c>
      <c r="C70" s="2" t="s">
        <v>153</v>
      </c>
    </row>
    <row r="71" spans="1:3">
      <c r="A71" s="2" t="s">
        <v>1</v>
      </c>
      <c r="B71" s="2" t="s">
        <v>57</v>
      </c>
      <c r="C71" s="2" t="s">
        <v>153</v>
      </c>
    </row>
    <row r="72" spans="1:3">
      <c r="A72" s="2" t="s">
        <v>1</v>
      </c>
      <c r="B72" s="2" t="s">
        <v>58</v>
      </c>
      <c r="C72" s="2" t="s">
        <v>153</v>
      </c>
    </row>
    <row r="73" spans="1:3">
      <c r="A73" s="2" t="s">
        <v>1</v>
      </c>
      <c r="B73" s="2" t="s">
        <v>59</v>
      </c>
      <c r="C73" s="2" t="s">
        <v>153</v>
      </c>
    </row>
    <row r="74" spans="1:3">
      <c r="A74" s="2" t="s">
        <v>1</v>
      </c>
      <c r="B74" s="2" t="s">
        <v>60</v>
      </c>
      <c r="C74" s="2" t="s">
        <v>153</v>
      </c>
    </row>
    <row r="75" spans="1:3">
      <c r="A75" s="2" t="s">
        <v>1</v>
      </c>
      <c r="B75" s="2" t="s">
        <v>61</v>
      </c>
      <c r="C75" s="2" t="s">
        <v>153</v>
      </c>
    </row>
    <row r="76" spans="1:3">
      <c r="A76" s="2" t="s">
        <v>1</v>
      </c>
      <c r="B76" s="2" t="s">
        <v>62</v>
      </c>
      <c r="C76" s="2" t="s">
        <v>153</v>
      </c>
    </row>
    <row r="77" spans="1:3">
      <c r="A77" s="2" t="s">
        <v>1</v>
      </c>
      <c r="B77" s="2" t="s">
        <v>63</v>
      </c>
      <c r="C77" s="2" t="s">
        <v>153</v>
      </c>
    </row>
    <row r="78" spans="1:3">
      <c r="A78" s="2" t="s">
        <v>1</v>
      </c>
      <c r="B78" s="2" t="s">
        <v>64</v>
      </c>
      <c r="C78" s="2" t="s">
        <v>153</v>
      </c>
    </row>
    <row r="79" spans="1:3">
      <c r="A79" s="2" t="s">
        <v>1</v>
      </c>
      <c r="B79" s="2" t="s">
        <v>65</v>
      </c>
      <c r="C79" s="2" t="s">
        <v>153</v>
      </c>
    </row>
    <row r="80" spans="1:3">
      <c r="A80" s="2" t="s">
        <v>1</v>
      </c>
      <c r="B80" s="2" t="s">
        <v>66</v>
      </c>
      <c r="C80" s="2" t="s">
        <v>153</v>
      </c>
    </row>
    <row r="81" spans="1:3">
      <c r="A81" s="2" t="s">
        <v>1</v>
      </c>
      <c r="B81" s="2" t="s">
        <v>67</v>
      </c>
      <c r="C81" s="2" t="s">
        <v>153</v>
      </c>
    </row>
    <row r="82" spans="1:3">
      <c r="A82" s="2" t="s">
        <v>1</v>
      </c>
      <c r="B82" s="2" t="s">
        <v>68</v>
      </c>
      <c r="C82" s="2" t="s">
        <v>153</v>
      </c>
    </row>
    <row r="83" spans="1:3">
      <c r="A83" s="2" t="s">
        <v>1</v>
      </c>
      <c r="B83" s="2" t="s">
        <v>70</v>
      </c>
      <c r="C83" s="2" t="s">
        <v>153</v>
      </c>
    </row>
    <row r="84" spans="1:3">
      <c r="A84" s="2" t="s">
        <v>1</v>
      </c>
      <c r="B84" s="2" t="s">
        <v>71</v>
      </c>
      <c r="C84" s="2" t="s">
        <v>153</v>
      </c>
    </row>
    <row r="85" spans="1:3">
      <c r="A85" s="2" t="s">
        <v>1</v>
      </c>
      <c r="B85" s="2" t="s">
        <v>72</v>
      </c>
      <c r="C85" s="2" t="s">
        <v>153</v>
      </c>
    </row>
    <row r="86" spans="1:3">
      <c r="A86" s="2" t="s">
        <v>1</v>
      </c>
      <c r="B86" s="2" t="s">
        <v>73</v>
      </c>
      <c r="C86" s="2" t="s">
        <v>153</v>
      </c>
    </row>
    <row r="87" spans="1:3">
      <c r="A87" s="2" t="s">
        <v>1</v>
      </c>
      <c r="B87" s="2" t="s">
        <v>74</v>
      </c>
      <c r="C87" s="2" t="s">
        <v>153</v>
      </c>
    </row>
    <row r="88" spans="1:3">
      <c r="A88" s="2" t="s">
        <v>1</v>
      </c>
      <c r="B88" s="2" t="s">
        <v>75</v>
      </c>
      <c r="C88" s="2" t="s">
        <v>153</v>
      </c>
    </row>
    <row r="89" spans="1:3">
      <c r="A89" s="2" t="s">
        <v>1</v>
      </c>
      <c r="B89" s="2" t="s">
        <v>76</v>
      </c>
      <c r="C89" s="2" t="s">
        <v>153</v>
      </c>
    </row>
    <row r="90" spans="1:3">
      <c r="A90" s="2" t="s">
        <v>1</v>
      </c>
      <c r="B90" s="2" t="s">
        <v>77</v>
      </c>
      <c r="C90" s="2" t="s">
        <v>153</v>
      </c>
    </row>
    <row r="91" spans="1:3">
      <c r="A91" s="2" t="s">
        <v>1</v>
      </c>
      <c r="B91" s="2" t="s">
        <v>78</v>
      </c>
      <c r="C91" s="2" t="s">
        <v>153</v>
      </c>
    </row>
    <row r="92" spans="1:3">
      <c r="A92" s="2" t="s">
        <v>1</v>
      </c>
      <c r="B92" s="2" t="s">
        <v>79</v>
      </c>
      <c r="C92" s="2" t="s">
        <v>153</v>
      </c>
    </row>
    <row r="93" spans="1:3">
      <c r="A93" s="2" t="s">
        <v>1</v>
      </c>
      <c r="B93" s="2" t="s">
        <v>80</v>
      </c>
      <c r="C93" s="2" t="s">
        <v>153</v>
      </c>
    </row>
    <row r="94" spans="1:3">
      <c r="A94" s="2" t="s">
        <v>1</v>
      </c>
      <c r="B94" s="2" t="s">
        <v>81</v>
      </c>
      <c r="C94" s="2" t="s">
        <v>153</v>
      </c>
    </row>
    <row r="95" spans="1:3">
      <c r="A95" s="2" t="s">
        <v>1</v>
      </c>
      <c r="B95" s="2" t="s">
        <v>97</v>
      </c>
      <c r="C95" s="2" t="s">
        <v>153</v>
      </c>
    </row>
    <row r="96" spans="1:3">
      <c r="A96" s="2" t="s">
        <v>1</v>
      </c>
      <c r="B96" s="2" t="s">
        <v>107</v>
      </c>
      <c r="C96" s="2" t="s">
        <v>153</v>
      </c>
    </row>
    <row r="97" spans="1:3">
      <c r="A97" s="2" t="s">
        <v>1</v>
      </c>
      <c r="B97" s="2" t="s">
        <v>34</v>
      </c>
      <c r="C97" s="2" t="s">
        <v>33</v>
      </c>
    </row>
    <row r="98" spans="1:3">
      <c r="A98" s="2" t="s">
        <v>1</v>
      </c>
      <c r="B98" s="2" t="s">
        <v>35</v>
      </c>
      <c r="C98" s="2" t="s">
        <v>33</v>
      </c>
    </row>
    <row r="99" spans="1:3">
      <c r="A99" s="2" t="s">
        <v>1</v>
      </c>
      <c r="B99" s="2" t="s">
        <v>36</v>
      </c>
      <c r="C99" s="2" t="s">
        <v>33</v>
      </c>
    </row>
    <row r="100" spans="1:3">
      <c r="A100" s="2" t="s">
        <v>1</v>
      </c>
      <c r="B100" s="2" t="s">
        <v>37</v>
      </c>
      <c r="C100" s="2" t="s">
        <v>33</v>
      </c>
    </row>
    <row r="101" spans="1:3">
      <c r="A101" s="2" t="s">
        <v>1</v>
      </c>
      <c r="B101" s="2" t="s">
        <v>38</v>
      </c>
      <c r="C101" s="2" t="s">
        <v>33</v>
      </c>
    </row>
    <row r="102" spans="1:3">
      <c r="A102" s="2" t="s">
        <v>1</v>
      </c>
      <c r="B102" s="2" t="s">
        <v>39</v>
      </c>
      <c r="C102" s="2" t="s">
        <v>33</v>
      </c>
    </row>
    <row r="103" spans="1:3">
      <c r="A103" s="2" t="s">
        <v>1</v>
      </c>
      <c r="B103" s="2" t="s">
        <v>40</v>
      </c>
      <c r="C103" s="2" t="s">
        <v>33</v>
      </c>
    </row>
    <row r="104" spans="1:3">
      <c r="A104" s="2" t="s">
        <v>1</v>
      </c>
      <c r="B104" s="2" t="s">
        <v>41</v>
      </c>
      <c r="C104" s="2" t="s">
        <v>33</v>
      </c>
    </row>
    <row r="105" spans="1:3">
      <c r="A105" s="2" t="s">
        <v>1</v>
      </c>
      <c r="B105" s="2" t="s">
        <v>42</v>
      </c>
      <c r="C105" s="2" t="s">
        <v>33</v>
      </c>
    </row>
    <row r="106" spans="1:3">
      <c r="A106" s="2" t="s">
        <v>1</v>
      </c>
      <c r="B106" s="2" t="s">
        <v>43</v>
      </c>
      <c r="C106" s="2" t="s">
        <v>33</v>
      </c>
    </row>
    <row r="107" spans="1:3">
      <c r="A107" s="2" t="s">
        <v>1</v>
      </c>
      <c r="B107" s="2" t="s">
        <v>44</v>
      </c>
      <c r="C107" s="2" t="s">
        <v>33</v>
      </c>
    </row>
    <row r="108" spans="1:3">
      <c r="A108" s="2" t="s">
        <v>1</v>
      </c>
      <c r="B108" s="2" t="s">
        <v>45</v>
      </c>
      <c r="C108" s="2" t="s">
        <v>33</v>
      </c>
    </row>
    <row r="109" spans="1:3">
      <c r="A109" s="2" t="s">
        <v>1</v>
      </c>
      <c r="B109" s="2" t="s">
        <v>46</v>
      </c>
      <c r="C109" s="2" t="s">
        <v>33</v>
      </c>
    </row>
    <row r="110" spans="1:3">
      <c r="A110" s="2" t="s">
        <v>1</v>
      </c>
      <c r="B110" s="2" t="s">
        <v>47</v>
      </c>
      <c r="C110" s="2" t="s">
        <v>33</v>
      </c>
    </row>
    <row r="111" spans="1:3">
      <c r="A111" s="2" t="s">
        <v>1</v>
      </c>
      <c r="B111" s="2" t="s">
        <v>48</v>
      </c>
      <c r="C111" s="2" t="s">
        <v>33</v>
      </c>
    </row>
    <row r="112" spans="1:3">
      <c r="A112" s="2" t="s">
        <v>1</v>
      </c>
      <c r="B112" s="2" t="s">
        <v>49</v>
      </c>
      <c r="C112" s="2" t="s">
        <v>33</v>
      </c>
    </row>
    <row r="113" spans="1:3">
      <c r="A113" s="2" t="s">
        <v>2</v>
      </c>
      <c r="B113" s="3" t="s">
        <v>140</v>
      </c>
      <c r="C113" s="2" t="s">
        <v>94</v>
      </c>
    </row>
    <row r="114" spans="1:3">
      <c r="A114" s="2" t="s">
        <v>2</v>
      </c>
      <c r="B114" s="3" t="s">
        <v>141</v>
      </c>
      <c r="C114" s="2" t="s">
        <v>94</v>
      </c>
    </row>
    <row r="115" spans="1:3">
      <c r="A115" s="2" t="s">
        <v>2</v>
      </c>
      <c r="B115" s="3" t="s">
        <v>142</v>
      </c>
      <c r="C115" s="2" t="s">
        <v>94</v>
      </c>
    </row>
    <row r="116" spans="1:3">
      <c r="A116" s="2" t="s">
        <v>2</v>
      </c>
      <c r="B116" s="3" t="s">
        <v>99</v>
      </c>
      <c r="C116" s="2" t="s">
        <v>94</v>
      </c>
    </row>
    <row r="117" spans="1:3">
      <c r="A117" s="2" t="s">
        <v>2</v>
      </c>
      <c r="B117" s="3" t="s">
        <v>95</v>
      </c>
      <c r="C117" s="2" t="s">
        <v>94</v>
      </c>
    </row>
    <row r="118" spans="1:3">
      <c r="A118" s="2" t="s">
        <v>2</v>
      </c>
      <c r="B118" s="3" t="s">
        <v>103</v>
      </c>
      <c r="C118" s="2" t="s">
        <v>94</v>
      </c>
    </row>
    <row r="119" spans="1:3">
      <c r="A119" s="2" t="s">
        <v>2</v>
      </c>
      <c r="B119" s="3" t="s">
        <v>143</v>
      </c>
      <c r="C119" s="2" t="s">
        <v>94</v>
      </c>
    </row>
    <row r="120" spans="1:3">
      <c r="A120" s="2" t="s">
        <v>2</v>
      </c>
      <c r="B120" s="3" t="s">
        <v>144</v>
      </c>
      <c r="C120" s="2" t="s">
        <v>94</v>
      </c>
    </row>
    <row r="121" spans="1:3">
      <c r="A121" s="2" t="s">
        <v>2</v>
      </c>
      <c r="B121" s="3" t="s">
        <v>93</v>
      </c>
      <c r="C121" s="3" t="s">
        <v>82</v>
      </c>
    </row>
    <row r="122" spans="1:3">
      <c r="A122" s="2" t="s">
        <v>2</v>
      </c>
      <c r="B122" s="3" t="s">
        <v>145</v>
      </c>
      <c r="C122" s="3" t="s">
        <v>82</v>
      </c>
    </row>
    <row r="123" spans="1:3">
      <c r="A123" s="2" t="s">
        <v>2</v>
      </c>
      <c r="B123" s="3" t="s">
        <v>146</v>
      </c>
      <c r="C123" s="3" t="s">
        <v>82</v>
      </c>
    </row>
    <row r="124" spans="1:3">
      <c r="A124" s="2" t="s">
        <v>2</v>
      </c>
      <c r="B124" s="3" t="s">
        <v>88</v>
      </c>
      <c r="C124" s="3" t="s">
        <v>82</v>
      </c>
    </row>
    <row r="125" spans="1:3">
      <c r="A125" s="2" t="s">
        <v>2</v>
      </c>
      <c r="B125" s="3" t="s">
        <v>147</v>
      </c>
      <c r="C125" s="3" t="s">
        <v>82</v>
      </c>
    </row>
    <row r="126" spans="1:3">
      <c r="A126" s="2" t="s">
        <v>2</v>
      </c>
      <c r="B126" s="3" t="s">
        <v>84</v>
      </c>
      <c r="C126" s="3" t="s">
        <v>82</v>
      </c>
    </row>
    <row r="127" spans="1:3">
      <c r="A127" s="2" t="s">
        <v>2</v>
      </c>
      <c r="B127" s="3" t="s">
        <v>90</v>
      </c>
      <c r="C127" s="3" t="s">
        <v>82</v>
      </c>
    </row>
    <row r="128" spans="1:3">
      <c r="A128" s="2" t="s">
        <v>2</v>
      </c>
      <c r="B128" s="3" t="s">
        <v>111</v>
      </c>
      <c r="C128" s="3" t="s">
        <v>110</v>
      </c>
    </row>
    <row r="129" spans="1:3">
      <c r="A129" s="2" t="s">
        <v>2</v>
      </c>
      <c r="B129" s="3" t="s">
        <v>148</v>
      </c>
      <c r="C129" s="3" t="s">
        <v>110</v>
      </c>
    </row>
    <row r="130" spans="1:3">
      <c r="A130" s="2" t="s">
        <v>2</v>
      </c>
      <c r="B130" s="3" t="s">
        <v>123</v>
      </c>
      <c r="C130" s="3" t="s">
        <v>154</v>
      </c>
    </row>
    <row r="131" spans="1:3">
      <c r="A131" s="2" t="s">
        <v>2</v>
      </c>
      <c r="B131" s="3" t="s">
        <v>124</v>
      </c>
      <c r="C131" s="3" t="s">
        <v>154</v>
      </c>
    </row>
    <row r="132" spans="1:3">
      <c r="A132" s="2" t="s">
        <v>2</v>
      </c>
      <c r="B132" s="3" t="s">
        <v>65</v>
      </c>
      <c r="C132" s="3" t="s">
        <v>154</v>
      </c>
    </row>
    <row r="133" spans="1:3">
      <c r="A133" s="2" t="s">
        <v>2</v>
      </c>
      <c r="B133" s="3" t="s">
        <v>125</v>
      </c>
      <c r="C133" s="3" t="s">
        <v>154</v>
      </c>
    </row>
    <row r="134" spans="1:3">
      <c r="A134" s="2" t="s">
        <v>2</v>
      </c>
      <c r="B134" s="3" t="s">
        <v>64</v>
      </c>
      <c r="C134" s="3" t="s">
        <v>154</v>
      </c>
    </row>
    <row r="135" spans="1:3">
      <c r="A135" s="2" t="s">
        <v>2</v>
      </c>
      <c r="B135" s="3" t="s">
        <v>126</v>
      </c>
      <c r="C135" s="3" t="s">
        <v>154</v>
      </c>
    </row>
    <row r="136" spans="1:3">
      <c r="A136" s="2" t="s">
        <v>2</v>
      </c>
      <c r="B136" s="3" t="s">
        <v>127</v>
      </c>
      <c r="C136" s="3" t="s">
        <v>154</v>
      </c>
    </row>
    <row r="137" spans="1:3">
      <c r="A137" s="2" t="s">
        <v>2</v>
      </c>
      <c r="B137" s="3" t="s">
        <v>72</v>
      </c>
      <c r="C137" s="3" t="s">
        <v>154</v>
      </c>
    </row>
    <row r="138" spans="1:3">
      <c r="A138" s="2" t="s">
        <v>2</v>
      </c>
      <c r="B138" s="3" t="s">
        <v>79</v>
      </c>
      <c r="C138" s="3" t="s">
        <v>154</v>
      </c>
    </row>
    <row r="139" spans="1:3">
      <c r="A139" s="2" t="s">
        <v>2</v>
      </c>
      <c r="B139" s="3" t="s">
        <v>128</v>
      </c>
      <c r="C139" s="3" t="s">
        <v>154</v>
      </c>
    </row>
    <row r="140" spans="1:3">
      <c r="A140" s="2" t="s">
        <v>2</v>
      </c>
      <c r="B140" s="3" t="s">
        <v>129</v>
      </c>
      <c r="C140" s="3" t="s">
        <v>154</v>
      </c>
    </row>
    <row r="141" spans="1:3">
      <c r="A141" s="2" t="s">
        <v>2</v>
      </c>
      <c r="B141" s="3" t="s">
        <v>130</v>
      </c>
      <c r="C141" s="3" t="s">
        <v>154</v>
      </c>
    </row>
    <row r="142" spans="1:3">
      <c r="A142" s="2" t="s">
        <v>2</v>
      </c>
      <c r="B142" s="3" t="s">
        <v>131</v>
      </c>
      <c r="C142" s="3" t="s">
        <v>154</v>
      </c>
    </row>
    <row r="143" spans="1:3">
      <c r="A143" s="2" t="s">
        <v>2</v>
      </c>
      <c r="B143" s="3" t="s">
        <v>55</v>
      </c>
      <c r="C143" s="3" t="s">
        <v>154</v>
      </c>
    </row>
    <row r="144" spans="1:3">
      <c r="A144" s="2" t="s">
        <v>2</v>
      </c>
      <c r="B144" s="3" t="s">
        <v>132</v>
      </c>
      <c r="C144" s="3" t="s">
        <v>154</v>
      </c>
    </row>
    <row r="145" spans="1:3">
      <c r="A145" s="2" t="s">
        <v>2</v>
      </c>
      <c r="B145" s="3" t="s">
        <v>133</v>
      </c>
      <c r="C145" s="3" t="s">
        <v>154</v>
      </c>
    </row>
    <row r="146" spans="1:3">
      <c r="A146" s="2" t="s">
        <v>2</v>
      </c>
      <c r="B146" s="3" t="s">
        <v>80</v>
      </c>
      <c r="C146" s="3" t="s">
        <v>154</v>
      </c>
    </row>
    <row r="147" spans="1:3">
      <c r="A147" s="2" t="s">
        <v>2</v>
      </c>
      <c r="B147" s="3" t="s">
        <v>134</v>
      </c>
      <c r="C147" s="3" t="s">
        <v>154</v>
      </c>
    </row>
    <row r="148" spans="1:3">
      <c r="A148" s="2" t="s">
        <v>2</v>
      </c>
      <c r="B148" s="3" t="s">
        <v>135</v>
      </c>
      <c r="C148" s="3" t="s">
        <v>154</v>
      </c>
    </row>
    <row r="149" spans="1:3">
      <c r="A149" s="2" t="s">
        <v>2</v>
      </c>
      <c r="B149" s="3" t="s">
        <v>56</v>
      </c>
      <c r="C149" s="3" t="s">
        <v>154</v>
      </c>
    </row>
    <row r="150" spans="1:3">
      <c r="A150" s="2" t="s">
        <v>2</v>
      </c>
      <c r="B150" s="3" t="s">
        <v>136</v>
      </c>
      <c r="C150" s="3" t="s">
        <v>154</v>
      </c>
    </row>
    <row r="151" spans="1:3">
      <c r="A151" s="2" t="s">
        <v>2</v>
      </c>
      <c r="B151" s="3" t="s">
        <v>63</v>
      </c>
      <c r="C151" s="3" t="s">
        <v>154</v>
      </c>
    </row>
    <row r="152" spans="1:3">
      <c r="A152" s="2" t="s">
        <v>2</v>
      </c>
      <c r="B152" s="3" t="s">
        <v>137</v>
      </c>
      <c r="C152" s="3" t="s">
        <v>154</v>
      </c>
    </row>
    <row r="153" spans="1:3">
      <c r="A153" s="2" t="s">
        <v>2</v>
      </c>
      <c r="B153" s="3" t="s">
        <v>138</v>
      </c>
      <c r="C153" s="3" t="s">
        <v>154</v>
      </c>
    </row>
    <row r="154" spans="1:3">
      <c r="A154" s="2" t="s">
        <v>2</v>
      </c>
      <c r="B154" s="3" t="s">
        <v>139</v>
      </c>
      <c r="C154" s="3" t="s">
        <v>154</v>
      </c>
    </row>
  </sheetData>
  <autoFilter ref="B1:B154" xr:uid="{00000000-0009-0000-0000-000001000000}"/>
  <sortState xmlns:xlrd2="http://schemas.microsoft.com/office/spreadsheetml/2017/richdata2" ref="A2:C154">
    <sortCondition ref="A2:A154"/>
    <sortCondition ref="C2:C154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1" sqref="F1:F3"/>
    </sheetView>
  </sheetViews>
  <sheetFormatPr baseColWidth="10" defaultColWidth="8.83203125" defaultRowHeight="15"/>
  <sheetData>
    <row r="1" spans="1:7">
      <c r="A1" t="s">
        <v>1</v>
      </c>
      <c r="B1" t="s">
        <v>157</v>
      </c>
      <c r="C1" t="s">
        <v>3</v>
      </c>
      <c r="D1" t="s">
        <v>5</v>
      </c>
      <c r="E1" t="s">
        <v>7</v>
      </c>
      <c r="F1" t="s">
        <v>159</v>
      </c>
      <c r="G1" t="s">
        <v>3</v>
      </c>
    </row>
    <row r="2" spans="1:7">
      <c r="A2" t="s">
        <v>2</v>
      </c>
      <c r="B2" t="s">
        <v>156</v>
      </c>
      <c r="C2" t="s">
        <v>4</v>
      </c>
      <c r="D2" t="s">
        <v>6</v>
      </c>
      <c r="E2" t="s">
        <v>8</v>
      </c>
      <c r="F2" t="s">
        <v>152</v>
      </c>
      <c r="G2" t="s">
        <v>4</v>
      </c>
    </row>
    <row r="3" spans="1:7">
      <c r="A3" t="s">
        <v>155</v>
      </c>
      <c r="F3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Flint июнь</vt:lpstr>
      <vt:lpstr>Flint сентябрь</vt:lpstr>
      <vt:lpstr>Flowchart</vt:lpstr>
      <vt:lpstr>регионы-города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olga.v.vasileva</dc:creator>
  <cp:lastModifiedBy>Ice Ice</cp:lastModifiedBy>
  <dcterms:created xsi:type="dcterms:W3CDTF">2020-05-07T07:50:06Z</dcterms:created>
  <dcterms:modified xsi:type="dcterms:W3CDTF">2026-04-06T11:05:50Z</dcterms:modified>
</cp:coreProperties>
</file>