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rustammusaev/Desktop/"/>
    </mc:Choice>
  </mc:AlternateContent>
  <xr:revisionPtr revIDLastSave="0" documentId="13_ncr:1_{9450223C-6F6B-8243-9B90-FD19E8F7560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Flowchart" sheetId="9" r:id="rId1"/>
    <sheet name="НиЧ" sheetId="24" r:id="rId2"/>
    <sheet name="Любятово" sheetId="26" r:id="rId3"/>
    <sheet name="Cola" sheetId="30" r:id="rId4"/>
    <sheet name="регионы-города" sheetId="3" state="hidden" r:id="rId5"/>
    <sheet name="справочник" sheetId="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___MCV2">[1]Vehicles!$B$58:$O$58</definedName>
    <definedName name="_________dd1" localSheetId="0" hidden="1">{#N/A,#N/A,TRUE,"Пресса";#N/A,#N/A,TRUE,"Метро";#N/A,#N/A,TRUE,"Щиты";#N/A,#N/A,TRUE,"График";#N/A,#N/A,TRUE,"График"}</definedName>
    <definedName name="_________dd1" hidden="1">{#N/A,#N/A,TRUE,"Пресса";#N/A,#N/A,TRUE,"Метро";#N/A,#N/A,TRUE,"Щиты";#N/A,#N/A,TRUE,"График";#N/A,#N/A,TRUE,"График"}</definedName>
    <definedName name="_________eh1" localSheetId="0" hidden="1">{#N/A,#N/A,TRUE,"Пресса";#N/A,#N/A,TRUE,"Метро";#N/A,#N/A,TRUE,"Щиты";#N/A,#N/A,TRUE,"График";#N/A,#N/A,TRUE,"График"}</definedName>
    <definedName name="_________eh1" hidden="1">{#N/A,#N/A,TRUE,"Пресса";#N/A,#N/A,TRUE,"Метро";#N/A,#N/A,TRUE,"Щиты";#N/A,#N/A,TRUE,"График";#N/A,#N/A,TRUE,"График"}</definedName>
    <definedName name="_________fjk1" localSheetId="0" hidden="1">{#N/A,#N/A,TRUE,"Пресса";#N/A,#N/A,TRUE,"Метро";#N/A,#N/A,TRUE,"Щиты";#N/A,#N/A,TRUE,"График";#N/A,#N/A,TRUE,"График"}</definedName>
    <definedName name="_________fjk1" hidden="1">{#N/A,#N/A,TRUE,"Пресса";#N/A,#N/A,TRUE,"Метро";#N/A,#N/A,TRUE,"Щиты";#N/A,#N/A,TRUE,"График";#N/A,#N/A,TRUE,"График"}</definedName>
    <definedName name="_________fjk2" localSheetId="0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GK2" localSheetId="0" hidden="1">{#N/A,#N/A,TRUE,"Пресса";#N/A,#N/A,TRUE,"Метро";#N/A,#N/A,TRUE,"Щиты";#N/A,#N/A,TRUE,"График";#N/A,#N/A,TRUE,"График"}</definedName>
    <definedName name="_________GK2" hidden="1">{#N/A,#N/A,TRUE,"Пресса";#N/A,#N/A,TRUE,"Метро";#N/A,#N/A,TRUE,"Щиты";#N/A,#N/A,TRUE,"График";#N/A,#N/A,TRUE,"График"}</definedName>
    <definedName name="_________hen2" localSheetId="0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MCV2">[1]Vehicles!$B$58:$O$58</definedName>
    <definedName name="_________old1" localSheetId="0" hidden="1">{#N/A,#N/A,TRUE,"Пресса";#N/A,#N/A,TRUE,"Метро";#N/A,#N/A,TRUE,"Щиты";#N/A,#N/A,TRUE,"График";#N/A,#N/A,TRUE,"График"}</definedName>
    <definedName name="_________old1" hidden="1">{#N/A,#N/A,TRUE,"Пресса";#N/A,#N/A,TRUE,"Метро";#N/A,#N/A,TRUE,"Щиты";#N/A,#N/A,TRUE,"График";#N/A,#N/A,TRUE,"График"}</definedName>
    <definedName name="_________old2" localSheetId="0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wwe2" localSheetId="0" hidden="1">{#VALUE!,#N/A,TRUE,0;#N/A,#N/A,TRUE,0;#N/A,#N/A,TRUE,0;#N/A,#N/A,TRUE,0;#N/A,#N/A,TRUE,0}</definedName>
    <definedName name="_________wwe2" hidden="1">{#VALUE!,#N/A,TRUE,0;#N/A,#N/A,TRUE,0;#N/A,#N/A,TRUE,0;#N/A,#N/A,TRUE,0;#N/A,#N/A,TRUE,0}</definedName>
    <definedName name="________erw2" hidden="1">27</definedName>
    <definedName name="________MCV2">[1]Vehicles!$B$58:$O$58</definedName>
    <definedName name="_______dd1" localSheetId="0" hidden="1">{#N/A,#N/A,TRUE,"Пресса";#N/A,#N/A,TRUE,"Метро";#N/A,#N/A,TRUE,"Щиты";#N/A,#N/A,TRUE,"График";#N/A,#N/A,TRUE,"График"}</definedName>
    <definedName name="_______dd1" hidden="1">{#N/A,#N/A,TRUE,"Пресса";#N/A,#N/A,TRUE,"Метро";#N/A,#N/A,TRUE,"Щиты";#N/A,#N/A,TRUE,"График";#N/A,#N/A,TRUE,"График"}</definedName>
    <definedName name="_______eh1" localSheetId="0" hidden="1">{#N/A,#N/A,TRUE,"Пресса";#N/A,#N/A,TRUE,"Метро";#N/A,#N/A,TRUE,"Щиты";#N/A,#N/A,TRUE,"График";#N/A,#N/A,TRUE,"График"}</definedName>
    <definedName name="_______eh1" hidden="1">{#N/A,#N/A,TRUE,"Пресса";#N/A,#N/A,TRUE,"Метро";#N/A,#N/A,TRUE,"Щиты";#N/A,#N/A,TRUE,"График";#N/A,#N/A,TRUE,"График"}</definedName>
    <definedName name="_______erw2" hidden="1">27</definedName>
    <definedName name="_______fjk1" localSheetId="0" hidden="1">{#N/A,#N/A,TRUE,"Пресса";#N/A,#N/A,TRUE,"Метро";#N/A,#N/A,TRUE,"Щиты";#N/A,#N/A,TRUE,"График";#N/A,#N/A,TRUE,"График"}</definedName>
    <definedName name="_______fjk1" hidden="1">{#N/A,#N/A,TRUE,"Пресса";#N/A,#N/A,TRUE,"Метро";#N/A,#N/A,TRUE,"Щиты";#N/A,#N/A,TRUE,"График";#N/A,#N/A,TRUE,"График"}</definedName>
    <definedName name="_______fjk2" localSheetId="0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GK2" localSheetId="0" hidden="1">{#N/A,#N/A,TRUE,"Пресса";#N/A,#N/A,TRUE,"Метро";#N/A,#N/A,TRUE,"Щиты";#N/A,#N/A,TRUE,"График";#N/A,#N/A,TRUE,"График"}</definedName>
    <definedName name="_______GK2" hidden="1">{#N/A,#N/A,TRUE,"Пресса";#N/A,#N/A,TRUE,"Метро";#N/A,#N/A,TRUE,"Щиты";#N/A,#N/A,TRUE,"График";#N/A,#N/A,TRUE,"График"}</definedName>
    <definedName name="_______hen2" localSheetId="0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MCV2">[1]Vehicles!$B$58:$O$58</definedName>
    <definedName name="_______old1" localSheetId="0" hidden="1">{#N/A,#N/A,TRUE,"Пресса";#N/A,#N/A,TRUE,"Метро";#N/A,#N/A,TRUE,"Щиты";#N/A,#N/A,TRUE,"График";#N/A,#N/A,TRUE,"График"}</definedName>
    <definedName name="_______old1" hidden="1">{#N/A,#N/A,TRUE,"Пресса";#N/A,#N/A,TRUE,"Метро";#N/A,#N/A,TRUE,"Щиты";#N/A,#N/A,TRUE,"График";#N/A,#N/A,TRUE,"График"}</definedName>
    <definedName name="_______old2" localSheetId="0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wwe2" localSheetId="0" hidden="1">{#VALUE!,#N/A,TRUE,0;#N/A,#N/A,TRUE,0;#N/A,#N/A,TRUE,0;#N/A,#N/A,TRUE,0;#N/A,#N/A,TRUE,0}</definedName>
    <definedName name="_______wwe2" hidden="1">{#VALUE!,#N/A,TRUE,0;#N/A,#N/A,TRUE,0;#N/A,#N/A,TRUE,0;#N/A,#N/A,TRUE,0;#N/A,#N/A,TRUE,0}</definedName>
    <definedName name="______1solver_rh¤" hidden="1">4</definedName>
    <definedName name="______2solver_va" hidden="1">27</definedName>
    <definedName name="______dd1" localSheetId="0" hidden="1">{#N/A,#N/A,TRUE,"Пресса";#N/A,#N/A,TRUE,"Метро";#N/A,#N/A,TRUE,"Щиты";#N/A,#N/A,TRUE,"График";#N/A,#N/A,TRUE,"График"}</definedName>
    <definedName name="______dd1" hidden="1">{#N/A,#N/A,TRUE,"Пресса";#N/A,#N/A,TRUE,"Метро";#N/A,#N/A,TRUE,"Щиты";#N/A,#N/A,TRUE,"График";#N/A,#N/A,TRUE,"График"}</definedName>
    <definedName name="______eh1" localSheetId="0" hidden="1">{#N/A,#N/A,TRUE,"Пресса";#N/A,#N/A,TRUE,"Метро";#N/A,#N/A,TRUE,"Щиты";#N/A,#N/A,TRUE,"График";#N/A,#N/A,TRUE,"График"}</definedName>
    <definedName name="______eh1" hidden="1">{#N/A,#N/A,TRUE,"Пресса";#N/A,#N/A,TRUE,"Метро";#N/A,#N/A,TRUE,"Щиты";#N/A,#N/A,TRUE,"График";#N/A,#N/A,TRUE,"График"}</definedName>
    <definedName name="______erw2" hidden="1">27</definedName>
    <definedName name="______fjk1" localSheetId="0" hidden="1">{#N/A,#N/A,TRUE,"Пресса";#N/A,#N/A,TRUE,"Метро";#N/A,#N/A,TRUE,"Щиты";#N/A,#N/A,TRUE,"График";#N/A,#N/A,TRUE,"График"}</definedName>
    <definedName name="______fjk1" hidden="1">{#N/A,#N/A,TRUE,"Пресса";#N/A,#N/A,TRUE,"Метро";#N/A,#N/A,TRUE,"Щиты";#N/A,#N/A,TRUE,"График";#N/A,#N/A,TRUE,"График"}</definedName>
    <definedName name="______fjk2" localSheetId="0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GK2" localSheetId="0" hidden="1">{#N/A,#N/A,TRUE,"Пресса";#N/A,#N/A,TRUE,"Метро";#N/A,#N/A,TRUE,"Щиты";#N/A,#N/A,TRUE,"График";#N/A,#N/A,TRUE,"График"}</definedName>
    <definedName name="______GK2" hidden="1">{#N/A,#N/A,TRUE,"Пресса";#N/A,#N/A,TRUE,"Метро";#N/A,#N/A,TRUE,"Щиты";#N/A,#N/A,TRUE,"График";#N/A,#N/A,TRUE,"График"}</definedName>
    <definedName name="______hen2" localSheetId="0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MCV2">[1]Vehicles!$B$58:$O$58</definedName>
    <definedName name="______old1" localSheetId="0" hidden="1">{#N/A,#N/A,TRUE,"Пресса";#N/A,#N/A,TRUE,"Метро";#N/A,#N/A,TRUE,"Щиты";#N/A,#N/A,TRUE,"График";#N/A,#N/A,TRUE,"График"}</definedName>
    <definedName name="______old1" hidden="1">{#N/A,#N/A,TRUE,"Пресса";#N/A,#N/A,TRUE,"Метро";#N/A,#N/A,TRUE,"Щиты";#N/A,#N/A,TRUE,"График";#N/A,#N/A,TRUE,"График"}</definedName>
    <definedName name="______old2" localSheetId="0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wwe2" localSheetId="0" hidden="1">{#VALUE!,#N/A,TRUE,0;#N/A,#N/A,TRUE,0;#N/A,#N/A,TRUE,0;#N/A,#N/A,TRUE,0;#N/A,#N/A,TRUE,0}</definedName>
    <definedName name="______wwe2" hidden="1">{#VALUE!,#N/A,TRUE,0;#N/A,#N/A,TRUE,0;#N/A,#N/A,TRUE,0;#N/A,#N/A,TRUE,0;#N/A,#N/A,TRUE,0}</definedName>
    <definedName name="_____1solver_rh¤" hidden="1">4</definedName>
    <definedName name="_____2solver_va" hidden="1">27</definedName>
    <definedName name="_____dd1" localSheetId="0" hidden="1">{#N/A,#N/A,TRUE,"Пресса";#N/A,#N/A,TRUE,"Метро";#N/A,#N/A,TRUE,"Щиты";#N/A,#N/A,TRUE,"График";#N/A,#N/A,TRUE,"График"}</definedName>
    <definedName name="_____dd1" hidden="1">{#N/A,#N/A,TRUE,"Пресса";#N/A,#N/A,TRUE,"Метро";#N/A,#N/A,TRUE,"Щиты";#N/A,#N/A,TRUE,"График";#N/A,#N/A,TRUE,"График"}</definedName>
    <definedName name="_____eh1" localSheetId="0" hidden="1">{#N/A,#N/A,TRUE,"Пресса";#N/A,#N/A,TRUE,"Метро";#N/A,#N/A,TRUE,"Щиты";#N/A,#N/A,TRUE,"График";#N/A,#N/A,TRUE,"График"}</definedName>
    <definedName name="_____eh1" hidden="1">{#N/A,#N/A,TRUE,"Пресса";#N/A,#N/A,TRUE,"Метро";#N/A,#N/A,TRUE,"Щиты";#N/A,#N/A,TRUE,"График";#N/A,#N/A,TRUE,"График"}</definedName>
    <definedName name="_____erw2" hidden="1">27</definedName>
    <definedName name="_____fjk1" localSheetId="0" hidden="1">{#N/A,#N/A,TRUE,"Пресса";#N/A,#N/A,TRUE,"Метро";#N/A,#N/A,TRUE,"Щиты";#N/A,#N/A,TRUE,"График";#N/A,#N/A,TRUE,"График"}</definedName>
    <definedName name="_____fjk1" hidden="1">{#N/A,#N/A,TRUE,"Пресса";#N/A,#N/A,TRUE,"Метро";#N/A,#N/A,TRUE,"Щиты";#N/A,#N/A,TRUE,"График";#N/A,#N/A,TRUE,"График"}</definedName>
    <definedName name="_____fjk2" localSheetId="0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GK2" localSheetId="0" hidden="1">{#N/A,#N/A,TRUE,"Пресса";#N/A,#N/A,TRUE,"Метро";#N/A,#N/A,TRUE,"Щиты";#N/A,#N/A,TRUE,"График";#N/A,#N/A,TRUE,"График"}</definedName>
    <definedName name="_____GK2" hidden="1">{#N/A,#N/A,TRUE,"Пресса";#N/A,#N/A,TRUE,"Метро";#N/A,#N/A,TRUE,"Щиты";#N/A,#N/A,TRUE,"График";#N/A,#N/A,TRUE,"График"}</definedName>
    <definedName name="_____hen2" localSheetId="0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MCV2">[1]Vehicles!$B$58:$O$58</definedName>
    <definedName name="_____old1" localSheetId="0" hidden="1">{#N/A,#N/A,TRUE,"Пресса";#N/A,#N/A,TRUE,"Метро";#N/A,#N/A,TRUE,"Щиты";#N/A,#N/A,TRUE,"График";#N/A,#N/A,TRUE,"График"}</definedName>
    <definedName name="_____old1" hidden="1">{#N/A,#N/A,TRUE,"Пресса";#N/A,#N/A,TRUE,"Метро";#N/A,#N/A,TRUE,"Щиты";#N/A,#N/A,TRUE,"График";#N/A,#N/A,TRUE,"График"}</definedName>
    <definedName name="_____old2" localSheetId="0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wwe2" localSheetId="0" hidden="1">{#VALUE!,#N/A,TRUE,0;#N/A,#N/A,TRUE,0;#N/A,#N/A,TRUE,0;#N/A,#N/A,TRUE,0;#N/A,#N/A,TRUE,0}</definedName>
    <definedName name="_____wwe2" hidden="1">{#VALUE!,#N/A,TRUE,0;#N/A,#N/A,TRUE,0;#N/A,#N/A,TRUE,0;#N/A,#N/A,TRUE,0;#N/A,#N/A,TRUE,0}</definedName>
    <definedName name="____1solver_rh¤" hidden="1">4</definedName>
    <definedName name="____2solver_va" hidden="1">27</definedName>
    <definedName name="____dd1" localSheetId="0" hidden="1">{#N/A,#N/A,TRUE,"Пресса";#N/A,#N/A,TRUE,"Метро";#N/A,#N/A,TRUE,"Щиты";#N/A,#N/A,TRUE,"График";#N/A,#N/A,TRUE,"График"}</definedName>
    <definedName name="____dd1" hidden="1">{#N/A,#N/A,TRUE,"Пресса";#N/A,#N/A,TRUE,"Метро";#N/A,#N/A,TRUE,"Щиты";#N/A,#N/A,TRUE,"График";#N/A,#N/A,TRUE,"График"}</definedName>
    <definedName name="____eh1" localSheetId="0" hidden="1">{#N/A,#N/A,TRUE,"Пресса";#N/A,#N/A,TRUE,"Метро";#N/A,#N/A,TRUE,"Щиты";#N/A,#N/A,TRUE,"График";#N/A,#N/A,TRUE,"График"}</definedName>
    <definedName name="____eh1" hidden="1">{#N/A,#N/A,TRUE,"Пресса";#N/A,#N/A,TRUE,"Метро";#N/A,#N/A,TRUE,"Щиты";#N/A,#N/A,TRUE,"График";#N/A,#N/A,TRUE,"График"}</definedName>
    <definedName name="____erw2" hidden="1">27</definedName>
    <definedName name="____fjk1" localSheetId="0" hidden="1">{#N/A,#N/A,TRUE,"Пресса";#N/A,#N/A,TRUE,"Метро";#N/A,#N/A,TRUE,"Щиты";#N/A,#N/A,TRUE,"График";#N/A,#N/A,TRUE,"График"}</definedName>
    <definedName name="____fjk1" hidden="1">{#N/A,#N/A,TRUE,"Пресса";#N/A,#N/A,TRUE,"Метро";#N/A,#N/A,TRUE,"Щиты";#N/A,#N/A,TRUE,"График";#N/A,#N/A,TRUE,"График"}</definedName>
    <definedName name="____fjk2" localSheetId="0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GK2" localSheetId="0" hidden="1">{#N/A,#N/A,TRUE,"Пресса";#N/A,#N/A,TRUE,"Метро";#N/A,#N/A,TRUE,"Щиты";#N/A,#N/A,TRUE,"График";#N/A,#N/A,TRUE,"График"}</definedName>
    <definedName name="____GK2" hidden="1">{#N/A,#N/A,TRUE,"Пресса";#N/A,#N/A,TRUE,"Метро";#N/A,#N/A,TRUE,"Щиты";#N/A,#N/A,TRUE,"График";#N/A,#N/A,TRUE,"График"}</definedName>
    <definedName name="____hen2" localSheetId="0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MCV2">[1]Vehicles!$B$58:$O$58</definedName>
    <definedName name="____old1" localSheetId="0" hidden="1">{#N/A,#N/A,TRUE,"Пресса";#N/A,#N/A,TRUE,"Метро";#N/A,#N/A,TRUE,"Щиты";#N/A,#N/A,TRUE,"График";#N/A,#N/A,TRUE,"График"}</definedName>
    <definedName name="____old1" hidden="1">{#N/A,#N/A,TRUE,"Пресса";#N/A,#N/A,TRUE,"Метро";#N/A,#N/A,TRUE,"Щиты";#N/A,#N/A,TRUE,"График";#N/A,#N/A,TRUE,"График"}</definedName>
    <definedName name="____old2" localSheetId="0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wwe2" localSheetId="0" hidden="1">{#VALUE!,#N/A,TRUE,0;#N/A,#N/A,TRUE,0;#N/A,#N/A,TRUE,0;#N/A,#N/A,TRUE,0;#N/A,#N/A,TRUE,0}</definedName>
    <definedName name="____wwe2" hidden="1">{#VALUE!,#N/A,TRUE,0;#N/A,#N/A,TRUE,0;#N/A,#N/A,TRUE,0;#N/A,#N/A,TRUE,0;#N/A,#N/A,TRUE,0}</definedName>
    <definedName name="___1solver_rh¤" hidden="1">4</definedName>
    <definedName name="___2solver_va" hidden="1">27</definedName>
    <definedName name="___dd1" localSheetId="0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eh1" localSheetId="0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rw2" hidden="1">27</definedName>
    <definedName name="___fjk1" localSheetId="0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0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GK2" localSheetId="0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hen2" localSheetId="0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LL100">#REF!</definedName>
    <definedName name="___MCV2">[1]Vehicles!$B$58:$O$58</definedName>
    <definedName name="___old1" localSheetId="0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0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wwe2" localSheetId="0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1solver_rh¤" hidden="1">4</definedName>
    <definedName name="__2solver_rh¤" hidden="1">4</definedName>
    <definedName name="__2solver_va" hidden="1">27</definedName>
    <definedName name="__3solver_va" hidden="1">27</definedName>
    <definedName name="__dd1" localSheetId="0" hidden="1">{#N/A,#N/A,TRUE,"Пресса";#N/A,#N/A,TRUE,"Метро";#N/A,#N/A,TRUE,"Щиты";#N/A,#N/A,TRUE,"График";#N/A,#N/A,TRUE,"График"}</definedName>
    <definedName name="__dd1" hidden="1">{#N/A,#N/A,TRUE,"Пресса";#N/A,#N/A,TRUE,"Метро";#N/A,#N/A,TRUE,"Щиты";#N/A,#N/A,TRUE,"График";#N/A,#N/A,TRUE,"График"}</definedName>
    <definedName name="__eh1" localSheetId="0" hidden="1">{#N/A,#N/A,TRUE,"Пресса";#N/A,#N/A,TRUE,"Метро";#N/A,#N/A,TRUE,"Щиты";#N/A,#N/A,TRUE,"График";#N/A,#N/A,TRUE,"График"}</definedName>
    <definedName name="__eh1" hidden="1">{#N/A,#N/A,TRUE,"Пресса";#N/A,#N/A,TRUE,"Метро";#N/A,#N/A,TRUE,"Щиты";#N/A,#N/A,TRUE,"График";#N/A,#N/A,TRUE,"График"}</definedName>
    <definedName name="__erw2" hidden="1">27</definedName>
    <definedName name="__fjk1" localSheetId="0" hidden="1">{#N/A,#N/A,TRUE,"Пресса";#N/A,#N/A,TRUE,"Метро";#N/A,#N/A,TRUE,"Щиты";#N/A,#N/A,TRUE,"График";#N/A,#N/A,TRUE,"График"}</definedName>
    <definedName name="__fjk1" hidden="1">{#N/A,#N/A,TRUE,"Пресса";#N/A,#N/A,TRUE,"Метро";#N/A,#N/A,TRUE,"Щиты";#N/A,#N/A,TRUE,"График";#N/A,#N/A,TRUE,"График"}</definedName>
    <definedName name="__fjk2" localSheetId="0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GK2" localSheetId="0" hidden="1">{#N/A,#N/A,TRUE,"Пресса";#N/A,#N/A,TRUE,"Метро";#N/A,#N/A,TRUE,"Щиты";#N/A,#N/A,TRUE,"График";#N/A,#N/A,TRUE,"График"}</definedName>
    <definedName name="__GK2" hidden="1">{#N/A,#N/A,TRUE,"Пресса";#N/A,#N/A,TRUE,"Метро";#N/A,#N/A,TRUE,"Щиты";#N/A,#N/A,TRUE,"График";#N/A,#N/A,TRUE,"График"}</definedName>
    <definedName name="__hen2" localSheetId="0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MCV2">[1]Vehicles!$B$58:$O$58</definedName>
    <definedName name="__old1" localSheetId="0" hidden="1">{#N/A,#N/A,TRUE,"Пресса";#N/A,#N/A,TRUE,"Метро";#N/A,#N/A,TRUE,"Щиты";#N/A,#N/A,TRUE,"График";#N/A,#N/A,TRUE,"График"}</definedName>
    <definedName name="__old1" hidden="1">{#N/A,#N/A,TRUE,"Пресса";#N/A,#N/A,TRUE,"Метро";#N/A,#N/A,TRUE,"Щиты";#N/A,#N/A,TRUE,"График";#N/A,#N/A,TRUE,"График"}</definedName>
    <definedName name="__old2" localSheetId="0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wwe2" localSheetId="0" hidden="1">{#VALUE!,#N/A,TRUE,0;#N/A,#N/A,TRUE,0;#N/A,#N/A,TRUE,0;#N/A,#N/A,TRUE,0;#N/A,#N/A,TRUE,0}</definedName>
    <definedName name="__wwe2" hidden="1">{#VALUE!,#N/A,TRUE,0;#N/A,#N/A,TRUE,0;#N/A,#N/A,TRUE,0;#N/A,#N/A,TRUE,0;#N/A,#N/A,TRUE,0}</definedName>
    <definedName name="__xlfn.BAHTTEXT" hidden="1">#NAME?</definedName>
    <definedName name="_1_solver_rh¤" hidden="1">4</definedName>
    <definedName name="_1solver_rh¤" hidden="1">4</definedName>
    <definedName name="_2">#REF!</definedName>
    <definedName name="_2_solver_va" hidden="1">27</definedName>
    <definedName name="_2_US_Fixed_TV_Pricing_W25_49">#REF!</definedName>
    <definedName name="_2solver_rh¤" hidden="1">4</definedName>
    <definedName name="_2solver_va" hidden="1">27</definedName>
    <definedName name="_3">#REF!</definedName>
    <definedName name="_3solver_va" hidden="1">27</definedName>
    <definedName name="_4solver_rh¤" hidden="1">4</definedName>
    <definedName name="_5solver_va" hidden="1">27</definedName>
    <definedName name="_xlnm._FilterDatabase" localSheetId="2" hidden="1">Любятово!$A$8:$O$8</definedName>
    <definedName name="_xlnm._FilterDatabase" localSheetId="1" hidden="1">НиЧ!$A$8:$V$8</definedName>
    <definedName name="_xlnm._FilterDatabase" localSheetId="4" hidden="1">'регионы-города'!$B$1:$B$154</definedName>
    <definedName name="_xlnm._FilterDatabase" localSheetId="3" hidden="1">Cola!$A$8:$V$8</definedName>
    <definedName name="_ьщт55" localSheetId="0" hidden="1">#REF!</definedName>
    <definedName name="_ьщт55" hidden="1">#REF!</definedName>
    <definedName name="_clb07" localSheetId="0">#REF!</definedName>
    <definedName name="_clb07">#REF!</definedName>
    <definedName name="_clp07" localSheetId="0">#REF!</definedName>
    <definedName name="_clp07">#REF!</definedName>
    <definedName name="_dd1" localSheetId="0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eh1" localSheetId="0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rw2" hidden="1">27</definedName>
    <definedName name="_fjk1" localSheetId="0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0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GK2" localSheetId="0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hen2" localSheetId="0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LL100">#REF!</definedName>
    <definedName name="_MCV2">[1]Vehicles!$B$58:$O$58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on88" hidden="1">#REF!</definedName>
    <definedName name="_old1" localSheetId="0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0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Pos1">'[2]Data CpGRP'!$A$41</definedName>
    <definedName name="_Pos2">'[2]Data CpGRP'!$A$42</definedName>
    <definedName name="_Pos3">'[2]Data CpGRP'!$A$43</definedName>
    <definedName name="_Pos4">'[2]Data CpGRP'!$A$44</definedName>
    <definedName name="_Pos5">'[2]Data CpGRP'!$A$45</definedName>
    <definedName name="_Pos6">'[2]Data CpGRP'!$A$46</definedName>
    <definedName name="_Pos7">'[2]Data CpGRP'!$A$47</definedName>
    <definedName name="_Pos8">'[2]Data CpGRP'!$A$48</definedName>
    <definedName name="_wwe2" localSheetId="0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\e">#REF!</definedName>
    <definedName name="\l">#REF!</definedName>
    <definedName name="АААФ">#REF!</definedName>
    <definedName name="арапр" localSheetId="2" hidden="1">OFFSET(Anch,MATCH("Amedia.ru",resList,0),3,COUNTIF(resList,"Amedia.ru")-1,1)</definedName>
    <definedName name="арапр" localSheetId="1" hidden="1">OFFSET(Anch,MATCH("Amedia.ru",resList,0),3,COUNTIF(resList,"Amedia.ru")-1,1)</definedName>
    <definedName name="арапр" localSheetId="3" hidden="1">OFFSET(Anch,MATCH("Amedia.ru",resList,0),3,COUNTIF(resList,"Amedia.ru")-1,1)</definedName>
    <definedName name="арапр" localSheetId="0" hidden="1">OFFSET(Anch,MATCH("Amedia.ru",resList,0),3,COUNTIF(resList,"Amedia.ru")-1,1)</definedName>
    <definedName name="арапр" hidden="1">OFFSET(Anch,MATCH("Amedia.ru",resList,0),3,COUNTIF(resList,"Amedia.ru")-1,1)</definedName>
    <definedName name="б" localSheetId="0" hidden="1">{#N/A,#N/A,TRUE,"Пресса";#N/A,#N/A,TRUE,"Метро";#N/A,#N/A,TRUE,"Щиты";#N/A,#N/A,TRUE,"График";#N/A,#N/A,TRUE,"График"}</definedName>
    <definedName name="б" hidden="1">{#N/A,#N/A,TRUE,"Пресса";#N/A,#N/A,TRUE,"Метро";#N/A,#N/A,TRUE,"Щиты";#N/A,#N/A,TRUE,"График";#N/A,#N/A,TRUE,"График"}</definedName>
    <definedName name="_xlnm.Database">#REF!</definedName>
    <definedName name="ввв" localSheetId="0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днп" hidden="1">#REF!</definedName>
    <definedName name="_xlnm.Print_Titles">#REF!</definedName>
    <definedName name="зщд" hidden="1">4</definedName>
    <definedName name="_xlnm.Extract">#REF!</definedName>
    <definedName name="йф" hidden="1">#REF!</definedName>
    <definedName name="йцйцыычмии">#REF!</definedName>
    <definedName name="йцццй" localSheetId="0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омб">#REF!</definedName>
    <definedName name="_xlnm.Criteria">[3]Kostenplan!#REF!</definedName>
    <definedName name="куукку" localSheetId="2" hidden="1">OFFSET(Anch,MATCH("Expert.ru",resList,0),3,COUNTIF(resList,"Expert.ru")-1,1)</definedName>
    <definedName name="куукку" localSheetId="1" hidden="1">OFFSET(Anch,MATCH("Expert.ru",resList,0),3,COUNTIF(resList,"Expert.ru")-1,1)</definedName>
    <definedName name="куукку" localSheetId="3" hidden="1">OFFSET(Anch,MATCH("Expert.ru",resList,0),3,COUNTIF(resList,"Expert.ru")-1,1)</definedName>
    <definedName name="куукку" localSheetId="0" hidden="1">OFFSET(Anch,MATCH("Expert.ru",resList,0),3,COUNTIF(resList,"Expert.ru")-1,1)</definedName>
    <definedName name="куукку" hidden="1">OFFSET(Anch,MATCH("Expert.ru",resList,0),3,COUNTIF(resList,"Expert.ru")-1,1)</definedName>
    <definedName name="Кууку" localSheetId="2" hidden="1">OFFSET(Anch,MATCH("Expert.ru",resList,0),3,COUNTIF(resList,"Expert.ru")-1,1)</definedName>
    <definedName name="Кууку" localSheetId="1" hidden="1">OFFSET(Anch,MATCH("Expert.ru",resList,0),3,COUNTIF(resList,"Expert.ru")-1,1)</definedName>
    <definedName name="Кууку" localSheetId="3" hidden="1">OFFSET(Anch,MATCH("Expert.ru",resList,0),3,COUNTIF(resList,"Expert.ru")-1,1)</definedName>
    <definedName name="Кууку" localSheetId="0" hidden="1">OFFSET(Anch,MATCH("Expert.ru",resList,0),3,COUNTIF(resList,"Expert.ru")-1,1)</definedName>
    <definedName name="Кууку" hidden="1">OFFSET(Anch,MATCH("Expert.ru",resList,0),3,COUNTIF(resList,"Expert.ru")-1,1)</definedName>
    <definedName name="л" localSheetId="0" hidden="1">{#N/A,#N/A,TRUE,"Пресса";#N/A,#N/A,TRUE,"Метро";#N/A,#N/A,TRUE,"Щиты";#N/A,#N/A,TRUE,"График";#N/A,#N/A,TRUE,"График"}</definedName>
    <definedName name="л" hidden="1">{#N/A,#N/A,TRUE,"Пресса";#N/A,#N/A,TRUE,"Метро";#N/A,#N/A,TRUE,"Щиты";#N/A,#N/A,TRUE,"График";#N/A,#N/A,TRUE,"График"}</definedName>
    <definedName name="л2" localSheetId="0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ж" localSheetId="2" hidden="1">OFFSET(Anch,MATCH("Echo.Msk.ru",resList,0),3,COUNTIF(resList,"Echo.Msk.ru")-1,1)</definedName>
    <definedName name="лж" localSheetId="1" hidden="1">OFFSET(Anch,MATCH("Echo.Msk.ru",resList,0),3,COUNTIF(resList,"Echo.Msk.ru")-1,1)</definedName>
    <definedName name="лж" localSheetId="3" hidden="1">OFFSET(Anch,MATCH("Echo.Msk.ru",resList,0),3,COUNTIF(resList,"Echo.Msk.ru")-1,1)</definedName>
    <definedName name="лж" localSheetId="0" hidden="1">OFFSET(Anch,MATCH("Echo.Msk.ru",resList,0),3,COUNTIF(resList,"Echo.Msk.ru")-1,1)</definedName>
    <definedName name="лж" hidden="1">OFFSET(Anch,MATCH("Echo.Msk.ru",resList,0),3,COUNTIF(resList,"Echo.Msk.ru")-1,1)</definedName>
    <definedName name="лars" localSheetId="0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0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о" localSheetId="0" hidden="1">[4]XLR_NoRangeSheet!$A$5</definedName>
    <definedName name="о" hidden="1">[4]XLR_NoRangeSheet!$A$5</definedName>
    <definedName name="олд" hidden="1">27</definedName>
    <definedName name="ор" localSheetId="0" hidden="1">[4]XLR_NoRangeSheet!$A$5</definedName>
    <definedName name="ор" hidden="1">[4]XLR_NoRangeSheet!$A$5</definedName>
    <definedName name="пифдлу" localSheetId="0" hidden="1">#REF!</definedName>
    <definedName name="пифдлу" hidden="1">#REF!</definedName>
    <definedName name="погода" localSheetId="2" hidden="1">OFFSET(Anch,MATCH("Auto.ru",resList,0),3,COUNTIF(resList,"Auto.ru")-1,1)</definedName>
    <definedName name="погода" localSheetId="1" hidden="1">OFFSET(Anch,MATCH("Auto.ru",resList,0),3,COUNTIF(resList,"Auto.ru")-1,1)</definedName>
    <definedName name="погода" localSheetId="3" hidden="1">OFFSET(Anch,MATCH("Auto.ru",resList,0),3,COUNTIF(resList,"Auto.ru")-1,1)</definedName>
    <definedName name="погода" localSheetId="0" hidden="1">OFFSET(Anch,MATCH("Auto.ru",resList,0),3,COUNTIF(resList,"Auto.ru")-1,1)</definedName>
    <definedName name="погода" hidden="1">OFFSET(Anch,MATCH("Auto.ru",resList,0),3,COUNTIF(resList,"Auto.ru")-1,1)</definedName>
    <definedName name="про" hidden="1">4</definedName>
    <definedName name="прп" localSheetId="0" hidden="1">{"'siets LAT'!$J$95","'siets LAT'!$J$95"}</definedName>
    <definedName name="прп" hidden="1">{"'siets LAT'!$J$95","'siets LAT'!$J$95"}</definedName>
    <definedName name="_xlnm.Recorder">#REF!</definedName>
    <definedName name="свааао" localSheetId="0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Тв_Називин" localSheetId="0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ук" localSheetId="2" hidden="1">OFFSET(Anch,MATCH("Echo.Msk.ru",resList,0),3,COUNTIF(resList,"Echo.Msk.ru")-1,1)</definedName>
    <definedName name="ук" localSheetId="1" hidden="1">OFFSET(Anch,MATCH("Echo.Msk.ru",resList,0),3,COUNTIF(resList,"Echo.Msk.ru")-1,1)</definedName>
    <definedName name="ук" localSheetId="3" hidden="1">OFFSET(Anch,MATCH("Echo.Msk.ru",resList,0),3,COUNTIF(resList,"Echo.Msk.ru")-1,1)</definedName>
    <definedName name="ук" localSheetId="0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2" hidden="1">OFFSET(Anch,MATCH("Amedia.ru",resList,0),3,COUNTIF(resList,"Amedia.ru")-1,1)</definedName>
    <definedName name="укаука" localSheetId="1" hidden="1">OFFSET(Anch,MATCH("Amedia.ru",resList,0),3,COUNTIF(resList,"Amedia.ru")-1,1)</definedName>
    <definedName name="укаука" localSheetId="3" hidden="1">OFFSET(Anch,MATCH("Amedia.ru",resList,0),3,COUNTIF(resList,"Amedia.ru")-1,1)</definedName>
    <definedName name="укаука" localSheetId="0" hidden="1">OFFSET(Anch,MATCH("Amedia.ru",resList,0),3,COUNTIF(resList,"Amedia.ru")-1,1)</definedName>
    <definedName name="укаука" hidden="1">OFFSET(Anch,MATCH("Amedia.ru",resList,0),3,COUNTIF(resList,"Amedia.ru")-1,1)</definedName>
    <definedName name="Фары" localSheetId="0">#REF!</definedName>
    <definedName name="Фары">#REF!</definedName>
    <definedName name="фвфыв" localSheetId="0" hidden="1">MAX((100%-Flowchart!splitDisc)*(100%-[0]!avtoDisc)*(100%-sasa)*(100%-[0]!discReach),[0]!maxAvto)</definedName>
    <definedName name="фвфыв" hidden="1">MAX((100%-[0]!splitDisc)*(100%-[0]!avtoDisc)*(100%-sasa)*(100%-[0]!discReach),[0]!maxAvto)</definedName>
    <definedName name="ФлоучартСтарый" localSheetId="0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фффййц">#REF!</definedName>
    <definedName name="фыфцйцу">#REF!</definedName>
    <definedName name="цыв" hidden="1">#N/A</definedName>
    <definedName name="щкуж" localSheetId="2" hidden="1">OFFSET(Anch,MATCH("Expert.ru",resList,0),3,COUNTIF(resList,"Expert.ru")-1,1)</definedName>
    <definedName name="щкуж" localSheetId="1" hidden="1">OFFSET(Anch,MATCH("Expert.ru",resList,0),3,COUNTIF(resList,"Expert.ru")-1,1)</definedName>
    <definedName name="щкуж" localSheetId="3" hidden="1">OFFSET(Anch,MATCH("Expert.ru",resList,0),3,COUNTIF(resList,"Expert.ru")-1,1)</definedName>
    <definedName name="щкуж" localSheetId="0" hidden="1">OFFSET(Anch,MATCH("Expert.ru",resList,0),3,COUNTIF(resList,"Expert.ru")-1,1)</definedName>
    <definedName name="щкуж" hidden="1">OFFSET(Anch,MATCH("Expert.ru",resList,0),3,COUNTIF(resList,"Expert.ru")-1,1)</definedName>
    <definedName name="ываыв" localSheetId="0" hidden="1">MAX((100%-Flowchart!splitDisc)*(100%-[0]!avtoDisc)*(100%-Flowchart!agencyDisc)*(100%-[0]!discReach),[0]!maxAvto)</definedName>
    <definedName name="ываыв" hidden="1">MAX((100%-splitDisc)*(100%-[0]!avtoDisc)*(100%-agencyDisc)*(100%-[0]!discReach),[0]!maxAvto)</definedName>
    <definedName name="a" localSheetId="0" hidden="1">{"'siets LAT'!$J$95","'siets LAT'!$J$95"}</definedName>
    <definedName name="a" hidden="1">{"'siets LAT'!$J$95","'siets LAT'!$J$95"}</definedName>
    <definedName name="aa">#REF!</definedName>
    <definedName name="aaa" localSheetId="0" hidden="1">{#N/A,#N/A,TRUE,"Пресса";#N/A,#N/A,TRUE,"Метро";#N/A,#N/A,TRUE,"Щиты";#N/A,#N/A,TRUE,"График";#N/A,#N/A,TRUE,"График"}</definedName>
    <definedName name="aaa" hidden="1">{#N/A,#N/A,TRUE,"Пресса";#N/A,#N/A,TRUE,"Метро";#N/A,#N/A,TRUE,"Щиты";#N/A,#N/A,TRUE,"График";#N/A,#N/A,TRUE,"График"}</definedName>
    <definedName name="ab">#REF!</definedName>
    <definedName name="Abfrage_KW18">#REF!</definedName>
    <definedName name="ac">#REF!</definedName>
    <definedName name="ad">'[5]cic 22-9 - 26-10'!$D$11</definedName>
    <definedName name="Adformat">[6]FormatSpecs!$B$1:$B$71</definedName>
    <definedName name="adresse1Vermarkter">[7]SitesVermarkter!#REF!</definedName>
    <definedName name="Adserverimplementierung">[6]Basisdaten!$H$8:$H$18</definedName>
    <definedName name="afishaDisc" hidden="1">[8]AFISHA.RU!$E$44</definedName>
    <definedName name="afishaDiscTotal" localSheetId="0" hidden="1">MAX((100%-Flowchart!splitDisc)*(100%-[0]!afishaDisc)*(100%-Flowchart!agencyDisc)*(100%-[0]!discReach),[0]!maxAfisha)</definedName>
    <definedName name="afishaDiscTotal" hidden="1">MAX((100%-splitDisc)*(100%-[0]!afishaDisc)*(100%-agencyDisc)*(100%-[0]!discReach),[0]!maxAfisha)</definedName>
    <definedName name="agencyDisc" localSheetId="0" hidden="1">#REF!</definedName>
    <definedName name="agencyDisc" hidden="1">#REF!</definedName>
    <definedName name="aggregate_tag" localSheetId="0">#REF!</definedName>
    <definedName name="aggregate_tag">#REF!</definedName>
    <definedName name="Aggregated_spec" localSheetId="0">#REF!</definedName>
    <definedName name="Aggregated_spec">#REF!</definedName>
    <definedName name="Alti" localSheetId="2">[9]!Alti</definedName>
    <definedName name="Alti" localSheetId="1">[9]!Alti</definedName>
    <definedName name="Alti" localSheetId="3">[9]!Alti</definedName>
    <definedName name="Alti">[9]!Alti</definedName>
    <definedName name="amediaDisc" hidden="1">[8]AMEDIA.RU!$E$49</definedName>
    <definedName name="amediaDiscTotal" localSheetId="0" hidden="1">MAX((100%-Flowchart!splitDisc)*(100%-[0]!amediaDisc)*(100%-Flowchart!agencyDisc)*(100%-[0]!discReach),[0]!maxAmedia)</definedName>
    <definedName name="amediaDiscTotal" hidden="1">MAX((100%-splitDisc)*(100%-[0]!amediaDisc)*(100%-agencyDisc)*(100%-[0]!discReach),[0]!maxAmedia)</definedName>
    <definedName name="anscount" hidden="1">2</definedName>
    <definedName name="apr" localSheetId="0">#REF!</definedName>
    <definedName name="apr">#REF!</definedName>
    <definedName name="area" localSheetId="0">#REF!,#REF!,#REF!,#REF!,#REF!,#REF!,#REF!,#REF!,#REF!,#REF!,#REF!,#REF!,#REF!,#REF!,#REF!,#REF!,#REF!,#REF!,#REF!,#REF!,#REF!,#REF!,#REF!,#REF!</definedName>
    <definedName name="area">#REF!,#REF!,#REF!,#REF!,#REF!,#REF!,#REF!,#REF!,#REF!,#REF!,#REF!,#REF!,#REF!,#REF!,#REF!,#REF!,#REF!,#REF!,#REF!,#REF!,#REF!,#REF!,#REF!,#REF!</definedName>
    <definedName name="AS2DocOpenMode" hidden="1">"AS2DocumentEdit"</definedName>
    <definedName name="asd.xlc" hidden="1">27</definedName>
    <definedName name="asda">#REF!</definedName>
    <definedName name="asdad">#REF!</definedName>
    <definedName name="asdafasf">#REF!</definedName>
    <definedName name="asdda111">#REF!</definedName>
    <definedName name="asddsad">#REF!</definedName>
    <definedName name="asdfakafs.">[7]SitesVermarkter!#REF!</definedName>
    <definedName name="asdlls" localSheetId="0">#REF!</definedName>
    <definedName name="asdlls">#REF!</definedName>
    <definedName name="asdq111d" localSheetId="0">#REF!</definedName>
    <definedName name="asdq111d">#REF!</definedName>
    <definedName name="assss" localSheetId="0" hidden="1">#REF!</definedName>
    <definedName name="assss" hidden="1">#REF!</definedName>
    <definedName name="astek" localSheetId="0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UDI">#REF!</definedName>
    <definedName name="AUDITLISTE">#REF!</definedName>
    <definedName name="aug">#REF!</definedName>
    <definedName name="autoDisc" hidden="1">[8]AUTO.RU!$E$46</definedName>
    <definedName name="autoDiscTotal" localSheetId="0" hidden="1">MAX((100%-Flowchart!splitDisc)*(100%-[0]!autoDisc)*(100%-Flowchart!agencyDisc)*(100%-[0]!discReach),[0]!maxAuto)</definedName>
    <definedName name="autoDiscTotal" hidden="1">MAX((100%-splitDisc)*(100%-[0]!autoDisc)*(100%-agencyDisc)*(100%-[0]!discReach),[0]!maxAuto)</definedName>
    <definedName name="avtoDisc" hidden="1">[8]AVTO.RU!$E$48</definedName>
    <definedName name="avtoDiscTotal" localSheetId="0" hidden="1">MAX((100%-Flowchart!splitDisc)*(100%-[0]!avtoDisc)*(100%-Flowchart!agencyDisc)*(100%-[0]!discReach),[0]!maxAvto)</definedName>
    <definedName name="avtoDiscTotal" hidden="1">MAX((100%-splitDisc)*(100%-[0]!avtoDisc)*(100%-agencyDisc)*(100%-[0]!discReach),[0]!maxAvto)</definedName>
    <definedName name="azer" localSheetId="0">#REF!</definedName>
    <definedName name="azer">#REF!</definedName>
    <definedName name="b" localSheetId="0" hidden="1">{"'siets LAT'!$J$95","'siets LAT'!$J$95"}</definedName>
    <definedName name="b" hidden="1">{"'siets LAT'!$J$95","'siets LAT'!$J$95"}</definedName>
    <definedName name="ba">#REF!</definedName>
    <definedName name="banner">#REF!</definedName>
    <definedName name="basia" localSheetId="0" hidden="1">{"'siets LAT'!$J$95","'siets LAT'!$J$95"}</definedName>
    <definedName name="basia" hidden="1">{"'siets LAT'!$J$95","'siets LAT'!$J$95"}</definedName>
    <definedName name="BB">#REF!</definedName>
    <definedName name="bdgcin">'[10]CINEMA RMB'!#REF!</definedName>
    <definedName name="BDGMTV" localSheetId="0">#REF!</definedName>
    <definedName name="BDGMTV">#REF!</definedName>
    <definedName name="BDGPBL" localSheetId="0">'[11]Conto Sipra'!#REF!</definedName>
    <definedName name="BDGPBL">'[11]Conto Sipra'!#REF!</definedName>
    <definedName name="BDGPER" localSheetId="0">#REF!</definedName>
    <definedName name="BDGPER">#REF!</definedName>
    <definedName name="BDGPRS" localSheetId="0">#REF!</definedName>
    <definedName name="BDGPRS">#REF!</definedName>
    <definedName name="BDGQUO" localSheetId="0">#REF!</definedName>
    <definedName name="BDGQUO">#REF!</definedName>
    <definedName name="BDGSIPRA">#REF!</definedName>
    <definedName name="Beschreibung">#REF!</definedName>
    <definedName name="bla" localSheetId="0" hidden="1">{"'siets LAT'!$J$95","'siets LAT'!$J$95"}</definedName>
    <definedName name="bla" hidden="1">{"'siets LAT'!$J$95","'siets LAT'!$J$95"}</definedName>
    <definedName name="blabla" localSheetId="0" hidden="1">{"'siets LAT'!$J$95","'siets LAT'!$J$95"}</definedName>
    <definedName name="blabla" hidden="1">{"'siets LAT'!$J$95","'siets LAT'!$J$95"}</definedName>
    <definedName name="bn">#REF!</definedName>
    <definedName name="Brand">#REF!</definedName>
    <definedName name="Brutto">'[2]Data CpGRP'!$B$4</definedName>
    <definedName name="budAfisha" localSheetId="2" hidden="1">OFFSET(Anch,MATCH("Afisha.ru",resList,0),3,COUNTIF(resList,"Afisha.ru")-1,1)</definedName>
    <definedName name="budAfisha" localSheetId="1" hidden="1">OFFSET(Anch,MATCH("Afisha.ru",resList,0),3,COUNTIF(resList,"Afisha.ru")-1,1)</definedName>
    <definedName name="budAfisha" localSheetId="3" hidden="1">OFFSET(Anch,MATCH("Afisha.ru",resList,0),3,COUNTIF(resList,"Afisha.ru")-1,1)</definedName>
    <definedName name="budAfisha" localSheetId="0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2" hidden="1">OFFSET(Anch,MATCH("Amedia.ru",resList,0),3,COUNTIF(resList,"Amedia.ru")-1,1)</definedName>
    <definedName name="budAmedia" localSheetId="1" hidden="1">OFFSET(Anch,MATCH("Amedia.ru",resList,0),3,COUNTIF(resList,"Amedia.ru")-1,1)</definedName>
    <definedName name="budAmedia" localSheetId="3" hidden="1">OFFSET(Anch,MATCH("Amedia.ru",resList,0),3,COUNTIF(resList,"Amedia.ru")-1,1)</definedName>
    <definedName name="budAmedia" localSheetId="0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2" hidden="1">OFFSET(Anch,MATCH("Auto.ru",resList,0),3,COUNTIF(resList,"Auto.ru")-1,1)</definedName>
    <definedName name="budAuto" localSheetId="1" hidden="1">OFFSET(Anch,MATCH("Auto.ru",resList,0),3,COUNTIF(resList,"Auto.ru")-1,1)</definedName>
    <definedName name="budAuto" localSheetId="3" hidden="1">OFFSET(Anch,MATCH("Auto.ru",resList,0),3,COUNTIF(resList,"Auto.ru")-1,1)</definedName>
    <definedName name="budAuto" localSheetId="0" hidden="1">OFFSET(Anch,MATCH("Auto.ru",resList,0),3,COUNTIF(resList,"Auto.ru")-1,1)</definedName>
    <definedName name="budAuto" hidden="1">OFFSET(Anch,MATCH("Auto.ru",resList,0),3,COUNTIF(resList,"Auto.ru")-1,1)</definedName>
    <definedName name="budAvto" localSheetId="2" hidden="1">OFFSET(Anch,MATCH("Avto.ru",resList,0),3,COUNTIF(resList,"Avto.ru")-1,1)</definedName>
    <definedName name="budAvto" localSheetId="1" hidden="1">OFFSET(Anch,MATCH("Avto.ru",resList,0),3,COUNTIF(resList,"Avto.ru")-1,1)</definedName>
    <definedName name="budAvto" localSheetId="3" hidden="1">OFFSET(Anch,MATCH("Avto.ru",resList,0),3,COUNTIF(resList,"Avto.ru")-1,1)</definedName>
    <definedName name="budAvto" localSheetId="0" hidden="1">OFFSET(Anch,MATCH("Avto.ru",resList,0),3,COUNTIF(resList,"Avto.ru")-1,1)</definedName>
    <definedName name="budAvto" hidden="1">OFFSET(Anch,MATCH("Avto.ru",resList,0),3,COUNTIF(resList,"Avto.ru")-1,1)</definedName>
    <definedName name="budd3" localSheetId="2" hidden="1">OFFSET(Anch,MATCH("3dnews.ru",resList,0),3,COUNTIF(resList,"3dnews.ru")-1,1)</definedName>
    <definedName name="budd3" localSheetId="1" hidden="1">OFFSET(Anch,MATCH("3dnews.ru",resList,0),3,COUNTIF(resList,"3dnews.ru")-1,1)</definedName>
    <definedName name="budd3" localSheetId="3" hidden="1">OFFSET(Anch,MATCH("3dnews.ru",resList,0),3,COUNTIF(resList,"3dnews.ru")-1,1)</definedName>
    <definedName name="budd3" localSheetId="0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2" hidden="1">OFFSET(Anch,MATCH("Echo.Msk.ru",resList,0),3,COUNTIF(resList,"Echo.Msk.ru")-1,1)</definedName>
    <definedName name="budEcho" localSheetId="1" hidden="1">OFFSET(Anch,MATCH("Echo.Msk.ru",resList,0),3,COUNTIF(resList,"Echo.Msk.ru")-1,1)</definedName>
    <definedName name="budEcho" localSheetId="3" hidden="1">OFFSET(Anch,MATCH("Echo.Msk.ru",resList,0),3,COUNTIF(resList,"Echo.Msk.ru")-1,1)</definedName>
    <definedName name="budEcho" localSheetId="0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2" hidden="1">OFFSET(Anch,MATCH("Expert.ru",resList,0),3,COUNTIF(resList,"Expert.ru")-1,1)</definedName>
    <definedName name="budExpert" localSheetId="1" hidden="1">OFFSET(Anch,MATCH("Expert.ru",resList,0),3,COUNTIF(resList,"Expert.ru")-1,1)</definedName>
    <definedName name="budExpert" localSheetId="3" hidden="1">OFFSET(Anch,MATCH("Expert.ru",resList,0),3,COUNTIF(resList,"Expert.ru")-1,1)</definedName>
    <definedName name="budExpert" localSheetId="0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2" hidden="1">OFFSET(Anch,MATCH("Fashiontime.ru",resList,0),3,COUNTIF(resList,"Fashiontime.ru")-1,1)</definedName>
    <definedName name="budFt" localSheetId="1" hidden="1">OFFSET(Anch,MATCH("Fashiontime.ru",resList,0),3,COUNTIF(resList,"Fashiontime.ru")-1,1)</definedName>
    <definedName name="budFt" localSheetId="3" hidden="1">OFFSET(Anch,MATCH("Fashiontime.ru",resList,0),3,COUNTIF(resList,"Fashiontime.ru")-1,1)</definedName>
    <definedName name="budFt" localSheetId="0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" localSheetId="0">#REF!</definedName>
    <definedName name="BUDG">#REF!</definedName>
    <definedName name="budGazeta" localSheetId="2" hidden="1">OFFSET(Anch,MATCH("Gazeta.ru",resList,0),3,COUNTIF(resList,"Gazeta.ru")-1,1)</definedName>
    <definedName name="budGazeta" localSheetId="1" hidden="1">OFFSET(Anch,MATCH("Gazeta.ru",resList,0),3,COUNTIF(resList,"Gazeta.ru")-1,1)</definedName>
    <definedName name="budGazeta" localSheetId="3" hidden="1">OFFSET(Anch,MATCH("Gazeta.ru",resList,0),3,COUNTIF(resList,"Gazeta.ru")-1,1)</definedName>
    <definedName name="budGazeta" localSheetId="0" hidden="1">OFFSET(Anch,MATCH("Gazeta.ru",resList,0),3,COUNTIF(resList,"Gazeta.ru")-1,1)</definedName>
    <definedName name="budGazeta" hidden="1">OFFSET(Anch,MATCH("Gazeta.ru",resList,0),3,COUNTIF(resList,"Gazeta.ru")-1,1)</definedName>
    <definedName name="budIno" localSheetId="2" hidden="1">OFFSET(Anch,MATCH("Inopressa.ru",resList,0),3,COUNTIF(resList,"Inopressa.ru")-1,1)</definedName>
    <definedName name="budIno" localSheetId="1" hidden="1">OFFSET(Anch,MATCH("Inopressa.ru",resList,0),3,COUNTIF(resList,"Inopressa.ru")-1,1)</definedName>
    <definedName name="budIno" localSheetId="3" hidden="1">OFFSET(Anch,MATCH("Inopressa.ru",resList,0),3,COUNTIF(resList,"Inopressa.ru")-1,1)</definedName>
    <definedName name="budIno" localSheetId="0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2" hidden="1">OFFSET(Anch,MATCH("Kommersant.ru",resList,0),3,COUNTIF(resList,"Kommersant.ru")-1,1)</definedName>
    <definedName name="budKomm" localSheetId="1" hidden="1">OFFSET(Anch,MATCH("Kommersant.ru",resList,0),3,COUNTIF(resList,"Kommersant.ru")-1,1)</definedName>
    <definedName name="budKomm" localSheetId="3" hidden="1">OFFSET(Anch,MATCH("Kommersant.ru",resList,0),3,COUNTIF(resList,"Kommersant.ru")-1,1)</definedName>
    <definedName name="budKomm" localSheetId="0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2" hidden="1">OFFSET(Anch,MATCH("Liveinternet.ru",resList,0),3,COUNTIF(resList,"Liveinternet.ru")-1,1)</definedName>
    <definedName name="budLive" localSheetId="1" hidden="1">OFFSET(Anch,MATCH("Liveinternet.ru",resList,0),3,COUNTIF(resList,"Liveinternet.ru")-1,1)</definedName>
    <definedName name="budLive" localSheetId="3" hidden="1">OFFSET(Anch,MATCH("Liveinternet.ru",resList,0),3,COUNTIF(resList,"Liveinternet.ru")-1,1)</definedName>
    <definedName name="budLive" localSheetId="0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2" hidden="1">OFFSET(Anch,MATCH("Mail.ru",resList,0),3,COUNTIF(resList,"Mail.ru")-1,1)</definedName>
    <definedName name="budMail" localSheetId="1" hidden="1">OFFSET(Anch,MATCH("Mail.ru",resList,0),3,COUNTIF(resList,"Mail.ru")-1,1)</definedName>
    <definedName name="budMail" localSheetId="3" hidden="1">OFFSET(Anch,MATCH("Mail.ru",resList,0),3,COUNTIF(resList,"Mail.ru")-1,1)</definedName>
    <definedName name="budMail" localSheetId="0" hidden="1">OFFSET(Anch,MATCH("Mail.ru",resList,0),3,COUNTIF(resList,"Mail.ru")-1,1)</definedName>
    <definedName name="budMail" hidden="1">OFFSET(Anch,MATCH("Mail.ru",resList,0),3,COUNTIF(resList,"Mail.ru")-1,1)</definedName>
    <definedName name="budMtv" localSheetId="2" hidden="1">OFFSET(Anch,MATCH("MTV.ru",resList,0),3,COUNTIF(resList,"MTV.ru")-1,1)</definedName>
    <definedName name="budMtv" localSheetId="1" hidden="1">OFFSET(Anch,MATCH("MTV.ru",resList,0),3,COUNTIF(resList,"MTV.ru")-1,1)</definedName>
    <definedName name="budMtv" localSheetId="3" hidden="1">OFFSET(Anch,MATCH("MTV.ru",resList,0),3,COUNTIF(resList,"MTV.ru")-1,1)</definedName>
    <definedName name="budMtv" localSheetId="0" hidden="1">OFFSET(Anch,MATCH("MTV.ru",resList,0),3,COUNTIF(resList,"MTV.ru")-1,1)</definedName>
    <definedName name="budMtv" hidden="1">OFFSET(Anch,MATCH("MTV.ru",resList,0),3,COUNTIF(resList,"MTV.ru")-1,1)</definedName>
    <definedName name="budNewsru" localSheetId="2" hidden="1">OFFSET(Anch,MATCH("Newsru.com",resList,0),3,COUNTIF(resList,"Newsru.com")-1,1)</definedName>
    <definedName name="budNewsru" localSheetId="1" hidden="1">OFFSET(Anch,MATCH("Newsru.com",resList,0),3,COUNTIF(resList,"Newsru.com")-1,1)</definedName>
    <definedName name="budNewsru" localSheetId="3" hidden="1">OFFSET(Anch,MATCH("Newsru.com",resList,0),3,COUNTIF(resList,"Newsru.com")-1,1)</definedName>
    <definedName name="budNewsru" localSheetId="0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2" hidden="1">OFFSET(Anch,MATCH("24open.ru",resList,0),3,COUNTIF(resList,"24open.ru")-1,1)</definedName>
    <definedName name="budo24" localSheetId="1" hidden="1">OFFSET(Anch,MATCH("24open.ru",resList,0),3,COUNTIF(resList,"24open.ru")-1,1)</definedName>
    <definedName name="budo24" localSheetId="3" hidden="1">OFFSET(Anch,MATCH("24open.ru",resList,0),3,COUNTIF(resList,"24open.ru")-1,1)</definedName>
    <definedName name="budo24" localSheetId="0" hidden="1">OFFSET(Anch,MATCH("24open.ru",resList,0),3,COUNTIF(resList,"24open.ru")-1,1)</definedName>
    <definedName name="budo24" hidden="1">OFFSET(Anch,MATCH("24open.ru",resList,0),3,COUNTIF(resList,"24open.ru")-1,1)</definedName>
    <definedName name="budRian" localSheetId="2" hidden="1">OFFSET(Anch,MATCH("RIAN.ru",resList,0),3,COUNTIF(resList,"RIAN.ru")-1,1)</definedName>
    <definedName name="budRian" localSheetId="1" hidden="1">OFFSET(Anch,MATCH("RIAN.ru",resList,0),3,COUNTIF(resList,"RIAN.ru")-1,1)</definedName>
    <definedName name="budRian" localSheetId="3" hidden="1">OFFSET(Anch,MATCH("RIAN.ru",resList,0),3,COUNTIF(resList,"RIAN.ru")-1,1)</definedName>
    <definedName name="budRian" localSheetId="0" hidden="1">OFFSET(Anch,MATCH("RIAN.ru",resList,0),3,COUNTIF(resList,"RIAN.ru")-1,1)</definedName>
    <definedName name="budRian" hidden="1">OFFSET(Anch,MATCH("RIAN.ru",resList,0),3,COUNTIF(resList,"RIAN.ru")-1,1)</definedName>
    <definedName name="budSp" localSheetId="2" hidden="1">OFFSET(Anch,MATCH("Sports.ru",resList,0),3,COUNTIF(resList,"Sports.ru")-1,1)</definedName>
    <definedName name="budSp" localSheetId="1" hidden="1">OFFSET(Anch,MATCH("Sports.ru",resList,0),3,COUNTIF(resList,"Sports.ru")-1,1)</definedName>
    <definedName name="budSp" localSheetId="3" hidden="1">OFFSET(Anch,MATCH("Sports.ru",resList,0),3,COUNTIF(resList,"Sports.ru")-1,1)</definedName>
    <definedName name="budSp" localSheetId="0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2" hidden="1">OFFSET(Anch,MATCH("Superstyle.ru",resList,0),3,COUNTIF(resList,"Superstyle.ru")-1,1)</definedName>
    <definedName name="budStyle" localSheetId="1" hidden="1">OFFSET(Anch,MATCH("Superstyle.ru",resList,0),3,COUNTIF(resList,"Superstyle.ru")-1,1)</definedName>
    <definedName name="budStyle" localSheetId="3" hidden="1">OFFSET(Anch,MATCH("Superstyle.ru",resList,0),3,COUNTIF(resList,"Superstyle.ru")-1,1)</definedName>
    <definedName name="budStyle" localSheetId="0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2" hidden="1">OFFSET(Anch,MATCH("Subscribe.ru",resList,0),3,COUNTIF(resList,"Subscribe.ru")-1,1)</definedName>
    <definedName name="budSubscribe" localSheetId="1" hidden="1">OFFSET(Anch,MATCH("Subscribe.ru",resList,0),3,COUNTIF(resList,"Subscribe.ru")-1,1)</definedName>
    <definedName name="budSubscribe" localSheetId="3" hidden="1">OFFSET(Anch,MATCH("Subscribe.ru",resList,0),3,COUNTIF(resList,"Subscribe.ru")-1,1)</definedName>
    <definedName name="budSubscribe" localSheetId="0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okrug" localSheetId="2" hidden="1">OFFSET(Anch,MATCH("Vokrugsveta.ru",resList,0),3,COUNTIF(resList,"Vokrugsveta.ru")-1,1)</definedName>
    <definedName name="budVokrug" localSheetId="1" hidden="1">OFFSET(Anch,MATCH("Vokrugsveta.ru",resList,0),3,COUNTIF(resList,"Vokrugsveta.ru")-1,1)</definedName>
    <definedName name="budVokrug" localSheetId="3" hidden="1">OFFSET(Anch,MATCH("Vokrugsveta.ru",resList,0),3,COUNTIF(resList,"Vokrugsveta.ru")-1,1)</definedName>
    <definedName name="budVokrug" localSheetId="0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2" hidden="1">OFFSET(Anch,MATCH("Vzglyad.ru",resList,0),3,COUNTIF(resList,"Vzglyad.ru")-1,1)</definedName>
    <definedName name="budVzglyad" localSheetId="1" hidden="1">OFFSET(Anch,MATCH("Vzglyad.ru",resList,0),3,COUNTIF(resList,"Vzglyad.ru")-1,1)</definedName>
    <definedName name="budVzglyad" localSheetId="3" hidden="1">OFFSET(Anch,MATCH("Vzglyad.ru",resList,0),3,COUNTIF(resList,"Vzglyad.ru")-1,1)</definedName>
    <definedName name="budVzglyad" localSheetId="0" hidden="1">OFFSET(Anch,MATCH("Vzglyad.ru",resList,0),3,COUNTIF(resList,"Vzglyad.ru")-1,1)</definedName>
    <definedName name="budVzglyad" hidden="1">OFFSET(Anch,MATCH("Vzglyad.ru",resList,0),3,COUNTIF(resList,"Vzglyad.ru")-1,1)</definedName>
    <definedName name="budYa" localSheetId="2" hidden="1">OFFSET(Anch,MATCH("Yandex.ru",resList,0),3,COUNTIF(resList,"Yandex.ru")-1,1)</definedName>
    <definedName name="budYa" localSheetId="1" hidden="1">OFFSET(Anch,MATCH("Yandex.ru",resList,0),3,COUNTIF(resList,"Yandex.ru")-1,1)</definedName>
    <definedName name="budYa" localSheetId="3" hidden="1">OFFSET(Anch,MATCH("Yandex.ru",resList,0),3,COUNTIF(resList,"Yandex.ru")-1,1)</definedName>
    <definedName name="budYa" localSheetId="0" hidden="1">OFFSET(Anch,MATCH("Yandex.ru",resList,0),3,COUNTIF(resList,"Yandex.ru")-1,1)</definedName>
    <definedName name="budYa" hidden="1">OFFSET(Anch,MATCH("Yandex.ru",resList,0),3,COUNTIF(resList,"Yandex.ru")-1,1)</definedName>
    <definedName name="ca" localSheetId="0">#REF!</definedName>
    <definedName name="ca">#REF!</definedName>
    <definedName name="cad" localSheetId="0" hidden="1">[4]XLR_NoRangeSheet!$B$5</definedName>
    <definedName name="cad" hidden="1">[4]XLR_NoRangeSheet!$B$5</definedName>
    <definedName name="CAL" localSheetId="0">#REF!</definedName>
    <definedName name="CAL">#REF!</definedName>
    <definedName name="calcola_indice" localSheetId="0">[12]GRP!#REF!</definedName>
    <definedName name="calcola_indice">[12]GRP!#REF!</definedName>
    <definedName name="calmedia" localSheetId="0">#REF!</definedName>
    <definedName name="calmedia">#REF!</definedName>
    <definedName name="calmedia2" localSheetId="0">#REF!</definedName>
    <definedName name="calmedia2">#REF!</definedName>
    <definedName name="calprod2" localSheetId="0">#REF!</definedName>
    <definedName name="calprod2">#REF!</definedName>
    <definedName name="CALPROD3">#REF!</definedName>
    <definedName name="Calproduit">#REF!</definedName>
    <definedName name="canale5" localSheetId="0">#REF!,#REF!,#REF!,#REF!,#REF!,#REF!,#REF!,#REF!,#REF!,#REF!</definedName>
    <definedName name="canale5">#REF!,#REF!,#REF!,#REF!,#REF!,#REF!,#REF!,#REF!,#REF!,#REF!</definedName>
    <definedName name="canali" localSheetId="0">#REF!</definedName>
    <definedName name="canali">#REF!</definedName>
    <definedName name="cat">#REF!</definedName>
    <definedName name="cc">#REF!</definedName>
    <definedName name="Cēsu" localSheetId="0" hidden="1">{"'siets LAT'!$J$95","'siets LAT'!$J$95"}</definedName>
    <definedName name="Cēsu" hidden="1">{"'siets LAT'!$J$95","'siets LAT'!$J$95"}</definedName>
    <definedName name="Cha">#REF!</definedName>
    <definedName name="ci">'[13]PIANO GENERALE'!#REF!</definedName>
    <definedName name="clb" localSheetId="0">#REF!</definedName>
    <definedName name="clb">#REF!</definedName>
    <definedName name="CLP" localSheetId="0">#REF!</definedName>
    <definedName name="CLP">#REF!</definedName>
    <definedName name="CMERCE" localSheetId="0">#REF!</definedName>
    <definedName name="CMERCE">#REF!</definedName>
    <definedName name="CN" localSheetId="0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oco">#REF!</definedName>
    <definedName name="coco_1">#REF!</definedName>
    <definedName name="coco_2">#REF!</definedName>
    <definedName name="coco_3">#REF!</definedName>
    <definedName name="COMPBL">#REF!</definedName>
    <definedName name="COMPER">#REF!</definedName>
    <definedName name="COMPRS">#REF!</definedName>
    <definedName name="COMQUO">#REF!</definedName>
    <definedName name="cost">#REF!</definedName>
    <definedName name="CPP">#REF!</definedName>
    <definedName name="CSMEZ">#REF!</definedName>
    <definedName name="d3Disc" hidden="1">'[8]3DNEWS.RU'!$E$48</definedName>
    <definedName name="d3DiscTotal" localSheetId="0" hidden="1">MAX((100%-Flowchart!splitDisc)*(100%-[0]!d3Disc)*(100%-Flowchart!agencyDisc)*(100%-[0]!discReach),[0]!maxd3)</definedName>
    <definedName name="d3DiscTotal" hidden="1">MAX((100%-splitDisc)*(100%-[0]!d3Disc)*(100%-agencyDisc)*(100%-[0]!discReach),[0]!maxd3)</definedName>
    <definedName name="daimler" localSheetId="0">#REF!</definedName>
    <definedName name="daimler">#REF!</definedName>
    <definedName name="Dandy_new" localSheetId="0" hidden="1">{"'siets LAT'!$J$95","'siets LAT'!$J$95"}</definedName>
    <definedName name="Dandy_new" hidden="1">{"'siets LAT'!$J$95","'siets LAT'!$J$95"}</definedName>
    <definedName name="dd">'[14]MP 2007'!#REF!</definedName>
    <definedName name="ddd" localSheetId="0">#REF!</definedName>
    <definedName name="ddd">#REF!</definedName>
    <definedName name="de">[15]Spee!$A$63</definedName>
    <definedName name="debby" localSheetId="0">#REF!</definedName>
    <definedName name="debby">#REF!</definedName>
    <definedName name="DEBORA" localSheetId="0">#REF!</definedName>
    <definedName name="DEBORA">#REF!</definedName>
    <definedName name="description" localSheetId="0">#REF!</definedName>
    <definedName name="description">#REF!</definedName>
    <definedName name="dez">#REF!</definedName>
    <definedName name="dfg" localSheetId="0" hidden="1">[4]XLR_NoRangeSheet!$A$5</definedName>
    <definedName name="dfg" hidden="1">[4]XLR_NoRangeSheet!$A$5</definedName>
    <definedName name="dgdg" localSheetId="0" hidden="1">[4]XLR_NoRangeSheet!$A$5</definedName>
    <definedName name="dgdg" hidden="1">[4]XLR_NoRangeSheet!$A$5</definedName>
    <definedName name="discMax" hidden="1">'[8]##'!$Q$20:$Q$42</definedName>
    <definedName name="discReach" hidden="1">#N/A</definedName>
    <definedName name="dolzina">#REF!</definedName>
    <definedName name="dolzina_1">#REF!</definedName>
    <definedName name="dqsqqs">#REF!</definedName>
    <definedName name="Druckbereich_MI">#REF!</definedName>
    <definedName name="Drucktitel2">#REF!</definedName>
    <definedName name="dsdasadsfsf" hidden="1">4</definedName>
    <definedName name="echoDisc" hidden="1">'[8]ECHO.MSK.RU'!$E$49</definedName>
    <definedName name="echoDiscTotal" localSheetId="0" hidden="1">MAX((100%-Flowchart!splitDisc)*(100%-[0]!echoDisc)*(100%-Flowchart!agencyDisc)*(100%-[0]!discReach),[0]!maxEcho)</definedName>
    <definedName name="echoDiscTotal" hidden="1">MAX((100%-splitDisc)*(100%-[0]!echoDisc)*(100%-agencyDisc)*(100%-[0]!discReach),[0]!maxEcho)</definedName>
    <definedName name="EDITION" localSheetId="0">#REF!</definedName>
    <definedName name="EDITION">#REF!</definedName>
    <definedName name="eeeeeee" hidden="1">4</definedName>
    <definedName name="eeeeeeeeeee" hidden="1">27</definedName>
    <definedName name="eh" localSheetId="0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0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0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qwqeq">#REF!</definedName>
    <definedName name="Estimacion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Criteria">[16]LODI!#REF!</definedName>
    <definedName name="Excel_BuiltIn_Extract">[16]LODI!#REF!</definedName>
    <definedName name="expertDisc" hidden="1">[8]EXPERT.RU!$E$50</definedName>
    <definedName name="expertDiscTotal" localSheetId="0" hidden="1">MAX((100%-Flowchart!splitDisc)*(100%-[0]!expertDisc)*(100%-Flowchart!agencyDisc)*(100%-[0]!discReach),[0]!maxExpert)</definedName>
    <definedName name="expertDiscTotal" hidden="1">MAX((100%-splitDisc)*(100%-[0]!expertDisc)*(100%-agencyDisc)*(100%-[0]!discReach),[0]!maxExpert)</definedName>
    <definedName name="extraDelay" localSheetId="0" hidden="1">IF([0]!fixDelay,10%,0)</definedName>
    <definedName name="extraDelay" hidden="1">IF([0]!fixDelay,10%,0)</definedName>
    <definedName name="f" localSheetId="0">#REF!</definedName>
    <definedName name="f">#REF!</definedName>
    <definedName name="FA" localSheetId="0">#REF!,#REF!,#REF!,#REF!,#REF!,#REF!,#REF!,#REF!,#REF!,#REF!,#REF!,#REF!,#REF!,#REF!,#REF!,#REF!,#REF!,#REF!,#REF!,#REF!,#REF!,#REF!,#REF!</definedName>
    <definedName name="FA">#REF!,#REF!,#REF!,#REF!,#REF!,#REF!,#REF!,#REF!,#REF!,#REF!,#REF!,#REF!,#REF!,#REF!,#REF!,#REF!,#REF!,#REF!,#REF!,#REF!,#REF!,#REF!,#REF!</definedName>
    <definedName name="FactsCount">1</definedName>
    <definedName name="FASCIA1" localSheetId="0">#REF!,#REF!,#REF!,#REF!,#REF!,#REF!,#REF!,#REF!,#REF!,#REF!,#REF!,#REF!,#REF!,#REF!,#REF!,#REF!,#REF!,#REF!,#REF!,#REF!,#REF!,#REF!,#REF!</definedName>
    <definedName name="FASCIA1">#REF!,#REF!,#REF!,#REF!,#REF!,#REF!,#REF!,#REF!,#REF!,#REF!,#REF!,#REF!,#REF!,#REF!,#REF!,#REF!,#REF!,#REF!,#REF!,#REF!,#REF!,#REF!,#REF!</definedName>
    <definedName name="FASCIAA" localSheetId="0">#REF!,#REF!,#REF!,#REF!,#REF!,#REF!,#REF!,#REF!,#REF!,#REF!,#REF!,#REF!,#REF!,#REF!,#REF!,#REF!,#REF!,#REF!,#REF!,#REF!,#REF!,#REF!,#REF!,#REF!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B" localSheetId="0">#REF!</definedName>
    <definedName name="FB">#REF!</definedName>
    <definedName name="FD">#REF!</definedName>
    <definedName name="Feb" localSheetId="0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hl1">'[2]Data CpGRP'!$A$60</definedName>
    <definedName name="Fehl2">'[2]Data CpGRP'!$A$61</definedName>
    <definedName name="Fehl3">'[2]Data CpGRP'!$A$62</definedName>
    <definedName name="ffdffdf" hidden="1">27</definedName>
    <definedName name="fff">'[17]MP NEON 2008'!#REF!</definedName>
    <definedName name="fg" localSheetId="0" hidden="1">{#N/A,#N/A,TRUE,"Пресса";#N/A,#N/A,TRUE,"Метро";#N/A,#N/A,TRUE,"Щиты";#N/A,#N/A,TRUE,"График";#N/A,#N/A,TRUE,"График"}</definedName>
    <definedName name="fg" hidden="1">{#N/A,#N/A,TRUE,"Пресса";#N/A,#N/A,TRUE,"Метро";#N/A,#N/A,TRUE,"Щиты";#N/A,#N/A,TRUE,"График";#N/A,#N/A,TRUE,"График"}</definedName>
    <definedName name="fixAfisha" hidden="1">'[18]##'!$I$24</definedName>
    <definedName name="fixAmedia" hidden="1">'[18]##'!$I$35</definedName>
    <definedName name="fixAuto" hidden="1">'[18]##'!$I$29</definedName>
    <definedName name="fixAvto" hidden="1">'[18]##'!$I$30</definedName>
    <definedName name="fixd3" hidden="1">'[18]##'!$I$39</definedName>
    <definedName name="fixDelay" hidden="1">'[8]##'!$F$6</definedName>
    <definedName name="fixEcho" hidden="1">'[18]##'!$I$33</definedName>
    <definedName name="fixExpert" hidden="1">'[18]##'!$I$26</definedName>
    <definedName name="fixFt" hidden="1">'[18]##'!$I$40</definedName>
    <definedName name="fixGazeta" hidden="1">'[18]##'!$I$23</definedName>
    <definedName name="fixIno" hidden="1">'[18]##'!$I$31</definedName>
    <definedName name="fixKomm" hidden="1">'[18]##'!$I$27</definedName>
    <definedName name="fixLive" hidden="1">'[18]##'!$I$38</definedName>
    <definedName name="fixMail" hidden="1">'[18]##'!$I$21</definedName>
    <definedName name="fixMtv" hidden="1">'[18]##'!$I$37</definedName>
    <definedName name="fixN" hidden="1">'[8]##'!$I$43</definedName>
    <definedName name="fixNewsru" hidden="1">'[18]##'!$I$25</definedName>
    <definedName name="fixo24" hidden="1">'[18]##'!$I$42</definedName>
    <definedName name="fixPlan" hidden="1">'[8]##'!$H$3</definedName>
    <definedName name="fixReach" hidden="1">'[8]##'!$F$3</definedName>
    <definedName name="fixRian" hidden="1">'[18]##'!$I$34</definedName>
    <definedName name="fixSp" hidden="1">'[18]##'!$I$41</definedName>
    <definedName name="fixStyle" hidden="1">'[18]##'!$I$32</definedName>
    <definedName name="fixSubscribe" hidden="1">'[18]##'!$I$28</definedName>
    <definedName name="fixVokrug" hidden="1">'[18]##'!$I$36</definedName>
    <definedName name="fixVzglyad" hidden="1">'[18]##'!$I$22</definedName>
    <definedName name="fixYa" hidden="1">'[18]##'!$I$20</definedName>
    <definedName name="fjk" localSheetId="0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0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fos" localSheetId="0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lowchart2" localSheetId="0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reiplindex">#REF!</definedName>
    <definedName name="ftDisc" hidden="1">[8]FASHIONTIME.RU!$E$46</definedName>
    <definedName name="ftDiscTotal" localSheetId="0" hidden="1">MAX((100%-Flowchart!splitDisc)*(100%-[0]!ftDisc)*(100%-Flowchart!agencyDisc)*(100%-[0]!discReach),[0]!maxFt)</definedName>
    <definedName name="ftDiscTotal" hidden="1">MAX((100%-splitDisc)*(100%-[0]!ftDisc)*(100%-agencyDisc)*(100%-[0]!discReach),[0]!maxFt)</definedName>
    <definedName name="Full" localSheetId="0">#REF!</definedName>
    <definedName name="Full">#REF!</definedName>
    <definedName name="FX" localSheetId="0">#REF!</definedName>
    <definedName name="FX">#REF!</definedName>
    <definedName name="G_F0" hidden="1">[19]XLRpt_TempSheet!$B$6</definedName>
    <definedName name="gazetaDisc" hidden="1">[8]GAZETA.RU!$E$53</definedName>
    <definedName name="gazetaDiscTotal" localSheetId="0" hidden="1">MAX((100%-Flowchart!splitDisc)*(100%-[0]!gazetaDisc)*(100%-Flowchart!agencyDisc)*(100%-[0]!discReach),[0]!maxGazeta)</definedName>
    <definedName name="gazetaDiscTotal" hidden="1">MAX((100%-splitDisc)*(100%-[0]!gazetaDisc)*(100%-agencyDisc)*(100%-[0]!discReach),[0]!maxGazeta)</definedName>
    <definedName name="gflisa" localSheetId="0">#REF!</definedName>
    <definedName name="gflisa">#REF!</definedName>
    <definedName name="gg" localSheetId="0">#REF!</definedName>
    <definedName name="gg">#REF!</definedName>
    <definedName name="gh" localSheetId="0">#REF!</definedName>
    <definedName name="gh">#REF!</definedName>
    <definedName name="ghh" localSheetId="0" hidden="1">[4]XLR_NoRangeSheet!$B$5</definedName>
    <definedName name="ghh" hidden="1">[4]XLR_NoRangeSheet!$B$5</definedName>
    <definedName name="ghjk" localSheetId="0">#REF!</definedName>
    <definedName name="ghjk">#REF!</definedName>
    <definedName name="ghvggg" localSheetId="0">#REF!</definedName>
    <definedName name="ghvggg">#REF!</definedName>
    <definedName name="ghvggg_1" localSheetId="0">#REF!</definedName>
    <definedName name="ghvggg_1">#REF!</definedName>
    <definedName name="ghvggg_2">#REF!</definedName>
    <definedName name="gio">#REF!</definedName>
    <definedName name="gjhfg" hidden="1">[19]XLRpt_TempSheet!$B$6</definedName>
    <definedName name="gkfy" localSheetId="0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wer">#REF!</definedName>
    <definedName name="haa">#REF!</definedName>
    <definedName name="HeaderCols">2</definedName>
    <definedName name="HeaderRows">3</definedName>
    <definedName name="hen" localSheetId="0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0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0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gth">#REF!</definedName>
    <definedName name="hhhhhhh">#REF!</definedName>
    <definedName name="HQLogo_1">#REF!</definedName>
    <definedName name="HTML_CodePage" hidden="1">1257</definedName>
    <definedName name="HTML_Control" localSheetId="0" hidden="1">{"'siets LAT'!$J$95","'siets LAT'!$J$95"}</definedName>
    <definedName name="HTML_Control" hidden="1">{"'siets LAT'!$J$95","'siets LAT'!$J$95"}</definedName>
    <definedName name="HTML_Description" hidden="1">""</definedName>
    <definedName name="HTML_Email" hidden="1">""</definedName>
    <definedName name="HTML_Header" hidden="1">"siets LAT"</definedName>
    <definedName name="HTML_LastUpdate" hidden="1">"98.04.24."</definedName>
    <definedName name="HTML_LineAfter" hidden="1">FALSE</definedName>
    <definedName name="HTML_LineBefore" hidden="1">FALSE</definedName>
    <definedName name="HTML_Name" hidden="1">"Guru"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"5 CENU LISTES 1998A"</definedName>
    <definedName name="IL" localSheetId="0">#REF!,#REF!,#REF!,#REF!,#REF!,#REF!,#REF!,#REF!,#REF!,#REF!,#REF!,#REF!,#REF!</definedName>
    <definedName name="IL">#REF!,#REF!,#REF!,#REF!,#REF!,#REF!,#REF!,#REF!,#REF!,#REF!,#REF!,#REF!,#REF!</definedName>
    <definedName name="import" localSheetId="0">#REF!</definedName>
    <definedName name="import">#REF!</definedName>
    <definedName name="Indoor">#REF!</definedName>
    <definedName name="inoDisc" hidden="1">[8]INOPRESSA.RU!$E$49</definedName>
    <definedName name="inoDiscTotal" localSheetId="0" hidden="1">MAX((100%-Flowchart!splitDisc)*(100%-[0]!inoDisc)*(100%-Flowchart!agencyDisc)*(100%-[0]!discReach),[0]!maxIno)</definedName>
    <definedName name="inoDiscTotal" hidden="1">MAX((100%-splitDisc)*(100%-[0]!inoDisc)*(100%-agencyDisc)*(100%-[0]!discReach),[0]!maxIno)</definedName>
    <definedName name="Internet" localSheetId="0">#REF!</definedName>
    <definedName name="Internet">#REF!</definedName>
    <definedName name="io" localSheetId="0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r">#REF!</definedName>
    <definedName name="italia1" localSheetId="0">#REF!,#REF!,#REF!,#REF!,#REF!,#REF!,#REF!,#REF!,#REF!,#REF!,#REF!,#REF!,#REF!</definedName>
    <definedName name="italia1">#REF!,#REF!,#REF!,#REF!,#REF!,#REF!,#REF!,#REF!,#REF!,#REF!,#REF!,#REF!,#REF!</definedName>
    <definedName name="ITCCBDG" localSheetId="0">#REF!</definedName>
    <definedName name="ITCCBDG">#REF!</definedName>
    <definedName name="ITCCCOM">#REF!</definedName>
    <definedName name="ITCCLIST">#REF!</definedName>
    <definedName name="j" localSheetId="0">'[20]MP NEON 2007'!#REF!</definedName>
    <definedName name="j">'[20]MP NEON 2007'!#REF!</definedName>
    <definedName name="jan" localSheetId="0">#REF!</definedName>
    <definedName name="jan">#REF!</definedName>
    <definedName name="jhgjgg" localSheetId="0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ul">#REF!</definedName>
    <definedName name="jun">#REF!</definedName>
    <definedName name="k">[16]LODI!#REF!</definedName>
    <definedName name="katja">'[2]Data CpGRP'!#REF!</definedName>
    <definedName name="Kino" localSheetId="0">#REF!</definedName>
    <definedName name="Kino">#REF!</definedName>
    <definedName name="km" localSheetId="0">#REF!</definedName>
    <definedName name="km">#REF!</definedName>
    <definedName name="kommDisc" hidden="1">[8]KOMMERSANT.RU!$E$44</definedName>
    <definedName name="kommDiscTotal" localSheetId="0" hidden="1">MAX((100%-Flowchart!splitDisc)*(100%-[0]!kommDisc)*(100%-Flowchart!agencyDisc)*(100%-[0]!discReach),[0]!maxKomm)</definedName>
    <definedName name="kommDiscTotal" hidden="1">MAX((100%-splitDisc)*(100%-[0]!kommDisc)*(100%-agencyDisc)*(100%-[0]!discReach),[0]!maxKomm)</definedName>
    <definedName name="KOSIA" localSheetId="0" hidden="1">{"'siets LAT'!$J$95","'siets LAT'!$J$95"}</definedName>
    <definedName name="KOSIA" hidden="1">{"'siets LAT'!$J$95","'siets LAT'!$J$95"}</definedName>
    <definedName name="KostProz_1">'[2]Data Sender-ZS'!$C$15,'[2]Data Sender-ZS'!$C$29,'[2]Data Sender-ZS'!$C$43,'[2]Data Sender-ZS'!$C$57,'[2]Data Sender-ZS'!$C$71,'[2]Data Sender-ZS'!$C$99,'[2]Data Sender-ZS'!$C$113,'[2]Data Sender-ZS'!$C$85</definedName>
    <definedName name="KostProz_10">'[2]Data Sender-ZS'!$L$15,'[2]Data Sender-ZS'!$L$29,'[2]Data Sender-ZS'!$L$43,'[2]Data Sender-ZS'!$L$57,'[2]Data Sender-ZS'!$L$71,'[2]Data Sender-ZS'!$L$85,'[2]Data Sender-ZS'!$L$99,'[2]Data Sender-ZS'!$L$113</definedName>
    <definedName name="KostProz_11">'[2]Data Sender-ZS'!$M$15,'[2]Data Sender-ZS'!$M$29,'[2]Data Sender-ZS'!$M$43,'[2]Data Sender-ZS'!$M$57,'[2]Data Sender-ZS'!$M$71,'[2]Data Sender-ZS'!$M$85,'[2]Data Sender-ZS'!$M$99,'[2]Data Sender-ZS'!$M$113</definedName>
    <definedName name="KostProz_12">'[2]Data Sender-ZS'!$N$15,'[2]Data Sender-ZS'!$N$29,'[2]Data Sender-ZS'!$N$43,'[2]Data Sender-ZS'!$N$57,'[2]Data Sender-ZS'!$N$71,'[2]Data Sender-ZS'!$N$85,'[2]Data Sender-ZS'!$N$99,'[2]Data Sender-ZS'!$N$113</definedName>
    <definedName name="KostProz_2">'[2]Data Sender-ZS'!$D$15,'[2]Data Sender-ZS'!$D$29,'[2]Data Sender-ZS'!$D$43,'[2]Data Sender-ZS'!$D$57,'[2]Data Sender-ZS'!$D$71,'[2]Data Sender-ZS'!$D$85,'[2]Data Sender-ZS'!$D$99,'[2]Data Sender-ZS'!$D$113</definedName>
    <definedName name="KostProz_3">'[2]Data Sender-ZS'!$E$15,'[2]Data Sender-ZS'!$E$29,'[2]Data Sender-ZS'!$E$43,'[2]Data Sender-ZS'!$E$57,'[2]Data Sender-ZS'!$E$71,'[2]Data Sender-ZS'!$E$85,'[2]Data Sender-ZS'!$E$99,'[2]Data Sender-ZS'!$E$113</definedName>
    <definedName name="KostProz_4">'[2]Data Sender-ZS'!$F$15,'[2]Data Sender-ZS'!$F$29,'[2]Data Sender-ZS'!$F$43,'[2]Data Sender-ZS'!$F$57,'[2]Data Sender-ZS'!$F$71,'[2]Data Sender-ZS'!$F$85,'[2]Data Sender-ZS'!$F$99,'[2]Data Sender-ZS'!$F$113</definedName>
    <definedName name="KostProz_5">'[2]Data Sender-ZS'!$G$15,'[2]Data Sender-ZS'!$G$29,'[2]Data Sender-ZS'!$G$43,'[2]Data Sender-ZS'!$G$57,'[2]Data Sender-ZS'!$G$71,'[2]Data Sender-ZS'!$G$85,'[2]Data Sender-ZS'!$G$99,'[2]Data Sender-ZS'!$G$113</definedName>
    <definedName name="KostProz_6">'[2]Data Sender-ZS'!$H$15,'[2]Data Sender-ZS'!$H$29,'[2]Data Sender-ZS'!$H$43,'[2]Data Sender-ZS'!$H$57,'[2]Data Sender-ZS'!$H$71,'[2]Data Sender-ZS'!$H$85,'[2]Data Sender-ZS'!$H$99,'[2]Data Sender-ZS'!$H$113</definedName>
    <definedName name="KostProz_7">'[2]Data Sender-ZS'!$I$15,'[2]Data Sender-ZS'!$I$29,'[2]Data Sender-ZS'!$I$43,'[2]Data Sender-ZS'!$I$57,'[2]Data Sender-ZS'!$I$71,'[2]Data Sender-ZS'!$I$85,'[2]Data Sender-ZS'!$I$99,'[2]Data Sender-ZS'!$I$113</definedName>
    <definedName name="KostProz_8">'[2]Data Sender-ZS'!$J$15,'[2]Data Sender-ZS'!$J$29,'[2]Data Sender-ZS'!$J$43,'[2]Data Sender-ZS'!$J$57,'[2]Data Sender-ZS'!$J$71,'[2]Data Sender-ZS'!$J$85,'[2]Data Sender-ZS'!$J$99,'[2]Data Sender-ZS'!$J$113</definedName>
    <definedName name="KostProz_9">'[2]Data Sender-ZS'!$K$15,'[2]Data Sender-ZS'!$K$29,'[2]Data Sender-ZS'!$K$43,'[2]Data Sender-ZS'!$K$57,'[2]Data Sender-ZS'!$K$71,'[2]Data Sender-ZS'!$K$85,'[2]Data Sender-ZS'!$K$99,'[2]Data Sender-ZS'!$K$113</definedName>
    <definedName name="Kunde">'[2]Data CpGRP'!$B$2</definedName>
    <definedName name="LCV">[1]Vehicles!$B$63:$O$71</definedName>
    <definedName name="Lieferant">#REF!</definedName>
    <definedName name="linkedAfisha" hidden="1">'[8]##'!$C$24</definedName>
    <definedName name="linkedAll" hidden="1">'[8]##'!$C$20:$C$42</definedName>
    <definedName name="linkedAmedia" hidden="1">'[8]##'!$C$35</definedName>
    <definedName name="linkedAuto" hidden="1">'[8]##'!$C$29</definedName>
    <definedName name="linkedAvto" hidden="1">'[8]##'!$C$30</definedName>
    <definedName name="linkedd3" hidden="1">'[8]##'!$C$39</definedName>
    <definedName name="linkedEcho" hidden="1">'[8]##'!$C$33</definedName>
    <definedName name="linkedExpert" hidden="1">'[8]##'!$C$26</definedName>
    <definedName name="linkedFt" hidden="1">'[8]##'!$C$40</definedName>
    <definedName name="linkedGazeta" hidden="1">'[8]##'!$C$23</definedName>
    <definedName name="linkedIno" hidden="1">'[8]##'!$C$31</definedName>
    <definedName name="linkedKomm" hidden="1">'[8]##'!$C$27</definedName>
    <definedName name="linkedLive" hidden="1">'[8]##'!$C$38</definedName>
    <definedName name="linkedMail" hidden="1">'[8]##'!$C$21</definedName>
    <definedName name="linkedMtv" hidden="1">'[8]##'!$C$37</definedName>
    <definedName name="linkedNewsru" hidden="1">'[8]##'!$C$25</definedName>
    <definedName name="linkedo24" hidden="1">'[8]##'!$C$42</definedName>
    <definedName name="linkedRian" hidden="1">'[8]##'!$C$34</definedName>
    <definedName name="linkedSp" hidden="1">'[8]##'!$C$41</definedName>
    <definedName name="linkedStyle" hidden="1">'[8]##'!$C$32</definedName>
    <definedName name="linkedSubscribe" hidden="1">'[8]##'!$C$28</definedName>
    <definedName name="linkedVokrug" hidden="1">'[8]##'!$C$36</definedName>
    <definedName name="linkedVzglyad" hidden="1">'[8]##'!$C$22</definedName>
    <definedName name="linkedYa" hidden="1">'[8]##'!$C$20</definedName>
    <definedName name="lisa" localSheetId="0">#REF!</definedName>
    <definedName name="lisa">#REF!</definedName>
    <definedName name="lisquo" localSheetId="0">#REF!</definedName>
    <definedName name="lisquo">#REF!</definedName>
    <definedName name="LISTMTV" localSheetId="0">#REF!</definedName>
    <definedName name="LISTMTV">#REF!</definedName>
    <definedName name="LISTPBL">#REF!</definedName>
    <definedName name="LISTPER">#REF!</definedName>
    <definedName name="LISTPRS">#REF!</definedName>
    <definedName name="LISTQUO">#REF!</definedName>
    <definedName name="LISTTMC">#REF!</definedName>
    <definedName name="liveDisc" hidden="1">[8]LIVEINTERNET.RU!$E$55</definedName>
    <definedName name="liveDiscTotal" localSheetId="0" hidden="1">MAX((100%-Flowchart!splitDisc)*(100%-[0]!liveDisc)*(100%-Flowchart!agencyDisc)*(100%-[0]!discReach),[0]!maxLive)</definedName>
    <definedName name="liveDiscTotal" hidden="1">MAX((100%-splitDisc)*(100%-[0]!liveDisc)*(100%-agencyDisc)*(100%-[0]!discReach),[0]!maxLive)</definedName>
    <definedName name="lm" localSheetId="0">#REF!</definedName>
    <definedName name="lm">#REF!</definedName>
    <definedName name="LTV_6MONTHNEW" localSheetId="0" hidden="1">{"'siets LAT'!$J$95","'siets LAT'!$J$95"}</definedName>
    <definedName name="LTV_6MONTHNEW" hidden="1">{"'siets LAT'!$J$95","'siets LAT'!$J$95"}</definedName>
    <definedName name="m_plan" localSheetId="0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gazyny">#REF!</definedName>
    <definedName name="mai">#REF!</definedName>
    <definedName name="mailDisc" hidden="1">[8]MAIL.RU!$E$59</definedName>
    <definedName name="mailDiscTotal" localSheetId="0" hidden="1">MAX((100%-Flowchart!splitDisc)*(100%-[0]!mailDisc)*(100%-Flowchart!agencyDisc)*(100%-[0]!discReach),[0]!maxMail)</definedName>
    <definedName name="mailDiscTotal" hidden="1">MAX((100%-splitDisc)*(100%-[0]!mailDisc)*(100%-agencyDisc)*(100%-[0]!discReach),[0]!maxMail)</definedName>
    <definedName name="Martini" localSheetId="0" hidden="1">{"'siets LAT'!$J$95","'siets LAT'!$J$95"}</definedName>
    <definedName name="Martini" hidden="1">{"'siets LAT'!$J$95","'siets LAT'!$J$95"}</definedName>
    <definedName name="material_number">#REF!</definedName>
    <definedName name="maxAfisha" hidden="1">'[8]##'!$O$24</definedName>
    <definedName name="maxAmedia" hidden="1">'[8]##'!$O$35</definedName>
    <definedName name="maxAuto" hidden="1">'[8]##'!$O$29</definedName>
    <definedName name="maxAvto" hidden="1">'[8]##'!$O$30</definedName>
    <definedName name="maxd3" hidden="1">'[8]##'!$O$39</definedName>
    <definedName name="maxEcho" hidden="1">'[8]##'!$O$33</definedName>
    <definedName name="maxExpert" hidden="1">'[8]##'!$O$26</definedName>
    <definedName name="maxFt" hidden="1">'[8]##'!$O$40</definedName>
    <definedName name="maxGazeta" hidden="1">'[8]##'!$O$23</definedName>
    <definedName name="maxIno" hidden="1">'[8]##'!$O$31</definedName>
    <definedName name="maxKomm" hidden="1">'[8]##'!$O$27</definedName>
    <definedName name="maxLive" hidden="1">'[8]##'!$O$38</definedName>
    <definedName name="maxMail" hidden="1">'[8]##'!$O$21</definedName>
    <definedName name="maxMtv" hidden="1">'[8]##'!$O$37</definedName>
    <definedName name="maxNewsru" hidden="1">'[8]##'!$O$25</definedName>
    <definedName name="maxo24" hidden="1">'[8]##'!$O$42</definedName>
    <definedName name="MaxRange">'[21]MA-BL'!#REF!</definedName>
    <definedName name="maxRian" hidden="1">'[8]##'!$O$34</definedName>
    <definedName name="maxSp" hidden="1">'[8]##'!$O$41</definedName>
    <definedName name="maxStyle" hidden="1">'[8]##'!$O$32</definedName>
    <definedName name="maxSubscribe" hidden="1">'[8]##'!$O$28</definedName>
    <definedName name="maxVokrug" hidden="1">'[8]##'!$O$36</definedName>
    <definedName name="maxVzglyad" hidden="1">'[8]##'!$O$22</definedName>
    <definedName name="maxYa" hidden="1">'[8]##'!$O$20</definedName>
    <definedName name="MC">[1]Vehicles!$B$91:$O$99</definedName>
    <definedName name="MCV">[1]Vehicles!$B$49:$O$57</definedName>
    <definedName name="Mfc">#REF!</definedName>
    <definedName name="mmmm">#REF!</definedName>
    <definedName name="monthCol" hidden="1">#REF!</definedName>
    <definedName name="monthFinish" hidden="1">#REF!</definedName>
    <definedName name="months" hidden="1">'[8]##'!$B$3:$B$14</definedName>
    <definedName name="monthSel" localSheetId="0" hidden="1">#REF!</definedName>
    <definedName name="monthSel" hidden="1">#REF!</definedName>
    <definedName name="monthStart" localSheetId="0" hidden="1">#REF!</definedName>
    <definedName name="monthStart" hidden="1">#REF!</definedName>
    <definedName name="mrz" localSheetId="0">#REF!</definedName>
    <definedName name="mrz">#REF!</definedName>
    <definedName name="mtvDisc" hidden="1">[8]MTV.RU!$E$48</definedName>
    <definedName name="mtvDiscTotal" localSheetId="0" hidden="1">MAX((100%-Flowchart!splitDisc)*(100%-[0]!mtvDisc)*(100%-Flowchart!agencyDisc)*(100%-[0]!discReach),[0]!maxMtv)</definedName>
    <definedName name="mtvDiscTotal" hidden="1">MAX((100%-splitDisc)*(100%-[0]!mtvDisc)*(100%-agencyDisc)*(100%-[0]!discReach),[0]!maxMtv)</definedName>
    <definedName name="nameSites">[6]SitesVermarkter!$C:$C</definedName>
    <definedName name="NETMTV" localSheetId="0">#REF!</definedName>
    <definedName name="NETMTV">#REF!</definedName>
    <definedName name="NETPBL" localSheetId="0">#REF!</definedName>
    <definedName name="NETPBL">#REF!</definedName>
    <definedName name="NETPER" localSheetId="0">#REF!</definedName>
    <definedName name="NETPER">#REF!</definedName>
    <definedName name="NETQUO">#REF!</definedName>
    <definedName name="NETTOMTV">#REF!</definedName>
    <definedName name="NETTOSIPRA">#REF!</definedName>
    <definedName name="NETWORK" localSheetId="0">#REF!,#REF!,#REF!,#REF!,#REF!,#REF!,#REF!,#REF!,#REF!,#REF!,#REF!,#REF!,#REF!,#REF!,#REF!</definedName>
    <definedName name="NETWORK">#REF!,#REF!,#REF!,#REF!,#REF!,#REF!,#REF!,#REF!,#REF!,#REF!,#REF!,#REF!,#REF!,#REF!,#REF!</definedName>
    <definedName name="newsruDisc" hidden="1">[8]NEWSRU.COM!$E$49</definedName>
    <definedName name="newsruDiscTotal" localSheetId="0" hidden="1">MAX((100%-Flowchart!splitDisc)*(100%-[0]!newsruDisc)*(100%-Flowchart!agencyDisc)*(100%-[0]!discReach),[0]!maxNewsru)</definedName>
    <definedName name="newsruDiscTotal" hidden="1">MAX((100%-splitDisc)*(100%-[0]!newsruDisc)*(100%-agencyDisc)*(100%-[0]!discReach),[0]!maxNewsru)</definedName>
    <definedName name="normal" localSheetId="2">[9]OT97QUAR!normal</definedName>
    <definedName name="normal" localSheetId="1">[9]OT97QUAR!normal</definedName>
    <definedName name="normal" localSheetId="3">[9]OT97QUAR!normal</definedName>
    <definedName name="normal">[9]OT97QUAR!normal</definedName>
    <definedName name="nov" localSheetId="0">#REF!</definedName>
    <definedName name="nov">#REF!</definedName>
    <definedName name="NTSSPRS" localSheetId="0">#REF!</definedName>
    <definedName name="NTSSPRS">#REF!</definedName>
    <definedName name="NZ" localSheetId="0">#REF!</definedName>
    <definedName name="NZ">#REF!</definedName>
    <definedName name="o24Disc" hidden="1">'[8]24OPEN.RU'!$E$52</definedName>
    <definedName name="o24DiscTotal" localSheetId="0" hidden="1">MAX((100%-Flowchart!splitDisc)*(100%-[0]!o24Disc)*(100%-Flowchart!agencyDisc)*(100%-[0]!discReach),[0]!maxo24)</definedName>
    <definedName name="o24DiscTotal" hidden="1">MAX((100%-splitDisc)*(100%-[0]!o24Disc)*(100%-agencyDisc)*(100%-[0]!discReach),[0]!maxo24)</definedName>
    <definedName name="obla" localSheetId="0" hidden="1">{"'siets LAT'!$J$95","'siets LAT'!$J$95"}</definedName>
    <definedName name="obla" hidden="1">{"'siets LAT'!$J$95","'siets LAT'!$J$95"}</definedName>
    <definedName name="okt">#REF!</definedName>
    <definedName name="old" localSheetId="0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ars" localSheetId="0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0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nl">#REF!</definedName>
    <definedName name="OOG" localSheetId="2" hidden="1">OFFSET(Anch,MATCH("Amedia.ru",resList,0),3,COUNTIF(resList,"Amedia.ru")-1,1)</definedName>
    <definedName name="OOG" localSheetId="1" hidden="1">OFFSET(Anch,MATCH("Amedia.ru",resList,0),3,COUNTIF(resList,"Amedia.ru")-1,1)</definedName>
    <definedName name="OOG" localSheetId="3" hidden="1">OFFSET(Anch,MATCH("Amedia.ru",resList,0),3,COUNTIF(resList,"Amedia.ru")-1,1)</definedName>
    <definedName name="OOG" localSheetId="0" hidden="1">OFFSET(Anch,MATCH("Amedia.ru",resList,0),3,COUNTIF(resList,"Amedia.ru")-1,1)</definedName>
    <definedName name="OOG" hidden="1">OFFSET(Anch,MATCH("Amedia.ru",resList,0),3,COUNTIF(resList,"Amedia.ru")-1,1)</definedName>
    <definedName name="OOh" localSheetId="2" hidden="1">OFFSET(Anch,MATCH("Expert.ru",resList,0),3,COUNTIF(resList,"Expert.ru")-1,1)</definedName>
    <definedName name="OOh" localSheetId="1" hidden="1">OFFSET(Anch,MATCH("Expert.ru",resList,0),3,COUNTIF(resList,"Expert.ru")-1,1)</definedName>
    <definedName name="OOh" localSheetId="3" hidden="1">OFFSET(Anch,MATCH("Expert.ru",resList,0),3,COUNTIF(resList,"Expert.ru")-1,1)</definedName>
    <definedName name="OOh" localSheetId="0" hidden="1">OFFSET(Anch,MATCH("Expert.ru",resList,0),3,COUNTIF(resList,"Expert.ru")-1,1)</definedName>
    <definedName name="OOh" hidden="1">OFFSET(Anch,MATCH("Expert.ru",resList,0),3,COUNTIF(resList,"Expert.ru")-1,1)</definedName>
    <definedName name="op" localSheetId="0">#REF!</definedName>
    <definedName name="op">#REF!</definedName>
    <definedName name="Opti" localSheetId="0">'[2]Data CpGRP'!#REF!</definedName>
    <definedName name="Opti">'[2]Data CpGRP'!#REF!</definedName>
    <definedName name="Outdoor" localSheetId="0">#REF!</definedName>
    <definedName name="Outdoor">#REF!</definedName>
    <definedName name="PA" localSheetId="0">#REF!</definedName>
    <definedName name="PA">#REF!</definedName>
    <definedName name="pathfinder" localSheetId="0" hidden="1">[4]XLR_NoRangeSheet!$A$5</definedName>
    <definedName name="pathfinder" hidden="1">[4]XLR_NoRangeSheet!$A$5</definedName>
    <definedName name="PB" localSheetId="0">#REF!</definedName>
    <definedName name="PB">#REF!</definedName>
    <definedName name="PC" localSheetId="0">#REF!</definedName>
    <definedName name="PC">#REF!</definedName>
    <definedName name="PD" localSheetId="0">#REF!</definedName>
    <definedName name="PD">#REF!</definedName>
    <definedName name="Pemolux" localSheetId="0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rsil" localSheetId="0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0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IANO">#REF!</definedName>
    <definedName name="pippo">#REF!</definedName>
    <definedName name="Platform">#REF!</definedName>
    <definedName name="pluto">#REF!</definedName>
    <definedName name="poiugt" localSheetId="0" hidden="1">[4]XLR_NoRangeSheet!$A$5</definedName>
    <definedName name="poiugt" hidden="1">[4]XLR_NoRangeSheet!$A$5</definedName>
    <definedName name="Pos1_Clicks" localSheetId="0">#REF!</definedName>
    <definedName name="Pos1_Clicks">#REF!</definedName>
    <definedName name="Pos1_CostClick" localSheetId="0">#REF!</definedName>
    <definedName name="Pos1_CostClick">#REF!</definedName>
    <definedName name="Pos1_Monthly" localSheetId="0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rint_BE">#REF!</definedName>
    <definedName name="Print_DE">#REF!</definedName>
    <definedName name="Print_FR">#REF!</definedName>
    <definedName name="Print_main">#REF!</definedName>
    <definedName name="Print_NL">#REF!</definedName>
    <definedName name="Print_SE">#REF!</definedName>
    <definedName name="Print_UK">#REF!</definedName>
    <definedName name="Prod">'[2]Data CpGRP'!$B$3</definedName>
    <definedName name="Product" localSheetId="0">#REF!</definedName>
    <definedName name="Product">#REF!</definedName>
    <definedName name="PVariant">'[2]Data CpGRP'!$B$6</definedName>
    <definedName name="PX" localSheetId="0">#REF!</definedName>
    <definedName name="PX">#REF!</definedName>
    <definedName name="qduua" localSheetId="0" hidden="1">#REF!</definedName>
    <definedName name="qduua" hidden="1">#REF!</definedName>
    <definedName name="qff" localSheetId="0">#REF!</definedName>
    <definedName name="qff">#REF!</definedName>
    <definedName name="qq" hidden="1">4</definedName>
    <definedName name="qqqqqqq" hidden="1">4</definedName>
    <definedName name="qqqqqqqq" hidden="1">27</definedName>
    <definedName name="qsdf">#REF!</definedName>
    <definedName name="Radio">#REF!</definedName>
    <definedName name="RAI" localSheetId="0">#REF!,#REF!,#REF!,#REF!,#REF!,#REF!,#REF!,#REF!,#REF!,#REF!,#REF!,#REF!,#REF!,#REF!,#REF!,#REF!,#REF!,#REF!,#REF!,#REF!,#REF!,#REF!,#REF!</definedName>
    <definedName name="RAI">#REF!,#REF!,#REF!,#REF!,#REF!,#REF!,#REF!,#REF!,#REF!,#REF!,#REF!,#REF!,#REF!,#REF!,#REF!,#REF!,#REF!,#REF!,#REF!,#REF!,#REF!,#REF!,#REF!</definedName>
    <definedName name="Range_1" localSheetId="0">#REF!</definedName>
    <definedName name="Range_1">#REF!</definedName>
    <definedName name="Range_2">#REF!</definedName>
    <definedName name="Range_3">#REF!</definedName>
    <definedName name="Range_4">#REF!</definedName>
    <definedName name="Range_5">#REF!</definedName>
    <definedName name="Report_1_Range_1">#REF!</definedName>
    <definedName name="Report_1_Range_2">#REF!</definedName>
    <definedName name="Report_1_Range_3">#REF!</definedName>
    <definedName name="Report_1_Range_4">#REF!</definedName>
    <definedName name="Report_1_Range_5">#REF!</definedName>
    <definedName name="Report_2_Range_1">#REF!</definedName>
    <definedName name="rete4" localSheetId="0">#REF!,#REF!,#REF!,#REF!,#REF!,#REF!,#REF!,#REF!,#REF!,#REF!,#REF!,#REF!</definedName>
    <definedName name="rete4">#REF!,#REF!,#REF!,#REF!,#REF!,#REF!,#REF!,#REF!,#REF!,#REF!,#REF!,#REF!</definedName>
    <definedName name="rianDisc" hidden="1">'[8]RIAN.RU'!$E$46</definedName>
    <definedName name="rianDiscTotal" localSheetId="0" hidden="1">MAX((100%-Flowchart!splitDisc)*(100%-[0]!rianDisc)*(100%-Flowchart!agencyDisc)*(100%-[0]!discReach),[0]!maxRian)</definedName>
    <definedName name="rianDiscTotal" hidden="1">MAX((100%-splitDisc)*(100%-[0]!rianDisc)*(100%-agencyDisc)*(100%-[0]!discReach),[0]!maxRian)</definedName>
    <definedName name="rMain" localSheetId="0">'[22]Teleport FIX'!#REF!</definedName>
    <definedName name="rMain">'[22]Teleport FIX'!#REF!</definedName>
    <definedName name="rngCommentsBlank" localSheetId="0">#REF!</definedName>
    <definedName name="rngCommentsBlank">#REF!</definedName>
    <definedName name="rngDescription" localSheetId="0">#REF!</definedName>
    <definedName name="rngDescription">#REF!</definedName>
    <definedName name="rngIOyourcontact" localSheetId="0">#REF!</definedName>
    <definedName name="rngIOyourcontact">#REF!</definedName>
    <definedName name="rngTitle">#REF!</definedName>
    <definedName name="Rollton" localSheetId="0" hidden="1">{#N/A,#N/A,TRUE,"Пресса";#N/A,#N/A,TRUE,"Метро";#N/A,#N/A,TRUE,"Щиты";#N/A,#N/A,TRUE,"График";#N/A,#N/A,TRUE,"График"}</definedName>
    <definedName name="Rollton" hidden="1">{#N/A,#N/A,TRUE,"Пресса";#N/A,#N/A,TRUE,"Метро";#N/A,#N/A,TRUE,"Щиты";#N/A,#N/A,TRUE,"График";#N/A,#N/A,TRUE,"График"}</definedName>
    <definedName name="rrrr" localSheetId="0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sadfedfr">#REF!</definedName>
    <definedName name="SAPBEXrevision" hidden="1">6</definedName>
    <definedName name="SAPBEXsysID" hidden="1">"HBP"</definedName>
    <definedName name="SAPBEXwbID" hidden="1">"3ZIPRQHC3J68QW4YD9OZ5AYYW"</definedName>
    <definedName name="sasa" hidden="1">#REF!</definedName>
    <definedName name="SC">[1]Vehicles!$B$77:$O$85</definedName>
    <definedName name="Schaltzeitraum">'[23]12'!$D$13</definedName>
    <definedName name="SCHEDA">[16]LODI!#REF!</definedName>
    <definedName name="SCV">[1]Vehicles!$B$34:$O$42</definedName>
    <definedName name="sd" localSheetId="0" hidden="1">{#N/A,#N/A,TRUE,"Пресса";#N/A,#N/A,TRUE,"Метро";#N/A,#N/A,TRUE,"Щиты";#N/A,#N/A,TRUE,"График";#N/A,#N/A,TRUE,"График"}</definedName>
    <definedName name="sd" hidden="1">{#N/A,#N/A,TRUE,"Пресса";#N/A,#N/A,TRUE,"Метро";#N/A,#N/A,TRUE,"Щиты";#N/A,#N/A,TRUE,"График";#N/A,#N/A,TRUE,"График"}</definedName>
    <definedName name="sep">#REF!</definedName>
    <definedName name="solver_rh" hidden="1">4</definedName>
    <definedName name="solver_tmК" hidden="1">0</definedName>
    <definedName name="solver_tmE" hidden="1">0</definedName>
    <definedName name="solver_tmÊ" hidden="1">0</definedName>
    <definedName name="solver_ty?" hidden="1">3</definedName>
    <definedName name="solver_tyр" hidden="1">3</definedName>
    <definedName name="solver_tyð" hidden="1">3</definedName>
    <definedName name="solver_va" hidden="1">27</definedName>
    <definedName name="spDisc" hidden="1">[8]SPORTS.RU!$E$46</definedName>
    <definedName name="spDiscTotal" localSheetId="0" hidden="1">MAX((100%-Flowchart!splitDisc)*(100%-[0]!spDisc)*(100%-Flowchart!agencyDisc)*(100%-[0]!discReach),[0]!maxSp)</definedName>
    <definedName name="spDiscTotal" hidden="1">MAX((100%-splitDisc)*(100%-[0]!spDisc)*(100%-agencyDisc)*(100%-[0]!discReach),[0]!maxSp)</definedName>
    <definedName name="SPESE" localSheetId="0">#REF!</definedName>
    <definedName name="SPESE">#REF!</definedName>
    <definedName name="splitDisc" localSheetId="0" hidden="1">#REF!</definedName>
    <definedName name="splitDisc" hidden="1">#REF!</definedName>
    <definedName name="SpotForm">'[2]Data CpGRP'!$B$5</definedName>
    <definedName name="Spotl1">'[2]Data CpGRP'!$B$30</definedName>
    <definedName name="Spotl2">'[2]Data CpGRP'!$B$31</definedName>
    <definedName name="Spotl3">'[2]Data CpGRP'!$B$32</definedName>
    <definedName name="Spotl4">'[2]Data CpGRP'!$B$33</definedName>
    <definedName name="Spotl5">'[2]Data CpGRP'!$B$34</definedName>
    <definedName name="Spotl6">'[2]Data CpGRP'!$B$35</definedName>
    <definedName name="Spotl7">'[2]Data CpGRP'!$B$36</definedName>
    <definedName name="Spotl8">'[2]Data CpGRP'!$B$37</definedName>
    <definedName name="status12_6" localSheetId="0">#REF!</definedName>
    <definedName name="status12_6">#REF!</definedName>
    <definedName name="status12_6_1" localSheetId="0">#REF!</definedName>
    <definedName name="status12_6_1">#REF!</definedName>
    <definedName name="status12_6_2" localSheetId="0">#REF!</definedName>
    <definedName name="status12_6_2">#REF!</definedName>
    <definedName name="STIMA" localSheetId="0">[12]GRP!#REF!</definedName>
    <definedName name="STIMA">[12]GRP!#REF!</definedName>
    <definedName name="StudiaforTNK" localSheetId="0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yleDisc" hidden="1">[8]SUPERSTYLE.RU!$E$48</definedName>
    <definedName name="styleDiscTotal" localSheetId="0" hidden="1">MAX((100%-Flowchart!splitDisc)*(100%-[0]!styleDisc)*(100%-Flowchart!agencyDisc)*(100%-[0]!discReach),[0]!maxStyle)</definedName>
    <definedName name="styleDiscTotal" hidden="1">MAX((100%-splitDisc)*(100%-[0]!styleDisc)*(100%-agencyDisc)*(100%-[0]!discReach),[0]!maxStyle)</definedName>
    <definedName name="subscribeDisc" hidden="1">[8]SUBSCRIBE.RU!$E$63</definedName>
    <definedName name="subscribeDiscTotal" localSheetId="0" hidden="1">MAX((100%-Flowchart!splitDisc)*(100%-[0]!subscribeDisc)*(100%-Flowchart!agencyDisc)*(100%-[0]!discReach),[0]!maxSubscribe)</definedName>
    <definedName name="subscribeDiscTotal" hidden="1">MAX((100%-splitDisc)*(100%-[0]!subscribeDisc)*(100%-agencyDisc)*(100%-[0]!discReach),[0]!maxSubscribe)</definedName>
    <definedName name="supplier" localSheetId="0">#REF!</definedName>
    <definedName name="supplier">#REF!</definedName>
    <definedName name="t" localSheetId="0">#REF!</definedName>
    <definedName name="t">#REF!</definedName>
    <definedName name="ta" localSheetId="0">#REF!</definedName>
    <definedName name="ta">#REF!</definedName>
    <definedName name="TABELLE">#REF!</definedName>
    <definedName name="TABLE1">#REF!</definedName>
    <definedName name="TABLE1_1">#REF!</definedName>
    <definedName name="taft1" localSheetId="0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c">#REF!</definedName>
    <definedName name="td">#REF!</definedName>
    <definedName name="tecaj">#REF!</definedName>
    <definedName name="tecaj_1">#REF!</definedName>
    <definedName name="tecaj_frf">#REF!</definedName>
    <definedName name="tecaj_frf_1">#REF!</definedName>
    <definedName name="TelePlan">'[2]Data CpGRP'!$B$11</definedName>
    <definedName name="Telewizja" localSheetId="0">#REF!</definedName>
    <definedName name="Telewizja">#REF!</definedName>
    <definedName name="temp.xls" localSheetId="0">#REF!</definedName>
    <definedName name="temp.xls">#REF!</definedName>
    <definedName name="term" localSheetId="0">#REF!</definedName>
    <definedName name="term">#REF!</definedName>
    <definedName name="test">#REF!</definedName>
    <definedName name="Titolo">#REF!</definedName>
    <definedName name="titre">"Texte 1"</definedName>
    <definedName name="total">#REF!</definedName>
    <definedName name="TOTCOM">#REF!</definedName>
    <definedName name="totquo">#REF!</definedName>
    <definedName name="tt">#REF!</definedName>
    <definedName name="TV" localSheetId="0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y" localSheetId="0" hidden="1">[4]XLR_NoRangeSheet!$A$5</definedName>
    <definedName name="ty" hidden="1">[4]XLR_NoRangeSheet!$A$5</definedName>
    <definedName name="tyui" localSheetId="0">#REF!</definedName>
    <definedName name="tyui">#REF!</definedName>
    <definedName name="u" localSheetId="0" hidden="1">{#N/A,#N/A,TRUE,"Пресса";#N/A,#N/A,TRUE,"Метро";#N/A,#N/A,TRUE,"Щиты";#N/A,#N/A,TRUE,"График";#N/A,#N/A,TRUE,"График"}</definedName>
    <definedName name="u" hidden="1">{#N/A,#N/A,TRUE,"Пресса";#N/A,#N/A,TRUE,"Метро";#N/A,#N/A,TRUE,"Щиты";#N/A,#N/A,TRUE,"График";#N/A,#N/A,TRUE,"График"}</definedName>
    <definedName name="USIA" localSheetId="0" hidden="1">{"'siets LAT'!$J$95","'siets LAT'!$J$95"}</definedName>
    <definedName name="USIA" hidden="1">{"'siets LAT'!$J$95","'siets LAT'!$J$95"}</definedName>
    <definedName name="uu">#REF!</definedName>
    <definedName name="V_F0" hidden="1">[24]XLR_NoRangeSheet!$B$6</definedName>
    <definedName name="V_F1" hidden="1">[24]XLR_NoRangeSheet!$C$6</definedName>
    <definedName name="V_F10" hidden="1">[24]XLR_NoRangeSheet!$L$6</definedName>
    <definedName name="V_F11" hidden="1">[24]XLR_NoRangeSheet!$M$6</definedName>
    <definedName name="V_F12" hidden="1">[24]XLR_NoRangeSheet!$N$6</definedName>
    <definedName name="V_F13" hidden="1">[24]XLR_NoRangeSheet!$O$6</definedName>
    <definedName name="V_F14" hidden="1">[25]XLR_NoRangeSheet!$P$6</definedName>
    <definedName name="V_F15" hidden="1">[25]XLR_NoRangeSheet!$Q$6</definedName>
    <definedName name="V_F2" hidden="1">[24]XLR_NoRangeSheet!$D$6</definedName>
    <definedName name="V_F3" hidden="1">[24]XLR_NoRangeSheet!$E$6</definedName>
    <definedName name="V_F4" hidden="1">[24]XLR_NoRangeSheet!$F$6</definedName>
    <definedName name="V_F5" hidden="1">[24]XLR_NoRangeSheet!$G$6</definedName>
    <definedName name="V_F6" hidden="1">[24]XLR_NoRangeSheet!$H$6</definedName>
    <definedName name="V_F7" hidden="1">[24]XLR_NoRangeSheet!$I$6</definedName>
    <definedName name="V_F8" hidden="1">[24]XLR_NoRangeSheet!$J$6</definedName>
    <definedName name="V_F9" hidden="1">[24]XLR_NoRangeSheet!$K$6</definedName>
    <definedName name="va" hidden="1">27</definedName>
    <definedName name="vaffanculo">#REF!</definedName>
    <definedName name="vasia" localSheetId="0" hidden="1">{"'siets LAT'!$J$95","'siets LAT'!$J$95"}</definedName>
    <definedName name="vasia" hidden="1">{"'siets LAT'!$J$95","'siets LAT'!$J$95"}</definedName>
    <definedName name="vdsydv" localSheetId="0" hidden="1">{#N/A,#N/A,FALSE,"Kostenplan"}</definedName>
    <definedName name="vdsydv" hidden="1">{#N/A,#N/A,FALSE,"Kostenplan"}</definedName>
    <definedName name="ver" localSheetId="0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g">#REF!</definedName>
    <definedName name="vokrugDisc" hidden="1">[8]VOKRUGSVETA.RU!$E$46</definedName>
    <definedName name="vokrugDiscTotal" localSheetId="0" hidden="1">MAX((100%-Flowchart!splitDisc)*(100%-[0]!vokrugDisc)*(100%-Flowchart!agencyDisc)*(100%-[0]!discReach),[0]!maxVokrug)</definedName>
    <definedName name="vokrugDiscTotal" hidden="1">MAX((100%-splitDisc)*(100%-[0]!vokrugDisc)*(100%-agencyDisc)*(100%-[0]!discReach),[0]!maxVokrug)</definedName>
    <definedName name="volume" localSheetId="0">#REF!</definedName>
    <definedName name="volume">#REF!</definedName>
    <definedName name="Volumen" localSheetId="0">#REF!</definedName>
    <definedName name="Volumen">#REF!</definedName>
    <definedName name="Vorspalte_1" localSheetId="0">#REF!</definedName>
    <definedName name="Vorspalte_1">#REF!</definedName>
    <definedName name="Vorspalte_3">#REF!</definedName>
    <definedName name="VP" localSheetId="0" hidden="1">{"'siets LAT'!$J$95","'siets LAT'!$J$95"}</definedName>
    <definedName name="VP" hidden="1">{"'siets LAT'!$J$95","'siets LAT'!$J$95"}</definedName>
    <definedName name="VW_SKODA">#REF!</definedName>
    <definedName name="vzglyadDisc" hidden="1">[8]VZGLYAD.RU!$E$51</definedName>
    <definedName name="vzglyadDiscTotal" localSheetId="0" hidden="1">MAX((100%-Flowchart!splitDisc)*(100%-[0]!vzglyadDisc)*(100%-Flowchart!agencyDisc)*(100%-[0]!discReach),[0]!maxVzglyad)</definedName>
    <definedName name="vzglyadDiscTotal" hidden="1">MAX((100%-splitDisc)*(100%-[0]!vzglyadDisc)*(100%-agencyDisc)*(100%-[0]!discReach),[0]!maxVzglyad)</definedName>
    <definedName name="w" localSheetId="0" hidden="1">{"'siets LAT'!$J$95","'siets LAT'!$J$95"}</definedName>
    <definedName name="w" hidden="1">{"'siets LAT'!$J$95","'siets LAT'!$J$95"}</definedName>
    <definedName name="wege">#REF!</definedName>
    <definedName name="weger">#REF!</definedName>
    <definedName name="wger">#REF!</definedName>
    <definedName name="wgw">#REF!</definedName>
    <definedName name="wree2" hidden="1">4</definedName>
    <definedName name="wrn.astek." localSheetId="0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0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0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0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Kostenplan._.national." localSheetId="0" hidden="1">{#N/A,#N/A,FALSE,"Kostenplan"}</definedName>
    <definedName name="wrn.Kostenplan._.national." hidden="1">{#N/A,#N/A,FALSE,"Kostenplan"}</definedName>
    <definedName name="wrn.test." localSheetId="0" hidden="1">{"Valuation_Common",#N/A,FALSE,"Valuation"}</definedName>
    <definedName name="wrn.test." hidden="1">{"Valuation_Common",#N/A,FALSE,"Valuation"}</definedName>
    <definedName name="wxcv">#REF!</definedName>
    <definedName name="x">#REF!</definedName>
    <definedName name="XLR_ERRNAMESTR" localSheetId="0" hidden="1">[4]XLR_NoRangeSheet!$B$5</definedName>
    <definedName name="XLR_ERRNAMESTR" hidden="1">[4]XLR_NoRangeSheet!$B$5</definedName>
    <definedName name="XLR_VERSION" localSheetId="0" hidden="1">[4]XLR_NoRangeSheet!$A$5</definedName>
    <definedName name="XLR_VERSION" hidden="1">[4]XLR_NoRangeSheet!$A$5</definedName>
    <definedName name="XX" localSheetId="0">#REF!</definedName>
    <definedName name="XX">#REF!</definedName>
    <definedName name="XXX" localSheetId="0">'[26]MP 2008'!#REF!</definedName>
    <definedName name="XXX">'[26]MP 2008'!#REF!</definedName>
    <definedName name="y" localSheetId="0" hidden="1">{#N/A,#N/A,TRUE,"Пресса";#N/A,#N/A,TRUE,"Метро";#N/A,#N/A,TRUE,"Щиты";#N/A,#N/A,TRUE,"График";#N/A,#N/A,TRUE,"График"}</definedName>
    <definedName name="y" hidden="1">{#N/A,#N/A,TRUE,"Пресса";#N/A,#N/A,TRUE,"Метро";#N/A,#N/A,TRUE,"Щиты";#N/A,#N/A,TRUE,"График";#N/A,#N/A,TRUE,"График"}</definedName>
    <definedName name="yaDisc" hidden="1">[8]YANDEX.RU!$E$58</definedName>
    <definedName name="yaDiscTotal" localSheetId="0" hidden="1">MAX((100%-Flowchart!splitDisc)*(100%-[0]!yaDisc)*(100%-Flowchart!agencyDisc)*(100%-[0]!discReach),[0]!maxYa)</definedName>
    <definedName name="yaDiscTotal" hidden="1">MAX((100%-splitDisc)*(100%-[0]!yaDisc)*(100%-agencyDisc)*(100%-[0]!discReach),[0]!maxYa)</definedName>
    <definedName name="Z_6C8421F6_CFBF_4FDF_B4DC_68139B9CA901_.wvu.Cols" localSheetId="0" hidden="1">#REF!,#REF!</definedName>
    <definedName name="Z_6C8421F6_CFBF_4FDF_B4DC_68139B9CA901_.wvu.Cols" hidden="1">#REF!,#REF!</definedName>
    <definedName name="Z_EE74EB5D_6A9A_434D_951C_A4EF7F3B129B_.wvu.FilterData" localSheetId="0" hidden="1">#REF!</definedName>
    <definedName name="Z_EE74EB5D_6A9A_434D_951C_A4EF7F3B129B_.wvu.FilterData" hidden="1">#REF!</definedName>
    <definedName name="zd" hidden="1">#N/A</definedName>
    <definedName name="Zielgruppe">'[2]Data CpGRP'!$B$10</definedName>
    <definedName name="ZZ" localSheetId="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9" l="1"/>
  <c r="R38" i="30"/>
  <c r="U38" i="30"/>
  <c r="T22" i="30"/>
  <c r="V22" i="30" s="1"/>
  <c r="T23" i="30"/>
  <c r="V23" i="30" s="1"/>
  <c r="T24" i="30"/>
  <c r="V24" i="30" s="1"/>
  <c r="T25" i="30"/>
  <c r="V25" i="30" s="1"/>
  <c r="T26" i="30"/>
  <c r="V26" i="30" s="1"/>
  <c r="T27" i="30"/>
  <c r="V27" i="30" s="1"/>
  <c r="T28" i="30"/>
  <c r="V28" i="30" s="1"/>
  <c r="T29" i="30"/>
  <c r="V29" i="30"/>
  <c r="T30" i="30"/>
  <c r="V30" i="30" s="1"/>
  <c r="T31" i="30"/>
  <c r="V31" i="30" s="1"/>
  <c r="T32" i="30"/>
  <c r="V32" i="30" s="1"/>
  <c r="T33" i="30"/>
  <c r="V33" i="30" s="1"/>
  <c r="T34" i="30"/>
  <c r="V34" i="30" s="1"/>
  <c r="T35" i="30"/>
  <c r="V35" i="30" s="1"/>
  <c r="T36" i="30"/>
  <c r="V36" i="30" s="1"/>
  <c r="T37" i="30"/>
  <c r="V37" i="30" s="1"/>
  <c r="T21" i="30"/>
  <c r="V21" i="30" s="1"/>
  <c r="T9" i="30"/>
  <c r="V9" i="30" s="1"/>
  <c r="T20" i="30"/>
  <c r="V20" i="30" s="1"/>
  <c r="T19" i="30"/>
  <c r="V19" i="30" s="1"/>
  <c r="T18" i="30"/>
  <c r="V18" i="30" s="1"/>
  <c r="T17" i="30"/>
  <c r="V17" i="30" s="1"/>
  <c r="T16" i="30"/>
  <c r="V16" i="30" s="1"/>
  <c r="T15" i="30"/>
  <c r="V15" i="30" s="1"/>
  <c r="T14" i="30"/>
  <c r="V14" i="30" s="1"/>
  <c r="T13" i="30"/>
  <c r="V13" i="30" s="1"/>
  <c r="T12" i="30"/>
  <c r="V12" i="30" s="1"/>
  <c r="T11" i="30"/>
  <c r="V11" i="30" s="1"/>
  <c r="T10" i="30"/>
  <c r="V10" i="30" s="1"/>
  <c r="N11" i="26"/>
  <c r="N9" i="26"/>
  <c r="M27" i="9"/>
  <c r="M28" i="9" s="1"/>
  <c r="K12" i="26"/>
  <c r="T28" i="24"/>
  <c r="R56" i="24"/>
  <c r="M11" i="26"/>
  <c r="M10" i="26"/>
  <c r="O10" i="26" s="1"/>
  <c r="M9" i="26"/>
  <c r="V38" i="30" l="1"/>
  <c r="V41" i="30" s="1"/>
  <c r="T38" i="30"/>
  <c r="O9" i="26"/>
  <c r="O11" i="26"/>
  <c r="O12" i="26"/>
  <c r="O15" i="26" s="1"/>
  <c r="M29" i="9"/>
  <c r="M40" i="9"/>
  <c r="M41" i="9" s="1"/>
  <c r="M12" i="26"/>
  <c r="N12" i="26"/>
  <c r="V42" i="30" l="1"/>
  <c r="V43" i="30" s="1"/>
  <c r="O16" i="26" l="1"/>
  <c r="O17" i="26" s="1"/>
  <c r="T23" i="24"/>
  <c r="V23" i="24" s="1"/>
  <c r="T27" i="24"/>
  <c r="V27" i="24" s="1"/>
  <c r="T13" i="24"/>
  <c r="V13" i="24" s="1"/>
  <c r="T19" i="24"/>
  <c r="V19" i="24" s="1"/>
  <c r="T34" i="24"/>
  <c r="V34" i="24" s="1"/>
  <c r="T55" i="24"/>
  <c r="V55" i="24" s="1"/>
  <c r="T54" i="24"/>
  <c r="V54" i="24" s="1"/>
  <c r="T53" i="24"/>
  <c r="V53" i="24" s="1"/>
  <c r="T52" i="24"/>
  <c r="V52" i="24" s="1"/>
  <c r="T51" i="24"/>
  <c r="V51" i="24" s="1"/>
  <c r="T50" i="24"/>
  <c r="V50" i="24" s="1"/>
  <c r="T49" i="24"/>
  <c r="V49" i="24" s="1"/>
  <c r="T48" i="24"/>
  <c r="V48" i="24" s="1"/>
  <c r="T47" i="24"/>
  <c r="V47" i="24" s="1"/>
  <c r="T46" i="24"/>
  <c r="V46" i="24" s="1"/>
  <c r="T45" i="24"/>
  <c r="V45" i="24" s="1"/>
  <c r="T44" i="24"/>
  <c r="V44" i="24" s="1"/>
  <c r="T43" i="24"/>
  <c r="V43" i="24" s="1"/>
  <c r="T42" i="24"/>
  <c r="V42" i="24" s="1"/>
  <c r="T41" i="24"/>
  <c r="V41" i="24" s="1"/>
  <c r="T40" i="24"/>
  <c r="V40" i="24" s="1"/>
  <c r="T39" i="24"/>
  <c r="V39" i="24" s="1"/>
  <c r="T38" i="24"/>
  <c r="V38" i="24" s="1"/>
  <c r="T37" i="24"/>
  <c r="V37" i="24" s="1"/>
  <c r="T36" i="24"/>
  <c r="V36" i="24" s="1"/>
  <c r="T35" i="24"/>
  <c r="V35" i="24" s="1"/>
  <c r="T33" i="24"/>
  <c r="V33" i="24" s="1"/>
  <c r="T32" i="24"/>
  <c r="V32" i="24" s="1"/>
  <c r="T31" i="24"/>
  <c r="V31" i="24" s="1"/>
  <c r="T30" i="24"/>
  <c r="V30" i="24" s="1"/>
  <c r="T29" i="24"/>
  <c r="V29" i="24" s="1"/>
  <c r="V28" i="24"/>
  <c r="T26" i="24"/>
  <c r="V26" i="24" s="1"/>
  <c r="T25" i="24"/>
  <c r="V25" i="24" s="1"/>
  <c r="T24" i="24"/>
  <c r="V24" i="24" s="1"/>
  <c r="T22" i="24"/>
  <c r="V22" i="24" s="1"/>
  <c r="T21" i="24"/>
  <c r="V21" i="24" s="1"/>
  <c r="T20" i="24"/>
  <c r="V20" i="24" s="1"/>
  <c r="T18" i="24"/>
  <c r="V18" i="24" s="1"/>
  <c r="T17" i="24"/>
  <c r="V17" i="24" s="1"/>
  <c r="T16" i="24"/>
  <c r="V16" i="24" s="1"/>
  <c r="T15" i="24"/>
  <c r="V15" i="24" s="1"/>
  <c r="T14" i="24"/>
  <c r="V14" i="24" s="1"/>
  <c r="T12" i="24"/>
  <c r="V12" i="24" s="1"/>
  <c r="T11" i="24"/>
  <c r="V11" i="24" s="1"/>
  <c r="T10" i="24"/>
  <c r="V10" i="24" s="1"/>
  <c r="T9" i="24"/>
  <c r="V9" i="24" s="1"/>
  <c r="M12" i="9"/>
  <c r="N39" i="9"/>
  <c r="V56" i="24" l="1"/>
  <c r="N12" i="9"/>
  <c r="M13" i="9"/>
  <c r="M14" i="9" s="1"/>
  <c r="V59" i="24"/>
  <c r="V60" i="24" s="1"/>
  <c r="V61" i="24" s="1"/>
  <c r="T56" i="24"/>
  <c r="N27" i="9"/>
  <c r="N28" i="9"/>
  <c r="N40" i="9"/>
  <c r="M30" i="9" l="1"/>
  <c r="N30" i="9" s="1"/>
  <c r="M42" i="9"/>
  <c r="N42" i="9" s="1"/>
  <c r="N29" i="9" l="1"/>
  <c r="N13" i="9"/>
  <c r="N41" i="9"/>
  <c r="N14" i="9" l="1"/>
  <c r="M15" i="9"/>
  <c r="N15" i="9" s="1"/>
</calcChain>
</file>

<file path=xl/sharedStrings.xml><?xml version="1.0" encoding="utf-8"?>
<sst xmlns="http://schemas.openxmlformats.org/spreadsheetml/2006/main" count="1499" uniqueCount="346">
  <si>
    <t>Город присутствия Ленты</t>
  </si>
  <si>
    <t>ГМ</t>
  </si>
  <si>
    <t>СМ</t>
  </si>
  <si>
    <t>статика</t>
  </si>
  <si>
    <t>динамика</t>
  </si>
  <si>
    <t>да</t>
  </si>
  <si>
    <t>нет</t>
  </si>
  <si>
    <t>тендер</t>
  </si>
  <si>
    <t>добор</t>
  </si>
  <si>
    <t>Волга</t>
  </si>
  <si>
    <t>Самара</t>
  </si>
  <si>
    <t>ГМ/СМ</t>
  </si>
  <si>
    <t>Дивизион</t>
  </si>
  <si>
    <t>Тольятти</t>
  </si>
  <si>
    <t>Димитровград</t>
  </si>
  <si>
    <t>Ульяновск</t>
  </si>
  <si>
    <t>Нижний Новгород</t>
  </si>
  <si>
    <t>Саранск</t>
  </si>
  <si>
    <t>Чебоксары</t>
  </si>
  <si>
    <t>Йошкар-Ола</t>
  </si>
  <si>
    <t>Казань</t>
  </si>
  <si>
    <t>Альметьевск</t>
  </si>
  <si>
    <t>Набережные Челны</t>
  </si>
  <si>
    <t>Нижнекамск</t>
  </si>
  <si>
    <t>Оренбург</t>
  </si>
  <si>
    <t>Орск</t>
  </si>
  <si>
    <t>Саратов</t>
  </si>
  <si>
    <t>Энгельс</t>
  </si>
  <si>
    <t>Пенза</t>
  </si>
  <si>
    <t>Балаково</t>
  </si>
  <si>
    <t>Уфа</t>
  </si>
  <si>
    <t>Стерлитамак</t>
  </si>
  <si>
    <t>Ижевск</t>
  </si>
  <si>
    <t>Юг</t>
  </si>
  <si>
    <t>Ростов-на-Дону</t>
  </si>
  <si>
    <t>Таганрог</t>
  </si>
  <si>
    <t>Новочеркасск</t>
  </si>
  <si>
    <t>Новошахтинск</t>
  </si>
  <si>
    <t>Шахты</t>
  </si>
  <si>
    <t>Краснодар</t>
  </si>
  <si>
    <t>Новороссийск</t>
  </si>
  <si>
    <t>Майкоп</t>
  </si>
  <si>
    <t>Грозный</t>
  </si>
  <si>
    <t>Волгоград</t>
  </si>
  <si>
    <t>Волжский</t>
  </si>
  <si>
    <t>Астрахань</t>
  </si>
  <si>
    <t>Старополь</t>
  </si>
  <si>
    <t>Железноволдск</t>
  </si>
  <si>
    <t>Армавир</t>
  </si>
  <si>
    <t>Черкесск</t>
  </si>
  <si>
    <t>Воронеж</t>
  </si>
  <si>
    <t>Белгород</t>
  </si>
  <si>
    <t>Липецк</t>
  </si>
  <si>
    <t>Орел</t>
  </si>
  <si>
    <t>Курск</t>
  </si>
  <si>
    <t>Москва</t>
  </si>
  <si>
    <t>Реутов</t>
  </si>
  <si>
    <t>Елино</t>
  </si>
  <si>
    <t>Балашиха</t>
  </si>
  <si>
    <t>Серигиев-Посад</t>
  </si>
  <si>
    <t>Троицк</t>
  </si>
  <si>
    <t>Тарасовка</t>
  </si>
  <si>
    <t>Истра</t>
  </si>
  <si>
    <t>Серпухов</t>
  </si>
  <si>
    <t>Домодедово</t>
  </si>
  <si>
    <t>Видное</t>
  </si>
  <si>
    <t>Наро-Фоминск</t>
  </si>
  <si>
    <t>Луховицы</t>
  </si>
  <si>
    <t>Коломна</t>
  </si>
  <si>
    <t>Череповец</t>
  </si>
  <si>
    <t>Вологда</t>
  </si>
  <si>
    <t>Рязань</t>
  </si>
  <si>
    <t>Иваново</t>
  </si>
  <si>
    <t>Тверь</t>
  </si>
  <si>
    <t>Брянск</t>
  </si>
  <si>
    <t>Ярославль</t>
  </si>
  <si>
    <t>Смоленск</t>
  </si>
  <si>
    <t>Владимир</t>
  </si>
  <si>
    <t>Тула</t>
  </si>
  <si>
    <t>Калуга</t>
  </si>
  <si>
    <t>Обнинск</t>
  </si>
  <si>
    <t>Кострома</t>
  </si>
  <si>
    <t>Сибирь</t>
  </si>
  <si>
    <t>Братск</t>
  </si>
  <si>
    <t>Новосибирск</t>
  </si>
  <si>
    <t>Красноярск</t>
  </si>
  <si>
    <t>Иркутск</t>
  </si>
  <si>
    <t>Ачинск</t>
  </si>
  <si>
    <t>Кемерово</t>
  </si>
  <si>
    <t>Прокопьевск</t>
  </si>
  <si>
    <t>Томск</t>
  </si>
  <si>
    <t>Юрга</t>
  </si>
  <si>
    <t>Омск</t>
  </si>
  <si>
    <t>Барнаул</t>
  </si>
  <si>
    <t>Северо-Запад</t>
  </si>
  <si>
    <t>Санкт-Петербург</t>
  </si>
  <si>
    <t>Волхов</t>
  </si>
  <si>
    <t>Сыктывкар</t>
  </si>
  <si>
    <t>Великий Новгород</t>
  </si>
  <si>
    <t>Петергоф</t>
  </si>
  <si>
    <t>Красное Село</t>
  </si>
  <si>
    <t>Псков</t>
  </si>
  <si>
    <t>Кингисепп</t>
  </si>
  <si>
    <t>Сосновый Бор</t>
  </si>
  <si>
    <t>Петрозаводск</t>
  </si>
  <si>
    <t>Всеволожск</t>
  </si>
  <si>
    <t>Колпино</t>
  </si>
  <si>
    <t>Архангельск</t>
  </si>
  <si>
    <t>Выборг</t>
  </si>
  <si>
    <t>Мурманск</t>
  </si>
  <si>
    <t>Урал</t>
  </si>
  <si>
    <t>Екатеринбург</t>
  </si>
  <si>
    <t>Нижний Тагил</t>
  </si>
  <si>
    <t>Каменск-Уральский</t>
  </si>
  <si>
    <t>Челябинск</t>
  </si>
  <si>
    <t>Магнитогорск</t>
  </si>
  <si>
    <t>Тюмень</t>
  </si>
  <si>
    <t>Тобольск</t>
  </si>
  <si>
    <t>Курган</t>
  </si>
  <si>
    <t>Пермь</t>
  </si>
  <si>
    <t>Сургут</t>
  </si>
  <si>
    <t>Ноябрьск</t>
  </si>
  <si>
    <t>Ханты-Манскийск</t>
  </si>
  <si>
    <t>Апрелевка</t>
  </si>
  <si>
    <t xml:space="preserve">Балашиха </t>
  </si>
  <si>
    <t>Долгопрудный</t>
  </si>
  <si>
    <t>Егорьевск</t>
  </si>
  <si>
    <t>Зеленоград</t>
  </si>
  <si>
    <t>Королев</t>
  </si>
  <si>
    <t>Красногорск</t>
  </si>
  <si>
    <t>Люберцы</t>
  </si>
  <si>
    <t>Малоярославец</t>
  </si>
  <si>
    <t>Мытищи</t>
  </si>
  <si>
    <t>Ногинск</t>
  </si>
  <si>
    <t>Одинцово</t>
  </si>
  <si>
    <t>Орехово-Зуево</t>
  </si>
  <si>
    <t>Селятино</t>
  </si>
  <si>
    <t>Тучково</t>
  </si>
  <si>
    <t>Фрязино</t>
  </si>
  <si>
    <t>Химки (Сходня)</t>
  </si>
  <si>
    <t>Кириши</t>
  </si>
  <si>
    <t>Ломоносов</t>
  </si>
  <si>
    <t>Луга</t>
  </si>
  <si>
    <t>Шлиссельбург</t>
  </si>
  <si>
    <t>Шушары</t>
  </si>
  <si>
    <t>Бердск</t>
  </si>
  <si>
    <t>Искитим</t>
  </si>
  <si>
    <t>Новокузнецк</t>
  </si>
  <si>
    <t>Первоуральск</t>
  </si>
  <si>
    <t>Парголово</t>
  </si>
  <si>
    <t>Кудрово</t>
  </si>
  <si>
    <t>Бугры</t>
  </si>
  <si>
    <t>indoor</t>
  </si>
  <si>
    <t>Центр</t>
  </si>
  <si>
    <t>Центр_ДМФ</t>
  </si>
  <si>
    <t>Мини</t>
  </si>
  <si>
    <t>охват</t>
  </si>
  <si>
    <t>навигация</t>
  </si>
  <si>
    <t>Формат размещения (статика/ динамика)</t>
  </si>
  <si>
    <t>транспорт</t>
  </si>
  <si>
    <t>навигационные знаки</t>
  </si>
  <si>
    <t>Город</t>
  </si>
  <si>
    <t>Кол-во носителей</t>
  </si>
  <si>
    <t>Разрешение</t>
  </si>
  <si>
    <t>Кол-во выходов в блоке</t>
  </si>
  <si>
    <t>Кол-во выходов в сутки</t>
  </si>
  <si>
    <t>АК 5%</t>
  </si>
  <si>
    <t>Ташкент</t>
  </si>
  <si>
    <t xml:space="preserve">Время работы </t>
  </si>
  <si>
    <t>Стоимость за 1 единицу ( без НДС)</t>
  </si>
  <si>
    <t xml:space="preserve">Период размещения </t>
  </si>
  <si>
    <t>Общая сумма (без  АК и НДС)</t>
  </si>
  <si>
    <t>Total без  АК и НДС</t>
  </si>
  <si>
    <t xml:space="preserve">Итоговая сумма </t>
  </si>
  <si>
    <t>Фото конструкции</t>
  </si>
  <si>
    <t xml:space="preserve">Адрес расположения </t>
  </si>
  <si>
    <t>Тип конструкции</t>
  </si>
  <si>
    <t>Размер конструкции</t>
  </si>
  <si>
    <t>Длительность ролика</t>
  </si>
  <si>
    <t>Клиент</t>
  </si>
  <si>
    <t>Проект</t>
  </si>
  <si>
    <t>Контактное лицо</t>
  </si>
  <si>
    <t>Дата</t>
  </si>
  <si>
    <t>Тип Внешней Рекламы</t>
  </si>
  <si>
    <t>Экраны</t>
  </si>
  <si>
    <t xml:space="preserve">Размещение наружной рекламы в Узбекистане </t>
  </si>
  <si>
    <t>экран</t>
  </si>
  <si>
    <t>07.00-23.00</t>
  </si>
  <si>
    <t>250-300</t>
  </si>
  <si>
    <t>Фото</t>
  </si>
  <si>
    <t>8х4</t>
  </si>
  <si>
    <t>6x3</t>
  </si>
  <si>
    <t>6х3</t>
  </si>
  <si>
    <t>(Лабзак) Шайхонтохурский район пересечение улиц Зулфияхоним</t>
  </si>
  <si>
    <t>х</t>
  </si>
  <si>
    <t>Локации</t>
  </si>
  <si>
    <t>Черноголовка</t>
  </si>
  <si>
    <t xml:space="preserve">Стоимость за 1 единицу ( без НДС) со скидкой </t>
  </si>
  <si>
    <t>1920х1080</t>
  </si>
  <si>
    <t>Автобусы</t>
  </si>
  <si>
    <t>Регионы</t>
  </si>
  <si>
    <t>адресная программа подбирается за 2 недели до размещения</t>
  </si>
  <si>
    <t>боковой борт со стеклом</t>
  </si>
  <si>
    <t>правый и левый борт</t>
  </si>
  <si>
    <t>.cdr, .tif</t>
  </si>
  <si>
    <t>4,50х1,85</t>
  </si>
  <si>
    <t>5,60х1,22/2,90х1,22</t>
  </si>
  <si>
    <t>Стоимость производства (без АК и НДС)</t>
  </si>
  <si>
    <t>% cкидки</t>
  </si>
  <si>
    <t>Период размещения (июнь - июль - август)</t>
  </si>
  <si>
    <t xml:space="preserve">Ташкент </t>
  </si>
  <si>
    <t>720х360</t>
  </si>
  <si>
    <t>ул. Айбека и Шахрисабз, на стороне Angels food</t>
  </si>
  <si>
    <t>960х480</t>
  </si>
  <si>
    <t>ул. А. Тимура, ор. ТУИТ, напротив «Ташкентлэнд»</t>
  </si>
  <si>
    <t>ул. Бобура, рядом с Seoul Mun, ТРЦ Next</t>
  </si>
  <si>
    <t>ул. Нукусская и Авлиё Ота (Госпитальный рынок)</t>
  </si>
  <si>
    <t>(РЕСТОРАН PAUL) Юнусабадский район проспект Амира Темура</t>
  </si>
  <si>
    <t>улица Осиё, Макро</t>
  </si>
  <si>
    <t>1920x1080</t>
  </si>
  <si>
    <t>ул. Паркентская и ул. Олтин тепа, возле новостройки</t>
  </si>
  <si>
    <t>ул.Навои и ул.Абай Ор-р Станция метро «А.Навои</t>
  </si>
  <si>
    <t>Ул. Мустакиллик и Шастри, ор. Муз лицей Успенского</t>
  </si>
  <si>
    <t>Перекресток Чимган, ор. ЭкоБазар</t>
  </si>
  <si>
    <t>МКАД - ул. Авлие ота, перекресток Саракулька</t>
  </si>
  <si>
    <t>Full HD,1920х1080</t>
  </si>
  <si>
    <t>Самарканд</t>
  </si>
  <si>
    <t>Бухара</t>
  </si>
  <si>
    <t>Андижан</t>
  </si>
  <si>
    <t>Фергана</t>
  </si>
  <si>
    <t>Наманган</t>
  </si>
  <si>
    <t>ул. Абу Райхон Беруний Ориентир Старый Билайн</t>
  </si>
  <si>
    <t>ул. Беруний и Рудакий Ориентир Вокзал Рататуй Крыша</t>
  </si>
  <si>
    <t>8х5</t>
  </si>
  <si>
    <t>ул. Дагбитская Ориентир Быв Завод ГЕЛИОН</t>
  </si>
  <si>
    <t>ул. Буюк ипак юли Ориентир №1 Остановка Микрорайон</t>
  </si>
  <si>
    <t>7х4</t>
  </si>
  <si>
    <t>ул. А. Темура Ориентир Каримбек</t>
  </si>
  <si>
    <t>ул. М Улугбек Ориентир ГУВД</t>
  </si>
  <si>
    <t>ул. Шохи Зинд Ориентир Сиябский базар</t>
  </si>
  <si>
    <t>ул. Регистан Ориентир Ликеро-водочный завод</t>
  </si>
  <si>
    <t>Проспект Навои и ул. Пиридастгир Ориентир МЕГА МАРКЕТ</t>
  </si>
  <si>
    <t>ул. Абу Али ибн Сино и ул. Гиждуван Ориентир Самарканд дарвоза</t>
  </si>
  <si>
    <t>10х5</t>
  </si>
  <si>
    <t>ул. Зулфия и ул. Академика И.Муминова Ориентир Ресторант Фатхобод</t>
  </si>
  <si>
    <t>ул. Намозгох Ориентир Областная Больница</t>
  </si>
  <si>
    <t>Проспект ул.Бухоро и М.Торовий Ориентир Железнодорожный Вокзал</t>
  </si>
  <si>
    <t>ул.имени Каримова, ориентир: Микрорайон</t>
  </si>
  <si>
    <t>ул. И. Каримова и Хотира Ориентир Траст банк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</si>
  <si>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</si>
  <si>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</si>
  <si>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</si>
  <si>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ул. Лермонтова и Машраб Ориентир Поликлиника N5</t>
  </si>
  <si>
    <t>Проспект Бобура и ул.Машраб Ориентир СЭС, Макро</t>
  </si>
  <si>
    <t>проспект Амир Темура и ул.Турон Ориентир Корзинка</t>
  </si>
  <si>
    <t>ул. Узбекистанская и Бобуршох Ориентир Центр Диагностики</t>
  </si>
  <si>
    <t>проспект Наваи Ориентир Центральный Банк</t>
  </si>
  <si>
    <t>ул. Мустакиллик и Малая кольцевая дорога Ориентир ТАТУ</t>
  </si>
  <si>
    <t>ул. Ахмада Яссавий и Узбекистон овози Ориентир Давр Банк</t>
  </si>
  <si>
    <t>ул. Сайлох и Аль Фергани Ориентир Mobiuz</t>
  </si>
  <si>
    <t>ул. Мураббийлар и Ватан Равнаки Ориентир рынок Алишерка</t>
  </si>
  <si>
    <t>пр. А. Тимура, рядом с офисом Ucell и MobiUz</t>
  </si>
  <si>
    <t>ул. Шахрисабз, ор. Автодорожный университет</t>
  </si>
  <si>
    <t>(Метро Чиланзар) МКАД</t>
  </si>
  <si>
    <t xml:space="preserve">Хумо Арена </t>
  </si>
  <si>
    <t xml:space="preserve">Мкад и ул Ш. Рашидова  , Мечеть Минор </t>
  </si>
  <si>
    <t xml:space="preserve">Ул. А. Темур и Осие, Orient House </t>
  </si>
  <si>
    <t>АБАЯ – КАДЫРИ. МИНСТРОЙ</t>
  </si>
  <si>
    <t>Базары</t>
  </si>
  <si>
    <t>растяжки на базарах</t>
  </si>
  <si>
    <t>ЦА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</si>
  <si>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</si>
  <si>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</si>
  <si>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</si>
  <si>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</si>
  <si>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</si>
  <si>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</si>
  <si>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</si>
  <si>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</si>
  <si>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Сентрябь</t>
  </si>
  <si>
    <t>Октябрь</t>
  </si>
  <si>
    <t>Ноябрь</t>
  </si>
  <si>
    <t>Декабрь</t>
  </si>
  <si>
    <t>UZS</t>
  </si>
  <si>
    <t>USD</t>
  </si>
  <si>
    <t>Net budget (без АК и НДС</t>
  </si>
  <si>
    <t>Total budget with AF</t>
  </si>
  <si>
    <t>Total budget (w/ AF &amp; VAT)</t>
  </si>
  <si>
    <t>Автобусы (Ташкент)</t>
  </si>
  <si>
    <t>Автобусы (Регионы)</t>
  </si>
  <si>
    <t>Led - экраны (Ташкент)</t>
  </si>
  <si>
    <t>Led - экраны (Регионы)</t>
  </si>
  <si>
    <t xml:space="preserve">НиЧ </t>
  </si>
  <si>
    <t>Любятово</t>
  </si>
  <si>
    <t>Растяжки на базарах (Ташкент)</t>
  </si>
  <si>
    <t>Cola</t>
  </si>
  <si>
    <t>Agency fee 5%</t>
  </si>
  <si>
    <t>Черноголовка 2026</t>
  </si>
  <si>
    <t>ул. Хуршида, перекресток Ц5, рядом с Gentlemen pub</t>
  </si>
  <si>
    <t>Андижан, Наманган, Фергана</t>
  </si>
  <si>
    <t>-</t>
  </si>
  <si>
    <t xml:space="preserve">Автобусы регионы </t>
  </si>
  <si>
    <t>Коканд</t>
  </si>
  <si>
    <t>городок Дангара, ориентир: районный Хокимият</t>
  </si>
  <si>
    <t>ул. Шохрухабад и Давронбек Ориентир Mediapark</t>
  </si>
  <si>
    <t>5х3</t>
  </si>
  <si>
    <t>ул. Турон Ориентир Педагогический институт</t>
  </si>
  <si>
    <t xml:space="preserve">ул.Риштан, ориентир: автовокзал Риштан
</t>
  </si>
  <si>
    <t>ул. Мовароуннахр Ориентир Вокзал</t>
  </si>
  <si>
    <t>ул . Чархий ,(Амира Тимура ) ориентир Алтаир</t>
  </si>
  <si>
    <t xml:space="preserve">Наманган </t>
  </si>
  <si>
    <t>ул.Н. Намангани Ориентир: Поликлиника №1</t>
  </si>
  <si>
    <t>ул. Туракурган и ул. А. Наваи Ориентир ШОДЛИК</t>
  </si>
  <si>
    <t xml:space="preserve"> перекрёсток ул.имени Каримова и Маргиланская, ориентир Асака банк, ТЦ Исфархон</t>
  </si>
  <si>
    <t>ул.Миллий Тикланиш Ориентир: Гостиница Богишамол</t>
  </si>
  <si>
    <t>ул.Шабнам Ориентир: Сакура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</si>
  <si>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</si>
  <si>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</si>
  <si>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Сайлох Ориентир Ресторан Трактир (Taj Mahal)</t>
  </si>
  <si>
    <t>ots</t>
  </si>
  <si>
    <t>rating</t>
  </si>
  <si>
    <t>universe</t>
  </si>
  <si>
    <t>Общий Регионы</t>
  </si>
  <si>
    <t>Охват 01+</t>
  </si>
  <si>
    <t>Охват 02+</t>
  </si>
  <si>
    <t>Охват 03+</t>
  </si>
  <si>
    <t>Охват 04+</t>
  </si>
  <si>
    <t>Охват 05+</t>
  </si>
  <si>
    <t>Охват 08+</t>
  </si>
  <si>
    <t>Охват 10+</t>
  </si>
  <si>
    <t>Охват 12+</t>
  </si>
  <si>
    <t>Охват 14+</t>
  </si>
  <si>
    <t>Охват 15+</t>
  </si>
  <si>
    <t>Охват 16+</t>
  </si>
  <si>
    <t>Охват 18+</t>
  </si>
  <si>
    <t>Охват 20+</t>
  </si>
  <si>
    <t>Охват 25+</t>
  </si>
  <si>
    <t>Охват 30+</t>
  </si>
  <si>
    <t>Охват 40+</t>
  </si>
  <si>
    <t>Охват 50+</t>
  </si>
  <si>
    <t>Охват 60+</t>
  </si>
  <si>
    <t>охват в чел</t>
  </si>
  <si>
    <t>x</t>
  </si>
  <si>
    <t>16-39 all</t>
  </si>
  <si>
    <t>Общий регионы</t>
  </si>
  <si>
    <t>Общий Ташкент + Регионы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</si>
</sst>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* #,##0\ [$UZS]_-;\-* #,##0\ [$UZS]_-;_-* &quot;-&quot;??\ [$UZS]_-;_-@_-"/>
    <numFmt numFmtId="165" formatCode="#,##0\ [$UZS]"/>
    <numFmt numFmtId="166" formatCode="_-* #,##0\ _U_Z_S_-;\-* #,##0\ _U_Z_S_-;_-* &quot;-&quot;\ _U_Z_S_-;_-@_-"/>
    <numFmt numFmtId="167" formatCode="#,##0\ [$UZS];[Red]#,##0\ [$UZS]"/>
    <numFmt numFmtId="168" formatCode="#,##0\ &quot;UZS&quot;"/>
    <numFmt numFmtId="169" formatCode="_-* #,##0.00\ _U_Z_S_-;\-* #,##0.00\ _U_Z_S_-;_-* &quot;-&quot;??\ _U_Z_S_-;_-@_-"/>
    <numFmt numFmtId="170" formatCode="#,##0.00\ [$UZS];[Red]#,##0.00\ [$UZS]"/>
    <numFmt numFmtId="171" formatCode="#,##0.00\ &quot;UZS&quot;"/>
    <numFmt numFmtId="172" formatCode="#,##0\ [$USD]"/>
  </numFmts>
  <fonts count="43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8" tint="-0.249977111117893"/>
      <name val="Arial"/>
      <family val="2"/>
    </font>
    <font>
      <sz val="11"/>
      <color rgb="FF000000"/>
      <name val="Calibri"/>
      <family val="2"/>
    </font>
    <font>
      <u/>
      <sz val="11"/>
      <color theme="8" tint="-0.249977111117893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name val="Calibri"/>
      <family val="2"/>
      <charset val="204"/>
    </font>
    <font>
      <b/>
      <sz val="11"/>
      <color theme="0"/>
      <name val="Calibri"/>
      <family val="2"/>
      <charset val="204"/>
    </font>
    <font>
      <b/>
      <sz val="11"/>
      <color theme="8"/>
      <name val="Calibri"/>
      <family val="2"/>
      <charset val="204"/>
    </font>
    <font>
      <b/>
      <sz val="11"/>
      <color theme="8" tint="-0.249977111117893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</font>
    <font>
      <u/>
      <sz val="11"/>
      <color theme="8" tint="-0.249977111117893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4" tint="-0.499984740745262"/>
      <name val="Calibri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AD5AB"/>
        <bgColor rgb="FF9AD5AB"/>
      </patternFill>
    </fill>
    <fill>
      <patternFill patternType="solid">
        <fgColor rgb="FF9CD5AC"/>
        <bgColor rgb="FF9CD5AC"/>
      </patternFill>
    </fill>
    <fill>
      <patternFill patternType="solid">
        <fgColor rgb="FF9DD6AD"/>
        <bgColor rgb="FF9DD6AD"/>
      </patternFill>
    </fill>
    <fill>
      <patternFill patternType="solid">
        <fgColor rgb="FF9FD6AE"/>
        <bgColor rgb="FF9FD6AE"/>
      </patternFill>
    </fill>
    <fill>
      <patternFill patternType="solid">
        <fgColor rgb="FFA0D7B0"/>
        <bgColor rgb="FFA0D7B0"/>
      </patternFill>
    </fill>
    <fill>
      <patternFill patternType="solid">
        <fgColor rgb="FFA5D9B4"/>
        <bgColor rgb="FFA5D9B4"/>
      </patternFill>
    </fill>
    <fill>
      <patternFill patternType="solid">
        <fgColor rgb="FFA9DBB8"/>
        <bgColor rgb="FFA9DBB8"/>
      </patternFill>
    </fill>
    <fill>
      <patternFill patternType="solid">
        <fgColor rgb="FFAEDDBC"/>
        <bgColor rgb="FFAEDDBC"/>
      </patternFill>
    </fill>
    <fill>
      <patternFill patternType="solid">
        <fgColor rgb="FFB3DFC0"/>
        <bgColor rgb="FFB3DFC0"/>
      </patternFill>
    </fill>
    <fill>
      <patternFill patternType="solid">
        <fgColor rgb="FFB6E0C2"/>
        <bgColor rgb="FFB6E0C2"/>
      </patternFill>
    </fill>
    <fill>
      <patternFill patternType="solid">
        <fgColor rgb="FFB8E1C5"/>
        <bgColor rgb="FFB8E1C5"/>
      </patternFill>
    </fill>
    <fill>
      <patternFill patternType="solid">
        <fgColor rgb="FFBDE3C9"/>
        <bgColor rgb="FFBDE3C9"/>
      </patternFill>
    </fill>
    <fill>
      <patternFill patternType="solid">
        <fgColor rgb="FFC2E5CD"/>
        <bgColor rgb="FFC2E5CD"/>
      </patternFill>
    </fill>
    <fill>
      <patternFill patternType="solid">
        <fgColor rgb="FFCEE9D7"/>
        <bgColor rgb="FFCEE9D7"/>
      </patternFill>
    </fill>
    <fill>
      <patternFill patternType="solid">
        <fgColor rgb="FFD8EEE0"/>
        <bgColor rgb="FFD8EEE0"/>
      </patternFill>
    </fill>
    <fill>
      <patternFill patternType="solid">
        <fgColor rgb="FFE7F4ED"/>
        <bgColor rgb="FFE7F4ED"/>
      </patternFill>
    </fill>
    <fill>
      <patternFill patternType="solid">
        <fgColor rgb="FFF0F8F5"/>
        <bgColor rgb="FFF0F8F5"/>
      </patternFill>
    </fill>
    <fill>
      <patternFill patternType="solid">
        <fgColor rgb="FFF6FAFA"/>
        <bgColor rgb="FFF6FAFA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6" fillId="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1" fontId="1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</cellStyleXfs>
  <cellXfs count="206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/>
    <xf numFmtId="0" fontId="13" fillId="5" borderId="0" xfId="0" applyFont="1" applyFill="1"/>
    <xf numFmtId="0" fontId="1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5" borderId="0" xfId="7" applyFill="1" applyAlignment="1">
      <alignment horizontal="center" vertical="center"/>
    </xf>
    <xf numFmtId="14" fontId="5" fillId="5" borderId="0" xfId="7" applyNumberFormat="1" applyFill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8" fillId="5" borderId="8" xfId="7" applyFont="1" applyFill="1" applyBorder="1" applyAlignment="1">
      <alignment horizontal="left" vertical="center"/>
    </xf>
    <xf numFmtId="14" fontId="18" fillId="5" borderId="8" xfId="7" applyNumberFormat="1" applyFont="1" applyFill="1" applyBorder="1" applyAlignment="1">
      <alignment horizontal="left" vertical="center"/>
    </xf>
    <xf numFmtId="0" fontId="16" fillId="4" borderId="8" xfId="7" applyFont="1" applyFill="1" applyBorder="1" applyAlignment="1">
      <alignment horizontal="left" vertical="center"/>
    </xf>
    <xf numFmtId="3" fontId="5" fillId="5" borderId="0" xfId="0" applyNumberFormat="1" applyFont="1" applyFill="1" applyAlignment="1">
      <alignment horizontal="center" vertical="center"/>
    </xf>
    <xf numFmtId="0" fontId="20" fillId="4" borderId="2" xfId="0" applyFont="1" applyFill="1" applyBorder="1" applyAlignment="1" applyProtection="1">
      <alignment horizontal="left" vertical="center" wrapText="1"/>
      <protection locked="0"/>
    </xf>
    <xf numFmtId="165" fontId="0" fillId="5" borderId="3" xfId="0" applyNumberFormat="1" applyFill="1" applyBorder="1" applyAlignment="1" applyProtection="1">
      <alignment horizontal="left" vertical="center"/>
      <protection locked="0"/>
    </xf>
    <xf numFmtId="0" fontId="20" fillId="4" borderId="4" xfId="0" applyFont="1" applyFill="1" applyBorder="1" applyAlignment="1" applyProtection="1">
      <alignment horizontal="left" vertical="center"/>
      <protection locked="0"/>
    </xf>
    <xf numFmtId="165" fontId="0" fillId="5" borderId="5" xfId="4" applyNumberFormat="1" applyFont="1" applyFill="1" applyBorder="1" applyAlignment="1" applyProtection="1">
      <alignment horizontal="left" vertical="center"/>
    </xf>
    <xf numFmtId="0" fontId="20" fillId="4" borderId="6" xfId="0" applyFont="1" applyFill="1" applyBorder="1" applyAlignment="1">
      <alignment horizontal="left" vertical="center" wrapText="1"/>
    </xf>
    <xf numFmtId="165" fontId="0" fillId="5" borderId="7" xfId="0" applyNumberFormat="1" applyFill="1" applyBorder="1" applyAlignment="1">
      <alignment horizontal="left" vertical="center"/>
    </xf>
    <xf numFmtId="0" fontId="22" fillId="5" borderId="8" xfId="5" applyFont="1" applyFill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 readingOrder="1"/>
    </xf>
    <xf numFmtId="0" fontId="19" fillId="5" borderId="8" xfId="0" applyFont="1" applyFill="1" applyBorder="1" applyAlignment="1" applyProtection="1">
      <alignment horizontal="left" vertical="center"/>
      <protection locked="0"/>
    </xf>
    <xf numFmtId="165" fontId="19" fillId="5" borderId="8" xfId="0" applyNumberFormat="1" applyFont="1" applyFill="1" applyBorder="1" applyAlignment="1">
      <alignment horizontal="left" vertical="center"/>
    </xf>
    <xf numFmtId="0" fontId="13" fillId="5" borderId="0" xfId="0" applyFont="1" applyFill="1" applyAlignment="1">
      <alignment horizontal="left"/>
    </xf>
    <xf numFmtId="0" fontId="23" fillId="5" borderId="8" xfId="0" applyFont="1" applyFill="1" applyBorder="1" applyAlignment="1">
      <alignment horizontal="left" vertical="center" wrapText="1" readingOrder="1"/>
    </xf>
    <xf numFmtId="167" fontId="13" fillId="5" borderId="8" xfId="0" applyNumberFormat="1" applyFont="1" applyFill="1" applyBorder="1" applyAlignment="1">
      <alignment horizontal="left" vertical="center"/>
    </xf>
    <xf numFmtId="168" fontId="23" fillId="5" borderId="8" xfId="0" applyNumberFormat="1" applyFont="1" applyFill="1" applyBorder="1" applyAlignment="1">
      <alignment horizontal="left" vertical="center" wrapText="1" shrinkToFit="1"/>
    </xf>
    <xf numFmtId="0" fontId="23" fillId="0" borderId="8" xfId="0" applyFont="1" applyBorder="1" applyAlignment="1">
      <alignment horizontal="left" vertical="center" readingOrder="1"/>
    </xf>
    <xf numFmtId="9" fontId="25" fillId="5" borderId="8" xfId="15" applyFont="1" applyFill="1" applyBorder="1" applyAlignment="1">
      <alignment horizontal="center" vertical="center"/>
    </xf>
    <xf numFmtId="164" fontId="13" fillId="5" borderId="8" xfId="6" applyNumberFormat="1" applyFont="1" applyFill="1" applyBorder="1" applyAlignment="1">
      <alignment horizontal="left" vertical="center" wrapText="1" shrinkToFit="1"/>
    </xf>
    <xf numFmtId="0" fontId="13" fillId="5" borderId="0" xfId="0" applyFont="1" applyFill="1" applyAlignment="1">
      <alignment horizontal="left" vertical="center"/>
    </xf>
    <xf numFmtId="0" fontId="29" fillId="5" borderId="8" xfId="5" applyFont="1" applyFill="1" applyBorder="1" applyAlignment="1">
      <alignment horizontal="left" vertical="center"/>
    </xf>
    <xf numFmtId="0" fontId="13" fillId="5" borderId="0" xfId="16" applyFont="1" applyFill="1" applyAlignment="1">
      <alignment horizontal="left"/>
    </xf>
    <xf numFmtId="0" fontId="30" fillId="6" borderId="13" xfId="16" applyFont="1" applyFill="1" applyBorder="1" applyAlignment="1">
      <alignment horizontal="left" vertical="center"/>
    </xf>
    <xf numFmtId="0" fontId="13" fillId="5" borderId="13" xfId="16" applyFont="1" applyFill="1" applyBorder="1" applyAlignment="1">
      <alignment vertical="center"/>
    </xf>
    <xf numFmtId="170" fontId="13" fillId="5" borderId="0" xfId="16" applyNumberFormat="1" applyFont="1" applyFill="1" applyAlignment="1">
      <alignment horizontal="left"/>
    </xf>
    <xf numFmtId="0" fontId="25" fillId="5" borderId="0" xfId="16" applyFont="1" applyFill="1" applyAlignment="1">
      <alignment horizontal="center"/>
    </xf>
    <xf numFmtId="0" fontId="30" fillId="6" borderId="15" xfId="16" applyFont="1" applyFill="1" applyBorder="1" applyAlignment="1">
      <alignment horizontal="center" vertical="center"/>
    </xf>
    <xf numFmtId="0" fontId="13" fillId="5" borderId="0" xfId="16" applyFont="1" applyFill="1" applyAlignment="1">
      <alignment horizontal="center" vertical="center"/>
    </xf>
    <xf numFmtId="0" fontId="30" fillId="6" borderId="16" xfId="16" applyFont="1" applyFill="1" applyBorder="1" applyAlignment="1">
      <alignment horizontal="left" vertical="center"/>
    </xf>
    <xf numFmtId="0" fontId="13" fillId="5" borderId="8" xfId="16" applyFont="1" applyFill="1" applyBorder="1" applyAlignment="1">
      <alignment horizontal="center" vertical="center"/>
    </xf>
    <xf numFmtId="0" fontId="13" fillId="5" borderId="8" xfId="16" applyFont="1" applyFill="1" applyBorder="1" applyAlignment="1">
      <alignment horizontal="center"/>
    </xf>
    <xf numFmtId="0" fontId="13" fillId="5" borderId="0" xfId="16" applyFont="1" applyFill="1" applyAlignment="1">
      <alignment horizontal="left" vertical="center"/>
    </xf>
    <xf numFmtId="170" fontId="25" fillId="5" borderId="0" xfId="16" applyNumberFormat="1" applyFont="1" applyFill="1" applyAlignment="1">
      <alignment horizontal="center"/>
    </xf>
    <xf numFmtId="0" fontId="24" fillId="5" borderId="0" xfId="16" applyFont="1" applyFill="1" applyAlignment="1">
      <alignment horizontal="left"/>
    </xf>
    <xf numFmtId="169" fontId="15" fillId="5" borderId="0" xfId="17" applyFont="1" applyFill="1" applyAlignment="1">
      <alignment horizontal="left"/>
    </xf>
    <xf numFmtId="0" fontId="15" fillId="5" borderId="0" xfId="16" applyFont="1" applyFill="1" applyAlignment="1">
      <alignment horizontal="left"/>
    </xf>
    <xf numFmtId="0" fontId="14" fillId="5" borderId="0" xfId="16" applyFont="1" applyFill="1" applyAlignment="1">
      <alignment horizontal="center" vertical="center"/>
    </xf>
    <xf numFmtId="171" fontId="15" fillId="5" borderId="0" xfId="17" applyNumberFormat="1" applyFont="1" applyFill="1" applyBorder="1" applyAlignment="1">
      <alignment horizontal="center" vertical="center"/>
    </xf>
    <xf numFmtId="172" fontId="15" fillId="5" borderId="0" xfId="16" applyNumberFormat="1" applyFont="1" applyFill="1" applyAlignment="1">
      <alignment horizontal="center" vertical="center"/>
    </xf>
    <xf numFmtId="0" fontId="30" fillId="5" borderId="0" xfId="16" applyFont="1" applyFill="1" applyAlignment="1">
      <alignment horizontal="left" vertical="center"/>
    </xf>
    <xf numFmtId="0" fontId="30" fillId="6" borderId="17" xfId="16" applyFont="1" applyFill="1" applyBorder="1" applyAlignment="1">
      <alignment horizontal="left" vertical="center"/>
    </xf>
    <xf numFmtId="0" fontId="30" fillId="6" borderId="18" xfId="16" applyFont="1" applyFill="1" applyBorder="1" applyAlignment="1">
      <alignment horizontal="center" vertical="center"/>
    </xf>
    <xf numFmtId="0" fontId="13" fillId="5" borderId="8" xfId="16" applyFont="1" applyFill="1" applyBorder="1" applyAlignment="1">
      <alignment vertical="center"/>
    </xf>
    <xf numFmtId="3" fontId="13" fillId="5" borderId="0" xfId="16" applyNumberFormat="1" applyFont="1" applyFill="1" applyAlignment="1">
      <alignment vertical="center"/>
    </xf>
    <xf numFmtId="0" fontId="30" fillId="6" borderId="16" xfId="16" applyFont="1" applyFill="1" applyBorder="1" applyAlignment="1">
      <alignment horizontal="left" vertical="center" wrapText="1"/>
    </xf>
    <xf numFmtId="3" fontId="13" fillId="5" borderId="0" xfId="16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left" vertical="center"/>
    </xf>
    <xf numFmtId="164" fontId="13" fillId="5" borderId="0" xfId="0" applyNumberFormat="1" applyFont="1" applyFill="1"/>
    <xf numFmtId="165" fontId="13" fillId="5" borderId="0" xfId="0" applyNumberFormat="1" applyFont="1" applyFill="1"/>
    <xf numFmtId="165" fontId="13" fillId="5" borderId="0" xfId="0" applyNumberFormat="1" applyFont="1" applyFill="1" applyAlignment="1">
      <alignment horizontal="left"/>
    </xf>
    <xf numFmtId="0" fontId="31" fillId="11" borderId="11" xfId="16" applyFont="1" applyFill="1" applyBorder="1" applyAlignment="1">
      <alignment horizontal="center" vertical="center"/>
    </xf>
    <xf numFmtId="0" fontId="32" fillId="5" borderId="0" xfId="16" applyFont="1" applyFill="1" applyAlignment="1">
      <alignment horizontal="left" vertical="center"/>
    </xf>
    <xf numFmtId="168" fontId="25" fillId="5" borderId="12" xfId="16" applyNumberFormat="1" applyFont="1" applyFill="1" applyBorder="1" applyAlignment="1">
      <alignment horizontal="center" vertical="center"/>
    </xf>
    <xf numFmtId="0" fontId="14" fillId="4" borderId="8" xfId="1" applyFont="1" applyFill="1" applyBorder="1" applyAlignment="1" applyProtection="1">
      <alignment horizontal="center" vertical="center" wrapText="1"/>
      <protection locked="0"/>
    </xf>
    <xf numFmtId="0" fontId="16" fillId="4" borderId="8" xfId="1" applyFont="1" applyFill="1" applyBorder="1" applyAlignment="1" applyProtection="1">
      <alignment horizontal="center" vertical="center" wrapText="1"/>
      <protection locked="0"/>
    </xf>
    <xf numFmtId="17" fontId="16" fillId="4" borderId="8" xfId="0" applyNumberFormat="1" applyFont="1" applyFill="1" applyBorder="1" applyAlignment="1" applyProtection="1">
      <alignment horizontal="center" vertical="center" wrapText="1"/>
      <protection locked="0"/>
    </xf>
    <xf numFmtId="17" fontId="16" fillId="4" borderId="8" xfId="0" applyNumberFormat="1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left" vertical="center"/>
    </xf>
    <xf numFmtId="0" fontId="28" fillId="7" borderId="8" xfId="0" applyFont="1" applyFill="1" applyBorder="1" applyAlignment="1">
      <alignment horizontal="left" vertical="center"/>
    </xf>
    <xf numFmtId="164" fontId="17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16" fillId="4" borderId="8" xfId="1" applyNumberFormat="1" applyFont="1" applyFill="1" applyBorder="1" applyAlignment="1" applyProtection="1">
      <alignment horizontal="center" vertical="center" wrapText="1"/>
      <protection locked="0"/>
    </xf>
    <xf numFmtId="165" fontId="16" fillId="4" borderId="8" xfId="0" applyNumberFormat="1" applyFont="1" applyFill="1" applyBorder="1" applyAlignment="1" applyProtection="1">
      <alignment horizontal="left" vertical="center" wrapText="1"/>
      <protection locked="0"/>
    </xf>
    <xf numFmtId="165" fontId="16" fillId="4" borderId="8" xfId="0" applyNumberFormat="1" applyFont="1" applyFill="1" applyBorder="1" applyAlignment="1">
      <alignment horizontal="left" vertical="center" wrapText="1"/>
    </xf>
    <xf numFmtId="164" fontId="21" fillId="4" borderId="8" xfId="1" applyNumberFormat="1" applyFont="1" applyFill="1" applyBorder="1" applyAlignment="1" applyProtection="1">
      <alignment horizontal="center" vertical="center" wrapText="1"/>
      <protection locked="0"/>
    </xf>
    <xf numFmtId="168" fontId="25" fillId="5" borderId="0" xfId="16" applyNumberFormat="1" applyFont="1" applyFill="1" applyAlignment="1">
      <alignment horizontal="center" vertical="center"/>
    </xf>
    <xf numFmtId="0" fontId="33" fillId="6" borderId="8" xfId="0" applyFont="1" applyFill="1" applyBorder="1" applyAlignment="1" applyProtection="1">
      <alignment horizontal="left" vertical="center"/>
      <protection locked="0"/>
    </xf>
    <xf numFmtId="0" fontId="34" fillId="4" borderId="8" xfId="1" applyFont="1" applyFill="1" applyBorder="1" applyAlignment="1" applyProtection="1">
      <alignment horizontal="center" vertical="center" wrapText="1"/>
      <protection locked="0"/>
    </xf>
    <xf numFmtId="17" fontId="34" fillId="4" borderId="8" xfId="0" applyNumberFormat="1" applyFont="1" applyFill="1" applyBorder="1" applyAlignment="1" applyProtection="1">
      <alignment horizontal="center" vertical="center" wrapText="1"/>
      <protection locked="0"/>
    </xf>
    <xf numFmtId="17" fontId="34" fillId="4" borderId="8" xfId="0" applyNumberFormat="1" applyFont="1" applyFill="1" applyBorder="1" applyAlignment="1">
      <alignment horizontal="center" vertical="center" wrapText="1"/>
    </xf>
    <xf numFmtId="164" fontId="35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36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34" fillId="6" borderId="8" xfId="1" applyNumberFormat="1" applyFont="1" applyFill="1" applyBorder="1" applyAlignment="1" applyProtection="1">
      <alignment horizontal="center" vertical="center" wrapText="1"/>
      <protection locked="0"/>
    </xf>
    <xf numFmtId="164" fontId="34" fillId="6" borderId="8" xfId="0" applyNumberFormat="1" applyFont="1" applyFill="1" applyBorder="1"/>
    <xf numFmtId="164" fontId="34" fillId="4" borderId="8" xfId="1" applyNumberFormat="1" applyFont="1" applyFill="1" applyBorder="1" applyAlignment="1" applyProtection="1">
      <alignment horizontal="center" vertical="center" wrapText="1"/>
      <protection locked="0"/>
    </xf>
    <xf numFmtId="165" fontId="34" fillId="4" borderId="8" xfId="0" applyNumberFormat="1" applyFont="1" applyFill="1" applyBorder="1" applyAlignment="1" applyProtection="1">
      <alignment horizontal="left" vertical="center" wrapText="1"/>
      <protection locked="0"/>
    </xf>
    <xf numFmtId="165" fontId="34" fillId="4" borderId="8" xfId="0" applyNumberFormat="1" applyFont="1" applyFill="1" applyBorder="1" applyAlignment="1">
      <alignment horizontal="left" vertical="center" wrapText="1"/>
    </xf>
    <xf numFmtId="0" fontId="24" fillId="5" borderId="0" xfId="0" applyFont="1" applyFill="1" applyAlignment="1">
      <alignment horizontal="left"/>
    </xf>
    <xf numFmtId="165" fontId="24" fillId="5" borderId="0" xfId="0" applyNumberFormat="1" applyFont="1" applyFill="1" applyAlignment="1">
      <alignment horizontal="left"/>
    </xf>
    <xf numFmtId="164" fontId="24" fillId="5" borderId="0" xfId="0" applyNumberFormat="1" applyFont="1" applyFill="1" applyAlignment="1">
      <alignment horizontal="left"/>
    </xf>
    <xf numFmtId="0" fontId="13" fillId="5" borderId="22" xfId="16" applyFont="1" applyFill="1" applyBorder="1" applyAlignment="1">
      <alignment vertical="center"/>
    </xf>
    <xf numFmtId="0" fontId="13" fillId="5" borderId="22" xfId="16" applyFont="1" applyFill="1" applyBorder="1" applyAlignment="1">
      <alignment horizontal="center" vertical="center"/>
    </xf>
    <xf numFmtId="0" fontId="13" fillId="5" borderId="23" xfId="16" applyFont="1" applyFill="1" applyBorder="1" applyAlignment="1">
      <alignment horizontal="center" vertical="center"/>
    </xf>
    <xf numFmtId="0" fontId="13" fillId="5" borderId="11" xfId="16" applyFont="1" applyFill="1" applyBorder="1" applyAlignment="1">
      <alignment vertical="center"/>
    </xf>
    <xf numFmtId="1" fontId="15" fillId="9" borderId="11" xfId="16" applyNumberFormat="1" applyFont="1" applyFill="1" applyBorder="1" applyAlignment="1">
      <alignment horizontal="center" vertical="center"/>
    </xf>
    <xf numFmtId="0" fontId="25" fillId="5" borderId="11" xfId="16" applyFont="1" applyFill="1" applyBorder="1" applyAlignment="1">
      <alignment horizontal="center" vertical="center"/>
    </xf>
    <xf numFmtId="0" fontId="13" fillId="5" borderId="11" xfId="16" applyFont="1" applyFill="1" applyBorder="1" applyAlignment="1">
      <alignment horizontal="center" vertical="center"/>
    </xf>
    <xf numFmtId="164" fontId="14" fillId="4" borderId="8" xfId="0" applyNumberFormat="1" applyFont="1" applyFill="1" applyBorder="1"/>
    <xf numFmtId="171" fontId="15" fillId="10" borderId="11" xfId="17" applyNumberFormat="1" applyFont="1" applyFill="1" applyBorder="1" applyAlignment="1">
      <alignment horizontal="center" vertical="center"/>
    </xf>
    <xf numFmtId="172" fontId="15" fillId="10" borderId="11" xfId="16" applyNumberFormat="1" applyFont="1" applyFill="1" applyBorder="1" applyAlignment="1">
      <alignment horizontal="center" vertical="center"/>
    </xf>
    <xf numFmtId="1" fontId="15" fillId="5" borderId="11" xfId="16" applyNumberFormat="1" applyFont="1" applyFill="1" applyBorder="1" applyAlignment="1">
      <alignment horizontal="center" vertical="center"/>
    </xf>
    <xf numFmtId="167" fontId="13" fillId="5" borderId="8" xfId="6" applyNumberFormat="1" applyFont="1" applyFill="1" applyBorder="1" applyAlignment="1">
      <alignment horizontal="left" vertical="center" wrapText="1" shrinkToFit="1"/>
    </xf>
    <xf numFmtId="1" fontId="25" fillId="9" borderId="11" xfId="16" applyNumberFormat="1" applyFont="1" applyFill="1" applyBorder="1" applyAlignment="1">
      <alignment horizontal="center" vertical="center"/>
    </xf>
    <xf numFmtId="165" fontId="16" fillId="5" borderId="0" xfId="0" applyNumberFormat="1" applyFont="1" applyFill="1" applyAlignment="1">
      <alignment horizontal="left" vertical="center" wrapText="1"/>
    </xf>
    <xf numFmtId="171" fontId="15" fillId="11" borderId="11" xfId="17" applyNumberFormat="1" applyFont="1" applyFill="1" applyBorder="1" applyAlignment="1">
      <alignment horizontal="center" vertical="center"/>
    </xf>
    <xf numFmtId="172" fontId="15" fillId="11" borderId="11" xfId="16" applyNumberFormat="1" applyFont="1" applyFill="1" applyBorder="1" applyAlignment="1">
      <alignment horizontal="center" vertical="center"/>
    </xf>
    <xf numFmtId="164" fontId="13" fillId="5" borderId="0" xfId="0" applyNumberFormat="1" applyFont="1" applyFill="1" applyAlignment="1">
      <alignment horizontal="left" vertical="center"/>
    </xf>
    <xf numFmtId="0" fontId="25" fillId="5" borderId="24" xfId="16" applyFont="1" applyFill="1" applyBorder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17" fontId="34" fillId="4" borderId="23" xfId="0" applyNumberFormat="1" applyFont="1" applyFill="1" applyBorder="1" applyAlignment="1" applyProtection="1">
      <alignment horizontal="center" vertical="center" wrapText="1"/>
      <protection locked="0"/>
    </xf>
    <xf numFmtId="17" fontId="34" fillId="4" borderId="1" xfId="0" applyNumberFormat="1" applyFont="1" applyFill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center"/>
    </xf>
    <xf numFmtId="2" fontId="26" fillId="13" borderId="1" xfId="0" applyNumberFormat="1" applyFont="1" applyFill="1" applyBorder="1" applyAlignment="1">
      <alignment horizontal="center" vertical="center"/>
    </xf>
    <xf numFmtId="2" fontId="26" fillId="14" borderId="1" xfId="0" applyNumberFormat="1" applyFont="1" applyFill="1" applyBorder="1" applyAlignment="1">
      <alignment horizontal="center" vertical="center"/>
    </xf>
    <xf numFmtId="2" fontId="26" fillId="15" borderId="1" xfId="0" applyNumberFormat="1" applyFont="1" applyFill="1" applyBorder="1" applyAlignment="1">
      <alignment horizontal="center" vertical="center"/>
    </xf>
    <xf numFmtId="2" fontId="26" fillId="16" borderId="1" xfId="0" applyNumberFormat="1" applyFont="1" applyFill="1" applyBorder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/>
    </xf>
    <xf numFmtId="2" fontId="26" fillId="18" borderId="1" xfId="0" applyNumberFormat="1" applyFont="1" applyFill="1" applyBorder="1" applyAlignment="1">
      <alignment horizontal="center" vertical="center"/>
    </xf>
    <xf numFmtId="2" fontId="26" fillId="19" borderId="1" xfId="0" applyNumberFormat="1" applyFont="1" applyFill="1" applyBorder="1" applyAlignment="1">
      <alignment horizontal="center" vertical="center"/>
    </xf>
    <xf numFmtId="2" fontId="26" fillId="20" borderId="1" xfId="0" applyNumberFormat="1" applyFont="1" applyFill="1" applyBorder="1" applyAlignment="1">
      <alignment horizontal="center" vertical="center"/>
    </xf>
    <xf numFmtId="2" fontId="26" fillId="21" borderId="1" xfId="0" applyNumberFormat="1" applyFont="1" applyFill="1" applyBorder="1" applyAlignment="1">
      <alignment horizontal="center" vertical="center"/>
    </xf>
    <xf numFmtId="2" fontId="26" fillId="22" borderId="1" xfId="0" applyNumberFormat="1" applyFont="1" applyFill="1" applyBorder="1" applyAlignment="1">
      <alignment horizontal="center" vertical="center"/>
    </xf>
    <xf numFmtId="2" fontId="26" fillId="23" borderId="1" xfId="0" applyNumberFormat="1" applyFont="1" applyFill="1" applyBorder="1" applyAlignment="1">
      <alignment horizontal="center" vertical="center"/>
    </xf>
    <xf numFmtId="2" fontId="26" fillId="24" borderId="1" xfId="0" applyNumberFormat="1" applyFont="1" applyFill="1" applyBorder="1" applyAlignment="1">
      <alignment horizontal="center" vertical="center"/>
    </xf>
    <xf numFmtId="2" fontId="26" fillId="25" borderId="1" xfId="0" applyNumberFormat="1" applyFont="1" applyFill="1" applyBorder="1" applyAlignment="1">
      <alignment horizontal="center" vertical="center"/>
    </xf>
    <xf numFmtId="2" fontId="26" fillId="26" borderId="1" xfId="0" applyNumberFormat="1" applyFont="1" applyFill="1" applyBorder="1" applyAlignment="1">
      <alignment horizontal="center" vertical="center"/>
    </xf>
    <xf numFmtId="2" fontId="26" fillId="27" borderId="1" xfId="0" applyNumberFormat="1" applyFont="1" applyFill="1" applyBorder="1" applyAlignment="1">
      <alignment horizontal="center" vertical="center"/>
    </xf>
    <xf numFmtId="2" fontId="26" fillId="28" borderId="1" xfId="0" applyNumberFormat="1" applyFont="1" applyFill="1" applyBorder="1" applyAlignment="1">
      <alignment horizontal="center" vertical="center"/>
    </xf>
    <xf numFmtId="2" fontId="26" fillId="29" borderId="1" xfId="0" applyNumberFormat="1" applyFont="1" applyFill="1" applyBorder="1" applyAlignment="1">
      <alignment horizontal="center" vertical="center"/>
    </xf>
    <xf numFmtId="2" fontId="26" fillId="30" borderId="1" xfId="0" applyNumberFormat="1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0" fontId="33" fillId="5" borderId="8" xfId="0" applyFont="1" applyFill="1" applyBorder="1" applyAlignment="1" applyProtection="1">
      <alignment horizontal="left" vertical="center"/>
      <protection locked="0"/>
    </xf>
    <xf numFmtId="0" fontId="39" fillId="0" borderId="8" xfId="0" applyFont="1" applyBorder="1" applyAlignment="1">
      <alignment horizontal="left" vertical="center"/>
    </xf>
    <xf numFmtId="0" fontId="40" fillId="8" borderId="8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33" fillId="5" borderId="8" xfId="0" applyFont="1" applyFill="1" applyBorder="1" applyAlignment="1" applyProtection="1">
      <alignment horizontal="left"/>
      <protection locked="0"/>
    </xf>
    <xf numFmtId="168" fontId="40" fillId="12" borderId="23" xfId="0" applyNumberFormat="1" applyFont="1" applyFill="1" applyBorder="1" applyAlignment="1">
      <alignment horizontal="left" vertical="center"/>
    </xf>
    <xf numFmtId="9" fontId="41" fillId="5" borderId="8" xfId="15" applyFont="1" applyFill="1" applyBorder="1" applyAlignment="1">
      <alignment horizontal="center" vertical="center"/>
    </xf>
    <xf numFmtId="164" fontId="10" fillId="5" borderId="8" xfId="6" applyNumberFormat="1" applyFont="1" applyFill="1" applyBorder="1" applyAlignment="1">
      <alignment horizontal="left" vertical="center" wrapText="1" shrinkToFit="1"/>
    </xf>
    <xf numFmtId="164" fontId="10" fillId="5" borderId="8" xfId="6" applyNumberFormat="1" applyFont="1" applyFill="1" applyBorder="1" applyAlignment="1">
      <alignment horizontal="left" wrapText="1" shrinkToFit="1"/>
    </xf>
    <xf numFmtId="165" fontId="33" fillId="5" borderId="8" xfId="0" applyNumberFormat="1" applyFont="1" applyFill="1" applyBorder="1" applyAlignment="1">
      <alignment horizontal="left" vertical="center"/>
    </xf>
    <xf numFmtId="167" fontId="10" fillId="5" borderId="23" xfId="0" applyNumberFormat="1" applyFont="1" applyFill="1" applyBorder="1" applyAlignment="1">
      <alignment horizontal="left" vertical="center"/>
    </xf>
    <xf numFmtId="0" fontId="39" fillId="0" borderId="20" xfId="0" applyFont="1" applyBorder="1" applyAlignment="1">
      <alignment horizontal="left" vertical="center"/>
    </xf>
    <xf numFmtId="0" fontId="40" fillId="8" borderId="21" xfId="0" applyFont="1" applyFill="1" applyBorder="1" applyAlignment="1">
      <alignment horizontal="left" vertical="center"/>
    </xf>
    <xf numFmtId="0" fontId="40" fillId="8" borderId="20" xfId="0" applyFont="1" applyFill="1" applyBorder="1" applyAlignment="1">
      <alignment horizontal="left" vertical="center"/>
    </xf>
    <xf numFmtId="0" fontId="40" fillId="0" borderId="20" xfId="0" applyFont="1" applyBorder="1" applyAlignment="1">
      <alignment horizontal="left" vertical="center"/>
    </xf>
    <xf numFmtId="0" fontId="39" fillId="0" borderId="8" xfId="0" applyFont="1" applyBorder="1" applyAlignment="1">
      <alignment vertical="center"/>
    </xf>
    <xf numFmtId="0" fontId="39" fillId="7" borderId="8" xfId="0" applyFont="1" applyFill="1" applyBorder="1" applyAlignment="1">
      <alignment horizontal="left" vertical="center" wrapText="1" readingOrder="1"/>
    </xf>
    <xf numFmtId="0" fontId="40" fillId="0" borderId="8" xfId="0" applyFont="1" applyBorder="1" applyAlignment="1">
      <alignment horizontal="left" vertical="center" wrapText="1" readingOrder="1"/>
    </xf>
    <xf numFmtId="0" fontId="39" fillId="8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8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34" fillId="4" borderId="22" xfId="1" applyFont="1" applyFill="1" applyBorder="1" applyAlignment="1" applyProtection="1">
      <alignment horizontal="center" vertical="center" wrapText="1"/>
      <protection locked="0"/>
    </xf>
    <xf numFmtId="0" fontId="33" fillId="5" borderId="22" xfId="0" applyFont="1" applyFill="1" applyBorder="1" applyAlignment="1" applyProtection="1">
      <alignment horizontal="left" vertical="center"/>
      <protection locked="0"/>
    </xf>
    <xf numFmtId="0" fontId="33" fillId="4" borderId="22" xfId="0" applyFont="1" applyFill="1" applyBorder="1" applyAlignment="1" applyProtection="1">
      <alignment horizontal="center" vertical="center"/>
      <protection locked="0"/>
    </xf>
    <xf numFmtId="165" fontId="34" fillId="4" borderId="23" xfId="0" applyNumberFormat="1" applyFont="1" applyFill="1" applyBorder="1" applyAlignment="1" applyProtection="1">
      <alignment horizontal="left" vertical="center" wrapText="1"/>
      <protection locked="0"/>
    </xf>
    <xf numFmtId="0" fontId="34" fillId="4" borderId="28" xfId="1" applyFont="1" applyFill="1" applyBorder="1" applyAlignment="1" applyProtection="1">
      <alignment horizontal="center" vertical="center" wrapText="1"/>
      <protection locked="0"/>
    </xf>
    <xf numFmtId="0" fontId="34" fillId="4" borderId="29" xfId="1" applyFont="1" applyFill="1" applyBorder="1" applyAlignment="1" applyProtection="1">
      <alignment horizontal="center" vertical="center" wrapText="1"/>
      <protection locked="0"/>
    </xf>
    <xf numFmtId="0" fontId="34" fillId="4" borderId="30" xfId="1" applyFont="1" applyFill="1" applyBorder="1" applyAlignment="1" applyProtection="1">
      <alignment horizontal="center" vertical="center" wrapText="1"/>
      <protection locked="0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33" fillId="4" borderId="33" xfId="0" applyFont="1" applyFill="1" applyBorder="1" applyAlignment="1" applyProtection="1">
      <alignment horizontal="center" vertical="center"/>
      <protection locked="0"/>
    </xf>
    <xf numFmtId="0" fontId="33" fillId="4" borderId="34" xfId="0" applyFont="1" applyFill="1" applyBorder="1" applyAlignment="1" applyProtection="1">
      <alignment horizontal="center" vertical="center"/>
      <protection locked="0"/>
    </xf>
    <xf numFmtId="0" fontId="33" fillId="4" borderId="35" xfId="0" applyFont="1" applyFill="1" applyBorder="1" applyAlignment="1" applyProtection="1">
      <alignment horizontal="center" vertical="center"/>
      <protection locked="0"/>
    </xf>
    <xf numFmtId="17" fontId="16" fillId="4" borderId="1" xfId="0" applyNumberFormat="1" applyFont="1" applyFill="1" applyBorder="1" applyAlignment="1">
      <alignment horizontal="center" vertical="center" wrapText="1"/>
    </xf>
    <xf numFmtId="0" fontId="39" fillId="8" borderId="8" xfId="0" applyFont="1" applyFill="1" applyBorder="1" applyAlignment="1">
      <alignment horizontal="left" vertical="center"/>
    </xf>
    <xf numFmtId="0" fontId="40" fillId="5" borderId="8" xfId="0" applyFont="1" applyFill="1" applyBorder="1" applyAlignment="1">
      <alignment horizontal="left" vertical="center" wrapText="1" readingOrder="1"/>
    </xf>
    <xf numFmtId="0" fontId="40" fillId="0" borderId="8" xfId="0" applyFont="1" applyBorder="1" applyAlignment="1">
      <alignment horizontal="left" vertical="center" readingOrder="1"/>
    </xf>
    <xf numFmtId="0" fontId="40" fillId="7" borderId="8" xfId="0" applyFont="1" applyFill="1" applyBorder="1" applyAlignment="1">
      <alignment horizontal="left" vertical="center"/>
    </xf>
    <xf numFmtId="168" fontId="40" fillId="5" borderId="8" xfId="0" applyNumberFormat="1" applyFont="1" applyFill="1" applyBorder="1" applyAlignment="1">
      <alignment horizontal="left" vertical="center" wrapText="1" shrinkToFit="1"/>
    </xf>
    <xf numFmtId="164" fontId="10" fillId="5" borderId="22" xfId="6" applyNumberFormat="1" applyFont="1" applyFill="1" applyBorder="1" applyAlignment="1">
      <alignment horizontal="left" vertical="center" wrapText="1" shrinkToFit="1"/>
    </xf>
    <xf numFmtId="164" fontId="10" fillId="5" borderId="31" xfId="6" applyNumberFormat="1" applyFont="1" applyFill="1" applyBorder="1" applyAlignment="1">
      <alignment horizontal="center" vertical="center" wrapText="1" shrinkToFit="1"/>
    </xf>
    <xf numFmtId="164" fontId="10" fillId="5" borderId="8" xfId="6" applyNumberFormat="1" applyFont="1" applyFill="1" applyBorder="1" applyAlignment="1">
      <alignment horizontal="center" vertical="center" wrapText="1" shrinkToFit="1"/>
    </xf>
    <xf numFmtId="164" fontId="10" fillId="5" borderId="32" xfId="6" applyNumberFormat="1" applyFont="1" applyFill="1" applyBorder="1" applyAlignment="1">
      <alignment horizontal="center" vertical="center" wrapText="1" shrinkToFit="1"/>
    </xf>
    <xf numFmtId="168" fontId="40" fillId="5" borderId="23" xfId="0" applyNumberFormat="1" applyFont="1" applyFill="1" applyBorder="1" applyAlignment="1">
      <alignment horizontal="left" vertical="center" wrapText="1" shrinkToFit="1"/>
    </xf>
    <xf numFmtId="0" fontId="10" fillId="0" borderId="32" xfId="0" applyFont="1" applyBorder="1" applyAlignment="1">
      <alignment horizontal="center" vertical="center"/>
    </xf>
    <xf numFmtId="9" fontId="41" fillId="5" borderId="22" xfId="15" applyFont="1" applyFill="1" applyBorder="1" applyAlignment="1">
      <alignment horizontal="center" vertical="center"/>
    </xf>
    <xf numFmtId="164" fontId="10" fillId="5" borderId="11" xfId="6" applyNumberFormat="1" applyFont="1" applyFill="1" applyBorder="1" applyAlignment="1">
      <alignment horizontal="left" vertical="center" wrapText="1" shrinkToFit="1"/>
    </xf>
    <xf numFmtId="164" fontId="10" fillId="5" borderId="11" xfId="6" applyNumberFormat="1" applyFont="1" applyFill="1" applyBorder="1" applyAlignment="1">
      <alignment horizontal="left" wrapText="1" shrinkToFit="1"/>
    </xf>
    <xf numFmtId="165" fontId="33" fillId="5" borderId="12" xfId="0" applyNumberFormat="1" applyFont="1" applyFill="1" applyBorder="1" applyAlignment="1">
      <alignment horizontal="left" vertical="center"/>
    </xf>
    <xf numFmtId="165" fontId="33" fillId="5" borderId="11" xfId="0" applyNumberFormat="1" applyFont="1" applyFill="1" applyBorder="1" applyAlignment="1">
      <alignment horizontal="left" vertical="center"/>
    </xf>
    <xf numFmtId="17" fontId="34" fillId="4" borderId="9" xfId="0" applyNumberFormat="1" applyFont="1" applyFill="1" applyBorder="1" applyAlignment="1" applyProtection="1">
      <alignment horizontal="center" vertical="center" wrapText="1"/>
      <protection locked="0"/>
    </xf>
    <xf numFmtId="17" fontId="34" fillId="4" borderId="9" xfId="0" applyNumberFormat="1" applyFont="1" applyFill="1" applyBorder="1" applyAlignment="1">
      <alignment horizontal="center" vertical="center" wrapText="1"/>
    </xf>
    <xf numFmtId="0" fontId="40" fillId="8" borderId="20" xfId="0" applyFont="1" applyFill="1" applyBorder="1" applyAlignment="1">
      <alignment horizontal="left" wrapText="1"/>
    </xf>
    <xf numFmtId="0" fontId="10" fillId="8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/>
    <xf numFmtId="0" fontId="10" fillId="0" borderId="20" xfId="0" applyFont="1" applyBorder="1" applyAlignment="1">
      <alignment horizontal="left"/>
    </xf>
    <xf numFmtId="0" fontId="40" fillId="8" borderId="20" xfId="0" applyFont="1" applyFill="1" applyBorder="1" applyAlignment="1">
      <alignment horizontal="left" vertical="center" wrapText="1"/>
    </xf>
    <xf numFmtId="0" fontId="10" fillId="8" borderId="20" xfId="0" applyFont="1" applyFill="1" applyBorder="1" applyAlignment="1">
      <alignment horizontal="left" vertical="center"/>
    </xf>
    <xf numFmtId="164" fontId="42" fillId="4" borderId="8" xfId="1" applyNumberFormat="1" applyFont="1" applyFill="1" applyBorder="1" applyAlignment="1" applyProtection="1">
      <alignment horizontal="center" vertical="center" wrapText="1"/>
      <protection locked="0"/>
    </xf>
    <xf numFmtId="165" fontId="34" fillId="4" borderId="10" xfId="0" applyNumberFormat="1" applyFont="1" applyFill="1" applyBorder="1" applyAlignment="1">
      <alignment horizontal="left" vertical="center" wrapText="1"/>
    </xf>
    <xf numFmtId="0" fontId="14" fillId="6" borderId="11" xfId="16" applyFont="1" applyFill="1" applyBorder="1" applyAlignment="1">
      <alignment horizontal="center" vertical="center"/>
    </xf>
    <xf numFmtId="0" fontId="13" fillId="5" borderId="14" xfId="16" applyFont="1" applyFill="1" applyBorder="1" applyAlignment="1">
      <alignment horizontal="center"/>
    </xf>
    <xf numFmtId="0" fontId="13" fillId="5" borderId="14" xfId="16" applyFont="1" applyFill="1" applyBorder="1" applyAlignment="1">
      <alignment horizontal="center" vertical="center"/>
    </xf>
    <xf numFmtId="0" fontId="39" fillId="5" borderId="9" xfId="5" applyFont="1" applyFill="1" applyBorder="1" applyAlignment="1" applyProtection="1">
      <alignment horizontal="center" vertical="center"/>
      <protection locked="0"/>
    </xf>
    <xf numFmtId="0" fontId="39" fillId="5" borderId="19" xfId="5" applyFont="1" applyFill="1" applyBorder="1" applyAlignment="1" applyProtection="1">
      <alignment horizontal="center" vertical="center"/>
      <protection locked="0"/>
    </xf>
    <xf numFmtId="0" fontId="39" fillId="5" borderId="10" xfId="5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Alignment="1">
      <alignment horizontal="center" vertical="center"/>
    </xf>
    <xf numFmtId="0" fontId="39" fillId="5" borderId="25" xfId="5" applyFont="1" applyFill="1" applyBorder="1" applyAlignment="1" applyProtection="1">
      <alignment horizontal="center" vertical="center"/>
      <protection locked="0"/>
    </xf>
    <xf numFmtId="0" fontId="39" fillId="5" borderId="26" xfId="5" applyFont="1" applyFill="1" applyBorder="1" applyAlignment="1" applyProtection="1">
      <alignment horizontal="center" vertical="center"/>
      <protection locked="0"/>
    </xf>
    <xf numFmtId="0" fontId="39" fillId="5" borderId="27" xfId="5" applyFont="1" applyFill="1" applyBorder="1" applyAlignment="1" applyProtection="1">
      <alignment horizontal="center" vertical="center"/>
      <protection locked="0"/>
    </xf>
  </cellXfs>
  <cellStyles count="19">
    <cellStyle name="Акцент1" xfId="1" builtinId="29"/>
    <cellStyle name="Гиперссылка" xfId="5" builtinId="8"/>
    <cellStyle name="Гиперссылка 3" xfId="2" xr:uid="{00000000-0005-0000-0000-000001000000}"/>
    <cellStyle name="Гиперссылка 4" xfId="3" xr:uid="{00000000-0005-0000-0000-000002000000}"/>
    <cellStyle name="Обычный" xfId="0" builtinId="0"/>
    <cellStyle name="Обычный 2" xfId="11" xr:uid="{FFB6C2D6-278B-4415-896D-1B15C4FC9CD4}"/>
    <cellStyle name="Обычный 2 2 3" xfId="9" xr:uid="{E1DEF377-7315-46CF-8962-24F07ABFDAEC}"/>
    <cellStyle name="Обычный 2 3" xfId="7" xr:uid="{F9C41704-2A24-2043-A3B7-D21FEA01350C}"/>
    <cellStyle name="Обычный 2 3 2" xfId="18" xr:uid="{690136A0-B835-41D2-B630-C485FD631E18}"/>
    <cellStyle name="Обычный 3" xfId="16" xr:uid="{F939EA80-2BDF-1645-AED7-CBF6042EC847}"/>
    <cellStyle name="Обычный 7" xfId="13" xr:uid="{D62B1681-83BB-5D4F-9B2F-112EE3EAC7CF}"/>
    <cellStyle name="Процентный" xfId="15" builtinId="5"/>
    <cellStyle name="Финансовый" xfId="4" builtinId="3"/>
    <cellStyle name="Финансовый [0]" xfId="6" builtinId="6"/>
    <cellStyle name="Финансовый [0] 2" xfId="12" xr:uid="{181AE8D7-78A4-4D5D-88BB-8508B07C2D48}"/>
    <cellStyle name="Финансовый [0] 2 2" xfId="8" xr:uid="{04CF16CA-716A-6A4F-BD7B-A94FE61C56CE}"/>
    <cellStyle name="Финансовый [0] 2 2 2" xfId="14" xr:uid="{F73B3748-D542-F341-AC64-8F8B1DD4D14A}"/>
    <cellStyle name="Финансовый [0] 3" xfId="10" xr:uid="{EDED5C3D-95E3-499A-A3E1-3F7CF977EB5A}"/>
    <cellStyle name="Финансовый 2 2" xfId="17" xr:uid="{0ECB18ED-E94E-134A-B1A5-EC4627FF0B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98701</xdr:rowOff>
    </xdr:from>
    <xdr:ext cx="2148190" cy="1197078"/>
    <xdr:pic>
      <xdr:nvPicPr>
        <xdr:cNvPr id="2" name="Рисунок 1">
          <a:extLst>
            <a:ext uri="{FF2B5EF4-FFF2-40B4-BE49-F238E27FC236}">
              <a16:creationId xmlns:a16="http://schemas.microsoft.com/office/drawing/2014/main" id="{CA16CD2C-7BE5-4D5D-A46F-81555206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701"/>
          <a:ext cx="2148190" cy="11970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98701</xdr:rowOff>
    </xdr:from>
    <xdr:ext cx="2148190" cy="1197078"/>
    <xdr:pic>
      <xdr:nvPicPr>
        <xdr:cNvPr id="2" name="Рисунок 1">
          <a:extLst>
            <a:ext uri="{FF2B5EF4-FFF2-40B4-BE49-F238E27FC236}">
              <a16:creationId xmlns:a16="http://schemas.microsoft.com/office/drawing/2014/main" id="{F2987A64-4CEC-42A1-B059-F474FD3C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701"/>
          <a:ext cx="2148190" cy="11970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98701</xdr:rowOff>
    </xdr:from>
    <xdr:ext cx="2148190" cy="1197078"/>
    <xdr:pic>
      <xdr:nvPicPr>
        <xdr:cNvPr id="2" name="Рисунок 1">
          <a:extLst>
            <a:ext uri="{FF2B5EF4-FFF2-40B4-BE49-F238E27FC236}">
              <a16:creationId xmlns:a16="http://schemas.microsoft.com/office/drawing/2014/main" id="{795654EF-E318-0B4F-AF63-CA4CE6A4A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701"/>
          <a:ext cx="2148190" cy="119707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FP-Lease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GRP_V1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Kostenplan%20Funk_0702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AAssovskaya/Local%20Settings/Temporary%20Internet%20Files/OLKE/&#1055;&#1080;&#1090;&#1077;&#1088;_&#1069;&#1089;&#1087;&#1072;&#1088;2_30-05_07_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GINI9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526_Enterprise%203.%20Flight%20Mediakostenplan_Vodafon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624_Enterprise%203.%20Flight%20Mediakostenplan_Vodafo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97QUA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o%20Economic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%2021Gen-3Fe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S%20Hachet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ano%20excel%20BLU%2022.5%20SP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Inserenten_Plan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nkelgroup.sharepoint.com/Temp/C.Daten.NotesR5/Reachtables%2004_01_1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TTA%20piano2v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EON_Plan7_nc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unter%20(4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anislav/Desktop/&#1052;&#1055;/&#1052;&#1055;%202019/&#1053;&#1072;&#1088;&#1075;&#1080;&#1079;&#1072;%20&#1058;&#1042;%20&#1051;&#1072;&#1081;&#1085;/Clients/2003/Epson/PhotoPrinters/Map_May_94_FSU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NEON_Plan1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B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0.98/Artur/Disk%20D/&#1057;&#1095;&#1080;&#1090;&#1072;&#1083;&#1082;&#1080;/2019/&#1064;&#1072;&#1073;&#1083;&#1086;&#1085;&#1099;%20&#1057;&#1090;&#1072;&#1089;&#1072;/&#1044;&#1077;&#1090;&#1072;&#1083;&#1080;&#1079;&#1072;&#1094;&#1080;&#1103;%20&#1070;&#1083;&#1072;&#1081;&#1079;&#1077;&#108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%20Radio%20Planungsprogram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4/CIS/BORJOMI/PITCHES%202014/Baltics/buying%20templates/audit%20archiveUsers/DKuraev/Library/Caches/TemporaryItems/Outlook%20Temp/chart4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BRZ_Plan3_0602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TV spot_supplier"/>
      <sheetName val="Print-forms"/>
      <sheetName val="Outdoor St-Peter June"/>
      <sheetName val="TVP 2009"/>
      <sheetName val="Estimate"/>
      <sheetName val="XLRpt_TempSheet"/>
      <sheetName val="외주현황.wq1"/>
      <sheetName val="show of spot"/>
      <sheetName val="Outdoor_St-Peter_June"/>
      <sheetName val="TV_spot_supplier"/>
      <sheetName val="TVP_2009"/>
      <sheetName val="MP"/>
      <sheetName val="ORT"/>
      <sheetName val="XLR_NoRangeSheet"/>
      <sheetName val="FX Rates"/>
      <sheetName val="2.대외공문"/>
      <sheetName val="CAMPAIGN AVERAGE F"/>
      <sheetName val="Расчет"/>
      <sheetName val="Spend by Market"/>
      <sheetName val="Sheet2"/>
      <sheetName val="DATA"/>
      <sheetName val="Outdoor_St-Peter_June1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Look up info"/>
      <sheetName val="TV_spot_supplier1"/>
      <sheetName val="외주현황_wq1"/>
      <sheetName val="2_대외공문"/>
      <sheetName val="TVP_20091"/>
      <sheetName val="show_of_spot"/>
      <sheetName val="FX_Rates"/>
      <sheetName val="port97_p_atra"/>
      <sheetName val="FX-Rate"/>
      <sheetName val="OWNPROD EST"/>
      <sheetName val="OWNPROD LIT"/>
      <sheetName val="CAMPAIGN_AVERAGE_F"/>
      <sheetName val="Spend_by_Market"/>
      <sheetName val="Carat - Retourpercentages"/>
      <sheetName val="EXPRES BUSINESS"/>
      <sheetName val="Indices"/>
      <sheetName val="생산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Market Data"/>
      <sheetName val="Team Structure"/>
      <sheetName val="Base"/>
      <sheetName val="Commitments"/>
      <sheetName val="Budget"/>
      <sheetName val="Dictionnary"/>
      <sheetName val="TechSpecs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Adserving Definitions"/>
      <sheetName val="definitions"/>
      <sheetName val="List"/>
      <sheetName val="Brazil"/>
      <sheetName val="Category List"/>
      <sheetName val="July Master Pivot Data"/>
      <sheetName val="Basis_Master"/>
      <sheetName val="Lists"/>
      <sheetName val="segédtábla"/>
      <sheetName val="Aging Analysis"/>
      <sheetName val="Data Validation"/>
      <sheetName val="Списки"/>
      <sheetName val="Tables"/>
      <sheetName val="Drop down calculation"/>
      <sheetName val="Altro"/>
      <sheetName val="Tabelle2"/>
      <sheetName val="Print list"/>
      <sheetName val="OOH list"/>
      <sheetName val="Digital list"/>
      <sheetName val="BACK"/>
      <sheetName val="Back Print"/>
      <sheetName val="Desplegables"/>
      <sheetName val="Digital Site Categories"/>
      <sheetName val="Reference Picklist"/>
      <sheetName val="Look_up_info"/>
      <sheetName val="audiencias"/>
      <sheetName val="Media Job Descriptions"/>
      <sheetName val="1d - US Hourly staff benchmark"/>
      <sheetName val="PlatformLists"/>
      <sheetName val="port97_p_atra1"/>
      <sheetName val="Outdoor_St-Peter_June3"/>
      <sheetName val="Carat_-_Retourpercentages"/>
      <sheetName val="EXPRES_BUSINESS"/>
      <sheetName val="Market_Data"/>
      <sheetName val="Team_Structure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Channel List"/>
      <sheetName val="x"/>
      <sheetName val="Buying Model "/>
      <sheetName val="Лист1"/>
      <sheetName val="RFP-Leaseplan"/>
      <sheetName val="Drop Downs"/>
      <sheetName val="Tendine"/>
      <sheetName val="Team Cost"/>
      <sheetName val="Dictionary"/>
      <sheetName val="port97_p_atra2"/>
      <sheetName val="Outdoor_St-Peter_June4"/>
      <sheetName val="Print list "/>
      <sheetName val="JOHN "/>
      <sheetName val="Key Figures YTD"/>
      <sheetName val="Vallas."/>
      <sheetName val="Auxiliar"/>
      <sheetName val="alapok"/>
      <sheetName val="FINAL"/>
      <sheetName val="Лист4"/>
      <sheetName val="TV_spot_supplier5"/>
      <sheetName val="Outdoor_St-Peter_June5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3"/>
      <sheetName val="Non_Analysed_Definitions3"/>
      <sheetName val="Overview_20133"/>
      <sheetName val="Look_up_info2"/>
      <sheetName val="OWNPROD_EST3"/>
      <sheetName val="OWNPROD_LIT3"/>
      <sheetName val="Carat_-_Retourpercentages2"/>
      <sheetName val="EXPRES_BUSINESS2"/>
      <sheetName val="Market_Data2"/>
      <sheetName val="Team_Structure2"/>
      <sheetName val="Adserving_Definitions2"/>
      <sheetName val="Category_List2"/>
      <sheetName val="July_Master_Pivot_Data2"/>
      <sheetName val="Data_Validation2"/>
      <sheetName val="Drop_down_calculation2"/>
      <sheetName val="Print_list2"/>
      <sheetName val="OOH_list2"/>
      <sheetName val="Digital_list2"/>
      <sheetName val="Back_Print2"/>
      <sheetName val="Digital_Site_Categories2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Market_Data1"/>
      <sheetName val="Team_Structure1"/>
      <sheetName val="Adserving_Definitions1"/>
      <sheetName val="Category_List1"/>
      <sheetName val="July_Master_Pivot_Data1"/>
      <sheetName val="Data_Validation1"/>
      <sheetName val="Drop_down_calculation1"/>
      <sheetName val="Print_list1"/>
      <sheetName val="OOH_list1"/>
      <sheetName val="Digital_list1"/>
      <sheetName val="Back_Print1"/>
      <sheetName val="Digital_Site_Categories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ing_Analysis"/>
      <sheetName val="Reference_Picklist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ging_Analysis1"/>
      <sheetName val="Channel_List1"/>
      <sheetName val="Arkusz1"/>
      <sheetName val="DIGITAL"/>
      <sheetName val="Dropdowns"/>
      <sheetName val="география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Brief"/>
      <sheetName val="Outdoor_St-Peter_June6"/>
      <sheetName val="port97_p_atra4"/>
      <sheetName val="Reference_Picklist1"/>
      <sheetName val="1d_-_US_Hourly_staff_benchmark1"/>
      <sheetName val="Media_Job_Descriptions1"/>
      <sheetName val="Drop_Downs1"/>
      <sheetName val="Buying_Model_1"/>
      <sheetName val="Team_Cost1"/>
      <sheetName val="Print_list_1"/>
      <sheetName val="JOHN_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DropDownList"/>
      <sheetName val="AGENCY DECLARATIONS"/>
      <sheetName val="Drop Down List"/>
      <sheetName val="비용정리"/>
      <sheetName val="TV 30&quot; BP"/>
      <sheetName val="Mediaplan"/>
      <sheetName val="SCO3"/>
      <sheetName val="17.7mln вар 1"/>
      <sheetName val="INTERNET TEASER"/>
      <sheetName val="odaplan_report"/>
      <sheetName val="Dane"/>
      <sheetName val="weight and spots 3 opt"/>
      <sheetName val="B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onthYear Lookup"/>
      <sheetName val="Calendar"/>
      <sheetName val="Country"/>
      <sheetName val="Creative"/>
      <sheetName val="Product"/>
      <sheetName val="Media"/>
      <sheetName val="##"/>
      <sheetName val="dati"/>
      <sheetName val="Discipline - do not edit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Market information"/>
      <sheetName val="Digital Dropdowns"/>
      <sheetName val="tv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TV_30&quot;_BP"/>
      <sheetName val="Drop_Down_List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INTERNET_TEASER"/>
      <sheetName val="17_7mln_вар_1"/>
      <sheetName val="GUINNESS_PM"/>
      <sheetName val="GUINNESS_GM"/>
      <sheetName val="к-нт_кон_x0000__x0000_Ԁ_x0000_瀀摎"/>
      <sheetName val="basis"/>
      <sheetName val="к-нт_кон_x0000__x0000_Ԁ_x0000_Ꮏ"/>
      <sheetName val="55% and 70%"/>
      <sheetName val="Control"/>
      <sheetName val="vendors_data"/>
      <sheetName val="vendor_calculator"/>
      <sheetName val="PQ data"/>
      <sheetName val="Data_Source"/>
      <sheetName val="weight_and_spots_3_opt"/>
      <sheetName val="Market_information"/>
      <sheetName val="all brands (all media)"/>
      <sheetName val="Жилищные (рубли, сумма)"/>
      <sheetName val="R CURVES"/>
      <sheetName val="DAILY  ACCUMULATED R AND F"/>
      <sheetName val="Input_weekly"/>
      <sheetName val="sanofi grp_2"/>
      <sheetName val="Тех_доп"/>
      <sheetName val="Assumptions"/>
      <sheetName val="к-нт_кон"/>
      <sheetName val="dimension data"/>
      <sheetName val="Расчет по Регионам"/>
      <sheetName val="Discipline_-_do_not_edit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Справочник"/>
      <sheetName val="input"/>
      <sheetName val="Summrize Detail"/>
      <sheetName val="чел европа+ от сми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bac4"/>
      <sheetName val="данные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details"/>
      <sheetName val="papers"/>
      <sheetName val="Value - Audio"/>
    </sheetNames>
    <sheetDataSet>
      <sheetData sheetId="0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>
        <row r="34">
          <cell r="B34" t="str">
            <v>Berlingo</v>
          </cell>
        </row>
      </sheetData>
      <sheetData sheetId="2" refreshError="1"/>
      <sheetData sheetId="3">
        <row r="34">
          <cell r="B34" t="str">
            <v>Berlingo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pGRP"/>
      <sheetName val="Data Sender-ZS"/>
      <sheetName val="Briefing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ropdowns"/>
      <sheetName val="Data_Sender-ZS"/>
      <sheetName val="Data_CpGRP"/>
      <sheetName val="Planung_lt__S+P_(keine_Eingabe)"/>
      <sheetName val="Planung_Brutto_bez__"/>
      <sheetName val="MP_NEON_2007"/>
      <sheetName val="Data_Sender-ZS1"/>
      <sheetName val="apendix"/>
      <sheetName val="Lists"/>
      <sheetName val="MP NEON 2008"/>
      <sheetName val="Services"/>
      <sheetName val="Tabelle2"/>
      <sheetName val="MP 2007"/>
      <sheetName val="Drop Down"/>
      <sheetName val="Dropdown menu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A-BL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"/>
      <sheetName val="MP_NEON_20081"/>
      <sheetName val="Kostenplan"/>
      <sheetName val="PIANO GENERALE"/>
      <sheetName val="Drop_Down"/>
      <sheetName val="Dropdown_menu"/>
      <sheetName val="MP_2007"/>
      <sheetName val="Team"/>
      <sheetName val="paramètre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ownprod est"/>
      <sheetName val="FX-Rate"/>
      <sheetName val="ownprod lit"/>
      <sheetName val="Nastavení (Setting)"/>
      <sheetName val="Forecast Drivers"/>
      <sheetName val="Listes déroulantes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Growth"/>
      <sheetName val="3.2 - Digital Fixed 2014 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SW-TEO"/>
      <sheetName val="媒体"/>
      <sheetName val="TEMP"/>
      <sheetName val="PlanGRP_V1_2004"/>
      <sheetName val="Ярославль СТС прайс"/>
      <sheetName val="MP_NEON_20084"/>
      <sheetName val="Dropdown_menu3"/>
      <sheetName val="Drop_Down3"/>
      <sheetName val="MP_20073"/>
      <sheetName val="PIANO_GENERALE2"/>
      <sheetName val="MP_NEON_20085"/>
      <sheetName val="Dropdown_menu4"/>
      <sheetName val="Drop_Down4"/>
      <sheetName val="MP_20074"/>
      <sheetName val="PIANO_GENERALE3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Data_Sender-ZS8"/>
      <sheetName val="Data_CpGRP7"/>
      <sheetName val="Planung_lt__S+P_(keine_Eingabe7"/>
      <sheetName val="Planung_Brutto_bez__7"/>
      <sheetName val="MP_NEON_20077"/>
      <sheetName val="DropDown_Listen6"/>
      <sheetName val="MP_NEON_20086"/>
      <sheetName val="Dropdown_menu5"/>
      <sheetName val="Drop_Down5"/>
      <sheetName val="MP_20075"/>
      <sheetName val="PIANO_GENERALE4"/>
      <sheetName val="вводные_20_013"/>
      <sheetName val="Бюджет_100%_ТВ3"/>
      <sheetName val="Барни_Fem25-543"/>
      <sheetName val="Oreo_THin_18-393"/>
      <sheetName val="расчет_весов_2020_mdlz3"/>
      <sheetName val="for_flow_20203"/>
      <sheetName val="к-нт_конверсии3"/>
      <sheetName val="TUC_25-443"/>
      <sheetName val="сравнение_2020vs_20193"/>
      <sheetName val="варианты_сплита3"/>
      <sheetName val="GRP_расчёт_USD_2019_20203"/>
      <sheetName val="ПРОВЕРКА_июнь_3"/>
      <sheetName val="Oreo_18-243"/>
      <sheetName val="for_flowchart3"/>
      <sheetName val="outdoor st-peter june"/>
      <sheetName val="campaign average f"/>
    </sheetNames>
    <sheetDataSet>
      <sheetData sheetId="0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2">
          <cell r="B2" t="str">
            <v>fehlt !</v>
          </cell>
        </row>
      </sheetData>
      <sheetData sheetId="2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>
        <row r="2">
          <cell r="B2" t="str">
            <v>fehlt !</v>
          </cell>
        </row>
      </sheetData>
      <sheetData sheetId="33">
        <row r="2">
          <cell r="B2" t="str">
            <v>fehlt !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2">
          <cell r="B2" t="str">
            <v>fehlt !</v>
          </cell>
        </row>
      </sheetData>
      <sheetData sheetId="40">
        <row r="2">
          <cell r="B2" t="str">
            <v>fehlt !</v>
          </cell>
        </row>
      </sheetData>
      <sheetData sheetId="4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2"/>
      <sheetData sheetId="4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4">
        <row r="2">
          <cell r="B2" t="str">
            <v>fehlt !</v>
          </cell>
        </row>
      </sheetData>
      <sheetData sheetId="45">
        <row r="2">
          <cell r="B2" t="str">
            <v>fehlt !</v>
          </cell>
        </row>
      </sheetData>
      <sheetData sheetId="46">
        <row r="2">
          <cell r="B2" t="str">
            <v>fehlt !</v>
          </cell>
        </row>
      </sheetData>
      <sheetData sheetId="4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/>
      <sheetData sheetId="53" refreshError="1"/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2">
          <cell r="B2" t="str">
            <v>fehlt !</v>
          </cell>
        </row>
      </sheetData>
      <sheetData sheetId="64">
        <row r="2">
          <cell r="B2" t="str">
            <v>fehlt !</v>
          </cell>
        </row>
      </sheetData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 refreshError="1"/>
      <sheetData sheetId="69" refreshError="1"/>
      <sheetData sheetId="7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1"/>
      <sheetData sheetId="7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3" refreshError="1"/>
      <sheetData sheetId="74" refreshError="1"/>
      <sheetData sheetId="75">
        <row r="15">
          <cell r="C15">
            <v>0</v>
          </cell>
        </row>
      </sheetData>
      <sheetData sheetId="76">
        <row r="2">
          <cell r="B2" t="str">
            <v>fehlt !</v>
          </cell>
        </row>
      </sheetData>
      <sheetData sheetId="77"/>
      <sheetData sheetId="78"/>
      <sheetData sheetId="79"/>
      <sheetData sheetId="80"/>
      <sheetData sheetId="81">
        <row r="2">
          <cell r="B2" t="str">
            <v>fehlt !</v>
          </cell>
        </row>
      </sheetData>
      <sheetData sheetId="82">
        <row r="2">
          <cell r="B2" t="str">
            <v>fehlt !</v>
          </cell>
        </row>
      </sheetData>
      <sheetData sheetId="83"/>
      <sheetData sheetId="84"/>
      <sheetData sheetId="85"/>
      <sheetData sheetId="86"/>
      <sheetData sheetId="87">
        <row r="2">
          <cell r="B2" t="str">
            <v>fehlt !</v>
          </cell>
        </row>
      </sheetData>
      <sheetData sheetId="88">
        <row r="2">
          <cell r="B2" t="str">
            <v>fehlt !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plan"/>
      <sheetName val="Grunddaten für Einkauf"/>
      <sheetName val="Belegungsplan"/>
      <sheetName val="Streuplan"/>
      <sheetName val="Mo-Fr-Kalkulation"/>
      <sheetName val="Sa-Kalkulation"/>
      <sheetName val="So-Kalkulation"/>
      <sheetName val="Jahresvolumen"/>
      <sheetName val="Rabattstaffeln"/>
      <sheetName val="Kombinationen 2005"/>
      <sheetName val="BudgetControl"/>
      <sheetName val="Dealcheck"/>
      <sheetName val="PIANO GENERALE"/>
      <sheetName val="MP 2008"/>
      <sheetName val="12"/>
      <sheetName val="Grunddaten_für_Einkauf"/>
      <sheetName val="Kombinationen_2005"/>
      <sheetName val="PIANO_GENERALE"/>
      <sheetName val="Kostenplan%20Funk_070205.xls"/>
      <sheetName val="Kostenplan Funk_070205"/>
      <sheetName val="Table"/>
      <sheetName val="PC"/>
      <sheetName val="Corp"/>
      <sheetName val="IW"/>
      <sheetName val="MBS"/>
      <sheetName val="MED"/>
      <sheetName val="Server"/>
      <sheetName val="Client"/>
      <sheetName val=""/>
      <sheetName val="Commercial SoC"/>
      <sheetName val="MP 2007"/>
      <sheetName val="Grunddaten f?r Einkauf"/>
      <sheetName val="Dashboard Data"/>
      <sheetName val="Grunddaten_für_Einkauf1"/>
      <sheetName val="Kombinationen_20051"/>
      <sheetName val="PIANO_GENERALE1"/>
      <sheetName val="MP_2008"/>
      <sheetName val="Dashboard_Data"/>
      <sheetName val="Kostenplan%20Funk_070205_xls"/>
      <sheetName val="Kostenplan_Funk_070205"/>
      <sheetName val="Grunddaten_für_Einkauf2"/>
      <sheetName val="Kombinationen_20052"/>
      <sheetName val="PIANO_GENERALE2"/>
      <sheetName val="Grunddaten_für_Einkauf3"/>
      <sheetName val="Kombinationen_20053"/>
      <sheetName val="PIANO_GENERALE3"/>
      <sheetName val="MP_20081"/>
      <sheetName val="Grunddaten_für_Einkauf4"/>
      <sheetName val="Kombinationen_20054"/>
      <sheetName val="PIANO_GENERALE4"/>
      <sheetName val="MP_20082"/>
      <sheetName val="GRP"/>
      <sheetName val="MP NEON 2007"/>
      <sheetName val="MEN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B"/>
      <sheetName val="Client CPP"/>
      <sheetName val="Splits"/>
      <sheetName val="Evaluation2"/>
      <sheetName val="TV spot_supplier"/>
      <sheetName val="Питер_Эспар2_30-05_07_04"/>
      <sheetName val="MediaMix"/>
      <sheetName val="Input"/>
      <sheetName val="CTC"/>
      <sheetName val="NTV"/>
      <sheetName val="ORT"/>
      <sheetName val="RenTV"/>
      <sheetName val="RTR"/>
      <sheetName val="TV6"/>
      <sheetName val="ODAPLAN_REPORT"/>
      <sheetName val="MAIL.RU"/>
      <sheetName val="Laikai rad"/>
      <sheetName val="OWNPROD LAT"/>
      <sheetName val="От Юли"/>
      <sheetName val="Payment"/>
      <sheetName val="РТР"/>
      <sheetName val="Сводная"/>
      <sheetName val="Самара-график"/>
      <sheetName val="Главный"/>
      <sheetName val="PlanSheet"/>
      <sheetName val="NIT_GRP_1.9"/>
      <sheetName val="Первый_GRP_1.9"/>
      <sheetName val="СТС_GRP_1.9"/>
      <sheetName val="Macro1"/>
      <sheetName val="Hasar Hattı"/>
      <sheetName val="LIST"/>
      <sheetName val="XLRpt_TempSheet"/>
      <sheetName val="NIT_GRP_1_9"/>
      <sheetName val="Первый_GRP_1_9"/>
      <sheetName val="СТС_GRP_1_9"/>
      <sheetName val="Estimate"/>
      <sheetName val="Направления затрат+группа"/>
      <sheetName val="##"/>
      <sheetName val="Итоги по каналам"/>
      <sheetName val="ntv-fiyat"/>
      <sheetName val="Print-forms"/>
      <sheetName val="CHECK-LIST"/>
      <sheetName val="PL_Vladik"/>
      <sheetName val="Клипы (2)"/>
      <sheetName val="шкала расчет"/>
      <sheetName val="Питер_Эспар2_30-05_07_04.xls"/>
      <sheetName val="МАКРОС1"/>
      <sheetName val="ОРТ"/>
      <sheetName val="СТС"/>
      <sheetName val="все отчёты рук. ТМ в дирекции"/>
      <sheetName val="справочники"/>
      <sheetName val="Sheet1"/>
      <sheetName val="Data"/>
      <sheetName val="tv spot list"/>
      <sheetName val="Регионы"/>
      <sheetName val="Конфигурация"/>
      <sheetName val="Прайс 2007 (Тренд)"/>
      <sheetName val="Расчет по Регионам"/>
      <sheetName val="Расчет"/>
      <sheetName val="Сезонка"/>
      <sheetName val="PL_B"/>
      <sheetName val="basic_data"/>
      <sheetName val="Скидки"/>
      <sheetName val="International"/>
      <sheetName val="1 flight"/>
      <sheetName val="PG"/>
      <sheetName val="SAD"/>
      <sheetName val="CCS"/>
      <sheetName val="Campaign Budget Summary"/>
      <sheetName val="Vehicles"/>
      <sheetName val="Прайс"/>
      <sheetName val="Интернет"/>
      <sheetName val="Чел Европа+ от сми"/>
      <sheetName val="UKR-1"/>
      <sheetName val="Коммерческое предложение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hanGr_cfg"/>
      <sheetName val="Cities_cfg"/>
      <sheetName val="JEUDI 24 DÉCEMBRE 1998"/>
      <sheetName val="OpslagsArk"/>
      <sheetName val="TIME_SLOT,PLAN_CHANNEL_TRAIL"/>
      <sheetName val="%D0%9F%D0%B8%D1%82%D0%B5%D1%80_"/>
      <sheetName val="Feuil1"/>
      <sheetName val="PLANNED"/>
      <sheetName val="Прайс 2005"/>
      <sheetName val="Hidden"/>
      <sheetName val="plan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100"/>
      <sheetName val="G2TempSheet"/>
      <sheetName val="Codes"/>
      <sheetName val="USD Consolidation"/>
      <sheetName val="55%_and_70%1"/>
      <sheetName val="TV_spot_supplier2"/>
      <sheetName val="Ref"/>
      <sheetName val="E2 Brands"/>
      <sheetName val="Radio"/>
      <sheetName val=""/>
      <sheetName val="Kaynak"/>
      <sheetName val="Cinema"/>
      <sheetName val="100% ВИ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[Питер_Эспар2_30-05_07_04.xls]["/>
      <sheetName val="const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Optimization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Считалка"/>
      <sheetName val="условия на Алма ТВ"/>
      <sheetName val="modell"/>
      <sheetName val="2 спец затраты-себестоимость"/>
      <sheetName val="____________2_30_05_07_04_xls_2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tv"/>
      <sheetName val="Лист2"/>
      <sheetName val="CAMPAIGN_RESULTS5"/>
      <sheetName val="R_CURVES5"/>
      <sheetName val="Campaign_Accumulated__R_and_F5"/>
      <sheetName val="CAMPAIGN_AVERAGE_F5"/>
      <sheetName val="Client_CPP1"/>
      <sheetName val="TV_spot_supplier5"/>
      <sheetName val="MAIL_RU1"/>
      <sheetName val="Laikai_rad1"/>
      <sheetName val="OWNPROD_LAT1"/>
      <sheetName val="От_Юли1"/>
      <sheetName val="Прайс_2007_(Тренд)3"/>
      <sheetName val="NIT_GRP_1_93"/>
      <sheetName val="Первый_GRP_1_93"/>
      <sheetName val="СТС_GRP_1_93"/>
      <sheetName val="Hasar_Hattı1"/>
      <sheetName val="Направления_затрат+группа1"/>
      <sheetName val="Итоги_по_каналам2"/>
      <sheetName val="шкала_расчет1"/>
      <sheetName val="Клипы_(2)1"/>
      <sheetName val="Питер_Эспар2_30-05_07_04_xls1"/>
      <sheetName val="все_отчёты_рук__ТМ_в_дирекции1"/>
      <sheetName val="1_flight1"/>
      <sheetName val="Campaign_Budget_Summary1"/>
      <sheetName val="Чел_Европа+_от_сми1"/>
      <sheetName val="Коммерческое_предложение1"/>
      <sheetName val="55%_and_70%4"/>
      <sheetName val="JEUDI_24_DÉCEMBRE_19981"/>
      <sheetName val="tv_spot_list1"/>
      <sheetName val="Расчет_по_Регионам1"/>
      <sheetName val="Прайс_2005"/>
      <sheetName val="USD_Consolidation1"/>
      <sheetName val="E2_Brands"/>
      <sheetName val="100%_ВИ"/>
      <sheetName val="[Питер_Эспар2_30-05_07_04_xls]["/>
      <sheetName val="Aging_Analysis"/>
      <sheetName val="MP_2007"/>
      <sheetName val="kz_budget_lc"/>
      <sheetName val="Master_Data"/>
      <sheetName val="[Питер_Эспар2_30-05_07_04_xls]\"/>
      <sheetName val="outdoor_st-peter_june"/>
      <sheetName val="Сдобри_Новый_год"/>
      <sheetName val="ثرسنل_(2"/>
      <sheetName val="2_спец_затраты-себестоимость"/>
      <sheetName val="расчет_бюджетов"/>
      <sheetName val="ownprod_est"/>
      <sheetName val="ownprod_lit"/>
      <sheetName val="Divestment_Russia"/>
      <sheetName val="условия_на_Алма_ТВ"/>
      <sheetName val="Selection Screen"/>
      <sheetName val="Datos"/>
      <sheetName val="Maestr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 t="str">
            <v>4.2, Developer  (build 121-D5)</v>
          </cell>
        </row>
      </sheetData>
      <sheetData sheetId="5" refreshError="1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 22-9 - 26-10"/>
      <sheetName val="GRP"/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_9 _ 26_10"/>
      <sheetName val="Programlar"/>
      <sheetName val="Kategoriler"/>
      <sheetName val="1"/>
      <sheetName val="PIANO GENERALE"/>
      <sheetName val="BJ"/>
      <sheetName val="cic_22-9_-_26-10"/>
      <sheetName val="RA_31_3-4_5_CIC"/>
      <sheetName val="RA_31_3-4_5_ORO"/>
      <sheetName val="RA_31_3-4_5_TOP"/>
      <sheetName val="RA_31_3-4_5_FOCUS"/>
      <sheetName val="RA3-30_3FOC"/>
      <sheetName val="RA5_5-8_6ORO"/>
      <sheetName val="RA5_5-8_6CIC"/>
      <sheetName val="ratop5_5-8_6"/>
      <sheetName val="RA5_5-8_6FOCUS"/>
      <sheetName val="MED3_30-MARORO"/>
      <sheetName val="MED3_30MARTOP"/>
      <sheetName val="MED31_3-4_5_ORO"/>
      <sheetName val="MED31_3-4_5TOP"/>
      <sheetName val="MED31_3-4_5CIC"/>
      <sheetName val="MED31_3-4_5FOC"/>
      <sheetName val="oro_22-9_-_26-10"/>
      <sheetName val="top_22-9_-_26-10"/>
      <sheetName val="spec_22-9_26-10"/>
      <sheetName val="cic_22_9___26_10"/>
      <sheetName val="BIGINI96"/>
      <sheetName val="DATI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PIANO_GENERALE"/>
      <sheetName val="nj-Mixed"/>
      <sheetName val="Fujian Mixed"/>
      <sheetName val="Tabelas"/>
      <sheetName val="媒体"/>
      <sheetName val="自动报价"/>
      <sheetName val="Constants"/>
      <sheetName val="Offerta Tv in Italia"/>
      <sheetName val="PRC-TV (0)"/>
      <sheetName val="OP2"/>
      <sheetName val="Data-OMI Col1 - NA"/>
      <sheetName val="Data-Reforecast 2nd Col"/>
      <sheetName val="Sheet1"/>
      <sheetName val="DMA list"/>
      <sheetName val="2012 Categories and 2011"/>
      <sheetName val="Model"/>
      <sheetName val="Make"/>
    </sheetNames>
    <sheetDataSet>
      <sheetData sheetId="0" refreshError="1">
        <row r="11">
          <cell r="D11">
            <v>486.48</v>
          </cell>
        </row>
      </sheetData>
      <sheetData sheetId="1" refreshError="1"/>
      <sheetData sheetId="2">
        <row r="11">
          <cell r="D11">
            <v>486.48</v>
          </cell>
        </row>
      </sheetData>
      <sheetData sheetId="3">
        <row r="11">
          <cell r="D11">
            <v>486.48</v>
          </cell>
        </row>
      </sheetData>
      <sheetData sheetId="4">
        <row r="11">
          <cell r="D11">
            <v>486.48</v>
          </cell>
        </row>
      </sheetData>
      <sheetData sheetId="5">
        <row r="11">
          <cell r="D11">
            <v>486.48</v>
          </cell>
        </row>
      </sheetData>
      <sheetData sheetId="6">
        <row r="11">
          <cell r="D11">
            <v>486.48</v>
          </cell>
        </row>
      </sheetData>
      <sheetData sheetId="7">
        <row r="11">
          <cell r="D11">
            <v>486.48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1">
          <cell r="D11">
            <v>486.48</v>
          </cell>
        </row>
      </sheetData>
      <sheetData sheetId="31">
        <row r="11">
          <cell r="D11">
            <v>486.48</v>
          </cell>
        </row>
      </sheetData>
      <sheetData sheetId="32">
        <row r="11">
          <cell r="D11">
            <v>486.48</v>
          </cell>
        </row>
      </sheetData>
      <sheetData sheetId="33">
        <row r="11">
          <cell r="D11">
            <v>486.48</v>
          </cell>
        </row>
      </sheetData>
      <sheetData sheetId="34">
        <row r="11">
          <cell r="D11">
            <v>486.48</v>
          </cell>
        </row>
      </sheetData>
      <sheetData sheetId="35">
        <row r="11">
          <cell r="D11">
            <v>486.48</v>
          </cell>
        </row>
      </sheetData>
      <sheetData sheetId="36">
        <row r="11">
          <cell r="D11">
            <v>486.48</v>
          </cell>
        </row>
      </sheetData>
      <sheetData sheetId="37">
        <row r="11">
          <cell r="D11">
            <v>486.48</v>
          </cell>
        </row>
      </sheetData>
      <sheetData sheetId="38">
        <row r="11">
          <cell r="D11">
            <v>486.48</v>
          </cell>
        </row>
      </sheetData>
      <sheetData sheetId="39">
        <row r="11">
          <cell r="D11">
            <v>486.48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>
        <row r="11">
          <cell r="D11">
            <v>486.48</v>
          </cell>
        </row>
      </sheetData>
      <sheetData sheetId="46"/>
      <sheetData sheetId="47">
        <row r="11">
          <cell r="D11">
            <v>486.48</v>
          </cell>
        </row>
      </sheetData>
      <sheetData sheetId="48"/>
      <sheetData sheetId="49">
        <row r="11">
          <cell r="D11">
            <v>486.48</v>
          </cell>
        </row>
      </sheetData>
      <sheetData sheetId="50"/>
      <sheetData sheetId="51">
        <row r="11">
          <cell r="D11">
            <v>486.48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pecs"/>
      <sheetName val="Basisdaten"/>
      <sheetName val="SitesVermarkter"/>
      <sheetName val="Mediakostenplan"/>
      <sheetName val="Mediastreuplan"/>
      <sheetName val="ProducerPivot"/>
      <sheetName val="BudgetPivot"/>
      <sheetName val="ReportPivot"/>
      <sheetName val="OnlineURLs"/>
      <sheetName val="OnlineContacts"/>
      <sheetName val="LOGOS"/>
      <sheetName val="cic 22-9 - 26-10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Vermarkter"/>
      <sheetName val="Basisdaten"/>
      <sheetName val="Mediakostenplan"/>
      <sheetName val="Mediastreuplan"/>
      <sheetName val="1P-Report"/>
      <sheetName val="ProducerPivot"/>
      <sheetName val="BudgetPivot"/>
      <sheetName val="ReportPivot"/>
      <sheetName val="FormatSpecs"/>
      <sheetName val="OnlineURLs"/>
      <sheetName val="OnlineContacts"/>
      <sheetName val="LOGOS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Affinity"/>
      <sheetName val="Flowchart_Nat"/>
      <sheetName val="E2 Brands"/>
      <sheetName val="Главный"/>
      <sheetName val="WEIGHT AND SPOTS 3 OPT"/>
      <sheetName val="all brands (all media)"/>
      <sheetName val="Vehicles"/>
      <sheetName val="Evaluation2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Stru.xls"/>
      <sheetName val="Basis"/>
      <sheetName val="Zadání (Brief)"/>
      <sheetName val="Nastavení (Setting)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MAP cf"/>
      <sheetName val="Legend"/>
      <sheetName val="dropdown_lists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Setup"/>
      <sheetName val="Template"/>
      <sheetName val="Status"/>
      <sheetName val="Интернет"/>
      <sheetName val="TV spot_supplier"/>
      <sheetName val="Channel mix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campaign average f"/>
      <sheetName val="LIST"/>
      <sheetName val="Constants"/>
      <sheetName val="NIUs"/>
      <sheetName val="ОРТ"/>
      <sheetName val="РТР"/>
      <sheetName val="МП MI"/>
      <sheetName val="Digital_table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MAIL_RU3"/>
      <sheetName val="YANDEX_RU3"/>
      <sheetName val="VZGLYAD_RU3"/>
      <sheetName val="GAZETA_RU3"/>
      <sheetName val="KOMMERSANT_RU3"/>
      <sheetName val="NEWSRU_COM3"/>
      <sheetName val="AFISHA_RU3"/>
      <sheetName val="SUBSCRIBE_RU3"/>
      <sheetName val="EXPERT_RU3"/>
      <sheetName val="AVTO_RU3"/>
      <sheetName val="AUTO_RU3"/>
      <sheetName val="RIAN_RU3"/>
      <sheetName val="AMEDIA_RU3"/>
      <sheetName val="VOKRUGSVETA_RU3"/>
      <sheetName val="MTV_RU3"/>
      <sheetName val="LIVEINTERNET_RU3"/>
      <sheetName val="FASHIONTIME_RU3"/>
      <sheetName val="ECHO_MSK_RU3"/>
      <sheetName val="SUPERSTYLE_RU3"/>
      <sheetName val="INOPRESSA_RU3"/>
      <sheetName val="3DNEWS_RU3"/>
      <sheetName val="SPORTS_RU3"/>
      <sheetName val="24OPEN_RU3"/>
      <sheetName val="Владивосток_ОРТ_(наш)3"/>
      <sheetName val="E2_Brands3"/>
      <sheetName val="WEIGHT_AND_SPOTS_3_OPT3"/>
      <sheetName val="all_brands_(all_media)3"/>
      <sheetName val="Stru_xls2"/>
      <sheetName val="Zadání_(Brief)2"/>
      <sheetName val="Nastavení_(Setting)2"/>
      <sheetName val="Net_CPP2"/>
      <sheetName val="Channel_Selection2"/>
      <sheetName val="MAP_cf1"/>
      <sheetName val="TV_spot_supplier1"/>
      <sheetName val="17_7mln_вар_11"/>
      <sheetName val="Deal_20171"/>
      <sheetName val="CPP_base1"/>
      <sheetName val="НРА_бюджет1"/>
      <sheetName val="НРА_цена1"/>
      <sheetName val="Channel_mix1"/>
      <sheetName val="Intro_-_market_data1"/>
      <sheetName val="Digital_data_sheet"/>
      <sheetName val="ОРВИ_Актив"/>
      <sheetName val="Сводный_файл"/>
      <sheetName val="How_to"/>
      <sheetName val="Deal_2019"/>
      <sheetName val="Deal_2020"/>
      <sheetName val="investments_in_TV_deal_2020"/>
      <sheetName val="Фед__ТВ_стар_(2)"/>
      <sheetName val="Media Plan"/>
      <sheetName val="Digital"/>
      <sheetName val="Bloggers"/>
      <sheetName val="ООН"/>
      <sheetName val="Radio "/>
      <sheetName val="Алматы"/>
      <sheetName val="Нур-Султан"/>
      <sheetName val="Актобе"/>
      <sheetName val="Шымкент"/>
      <sheetName val="Караганда"/>
      <sheetName val="Актау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Control"/>
      <sheetName val="HBU_Modern"/>
      <sheetName val="HBU_Trad"/>
      <sheetName val="ConstantsANDSettings"/>
      <sheetName val="Codes"/>
      <sheetName val="kz budget lc"/>
      <sheetName val="PL_Vlad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">
          <cell r="B3">
            <v>79042863.029660702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>
        <row r="3">
          <cell r="B3" t="str">
            <v>Product #2</v>
          </cell>
        </row>
      </sheetData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 refreshError="1"/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>
        <row r="3">
          <cell r="B3" t="str">
            <v>Product #2</v>
          </cell>
        </row>
      </sheetData>
      <sheetData sheetId="134" refreshError="1"/>
      <sheetData sheetId="135" refreshError="1"/>
      <sheetData sheetId="136" refreshError="1"/>
      <sheetData sheetId="137">
        <row r="3">
          <cell r="B3" t="str">
            <v>Product #2</v>
          </cell>
        </row>
      </sheetData>
      <sheetData sheetId="138" refreshError="1"/>
      <sheetData sheetId="139" refreshError="1"/>
      <sheetData sheetId="140"/>
      <sheetData sheetId="141">
        <row r="3">
          <cell r="B3">
            <v>0</v>
          </cell>
        </row>
      </sheetData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>
        <row r="3">
          <cell r="B3" t="str">
            <v>NRA form</v>
          </cell>
        </row>
      </sheetData>
      <sheetData sheetId="171">
        <row r="3">
          <cell r="B3">
            <v>0</v>
          </cell>
        </row>
      </sheetData>
      <sheetData sheetId="172">
        <row r="3">
          <cell r="B3" t="str">
            <v>NRA form</v>
          </cell>
        </row>
      </sheetData>
      <sheetData sheetId="173">
        <row r="4">
          <cell r="B4" t="str">
            <v>January</v>
          </cell>
        </row>
      </sheetData>
      <sheetData sheetId="174"/>
      <sheetData sheetId="175">
        <row r="3">
          <cell r="B3">
            <v>0</v>
          </cell>
        </row>
      </sheetData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>
        <row r="3">
          <cell r="B3" t="str">
            <v>Product #2</v>
          </cell>
        </row>
      </sheetData>
      <sheetData sheetId="184">
        <row r="3">
          <cell r="B3" t="str">
            <v>Product #2</v>
          </cell>
        </row>
      </sheetData>
      <sheetData sheetId="185">
        <row r="3">
          <cell r="B3">
            <v>0</v>
          </cell>
        </row>
      </sheetData>
      <sheetData sheetId="186">
        <row r="3">
          <cell r="B3" t="str">
            <v>Product #2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>
            <v>0</v>
          </cell>
        </row>
      </sheetData>
      <sheetData sheetId="196">
        <row r="3">
          <cell r="B3">
            <v>0</v>
          </cell>
        </row>
      </sheetData>
      <sheetData sheetId="197">
        <row r="3">
          <cell r="B3">
            <v>0</v>
          </cell>
        </row>
      </sheetData>
      <sheetData sheetId="198"/>
      <sheetData sheetId="199">
        <row r="3">
          <cell r="B3">
            <v>0</v>
          </cell>
        </row>
      </sheetData>
      <sheetData sheetId="200"/>
      <sheetData sheetId="201">
        <row r="3">
          <cell r="B3">
            <v>0</v>
          </cell>
        </row>
      </sheetData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>
        <row r="3">
          <cell r="B3" t="str">
            <v>Product #2</v>
          </cell>
        </row>
      </sheetData>
      <sheetData sheetId="211">
        <row r="3">
          <cell r="B3" t="str">
            <v>Product #2</v>
          </cell>
        </row>
      </sheetData>
      <sheetData sheetId="212">
        <row r="3">
          <cell r="B3" t="str">
            <v>Product #2</v>
          </cell>
        </row>
      </sheetData>
      <sheetData sheetId="213">
        <row r="3">
          <cell r="B3" t="str">
            <v>NRA form</v>
          </cell>
        </row>
      </sheetData>
      <sheetData sheetId="214">
        <row r="3">
          <cell r="B3" t="str">
            <v>NRA form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>
        <row r="3">
          <cell r="B3" t="str">
            <v>Бренд: Premier</v>
          </cell>
        </row>
      </sheetData>
      <sheetData sheetId="231" refreshError="1"/>
      <sheetData sheetId="232">
        <row r="3">
          <cell r="B3">
            <v>0</v>
          </cell>
        </row>
      </sheetData>
      <sheetData sheetId="233">
        <row r="1">
          <cell r="BO1">
            <v>0</v>
          </cell>
        </row>
      </sheetData>
      <sheetData sheetId="234">
        <row r="1">
          <cell r="BO1">
            <v>0</v>
          </cell>
        </row>
      </sheetData>
      <sheetData sheetId="235">
        <row r="1">
          <cell r="BO1">
            <v>0</v>
          </cell>
        </row>
      </sheetData>
      <sheetData sheetId="236">
        <row r="1">
          <cell r="BO1">
            <v>0</v>
          </cell>
        </row>
      </sheetData>
      <sheetData sheetId="237" refreshError="1"/>
      <sheetData sheetId="238">
        <row r="1">
          <cell r="BO1">
            <v>0</v>
          </cell>
        </row>
      </sheetData>
      <sheetData sheetId="239">
        <row r="1">
          <cell r="BO1">
            <v>0</v>
          </cell>
        </row>
      </sheetData>
      <sheetData sheetId="240">
        <row r="3">
          <cell r="B3">
            <v>0</v>
          </cell>
        </row>
      </sheetData>
      <sheetData sheetId="241">
        <row r="3">
          <cell r="B3" t="str">
            <v>ЗАПОЛНИТЬ</v>
          </cell>
        </row>
      </sheetData>
      <sheetData sheetId="242"/>
      <sheetData sheetId="243">
        <row r="1">
          <cell r="BO1">
            <v>0</v>
          </cell>
        </row>
      </sheetData>
      <sheetData sheetId="244">
        <row r="1">
          <cell r="BO1">
            <v>0</v>
          </cell>
        </row>
      </sheetData>
      <sheetData sheetId="245">
        <row r="3">
          <cell r="B3">
            <v>0</v>
          </cell>
        </row>
      </sheetData>
      <sheetData sheetId="246">
        <row r="3">
          <cell r="B3" t="str">
            <v>ЗАПОЛНИТЬ</v>
          </cell>
        </row>
      </sheetData>
      <sheetData sheetId="247"/>
      <sheetData sheetId="248">
        <row r="1">
          <cell r="BO1">
            <v>0</v>
          </cell>
        </row>
      </sheetData>
      <sheetData sheetId="249">
        <row r="1">
          <cell r="BO1">
            <v>0</v>
          </cell>
        </row>
      </sheetData>
      <sheetData sheetId="250">
        <row r="3">
          <cell r="B3">
            <v>0</v>
          </cell>
        </row>
      </sheetData>
      <sheetData sheetId="251"/>
      <sheetData sheetId="252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1">
          <cell r="C21">
            <v>0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>
        <row r="1">
          <cell r="BO1">
            <v>0</v>
          </cell>
        </row>
      </sheetData>
      <sheetData sheetId="316">
        <row r="1">
          <cell r="BO1">
            <v>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97QUAR"/>
      <sheetName val="DATI"/>
      <sheetName val="OT97QUAR.XLS"/>
      <sheetName val="Grafici Prodotto"/>
      <sheetName val="Grafici Prodotto GRP Alti"/>
      <sheetName val="Modulo1"/>
      <sheetName val="TITOLO"/>
      <sheetName val="TARGET  "/>
      <sheetName val="planning"/>
      <sheetName val="radio comm.li"/>
      <sheetName val="Report Resume"/>
      <sheetName val="Planning Mobile cpm"/>
      <sheetName val="Planning Display cpc"/>
      <sheetName val="Planning SEM"/>
      <sheetName val="Planning Display cpv"/>
      <sheetName val="Planning Videoseeding"/>
      <sheetName val="Planning DEM cpl"/>
      <sheetName val="Foglio1"/>
      <sheetName val="Foglio2"/>
      <sheetName val="Foglio3"/>
      <sheetName val="Foglio4"/>
      <sheetName val="Foglio5"/>
      <sheetName val="radioa rai"/>
      <sheetName val="Form per RDA"/>
      <sheetName val="\@\CIA_ROME_NT_1\DATA\BLU_RM\A-"/>
      <sheetName val="\C\@\CIA_ROME_NT_1\DATA\BLU_RM\"/>
      <sheetName val="Grafici_Prodotto"/>
      <sheetName val="Grafici_Prodotto_GRP_Alti"/>
      <sheetName val="\\CIA_ROME_NT_1\DATA\BLU_RM\A-B"/>
      <sheetName val="\Users\ccojoc01\AppData\Local\M"/>
      <sheetName val="InputSheet"/>
      <sheetName val="\\server.umg\Users\Emes\Downloa"/>
      <sheetName val="madre"/>
      <sheetName val="Società"/>
      <sheetName val="Peer"/>
      <sheetName val="28.9"/>
      <sheetName val="Grafici_Prodotto1"/>
      <sheetName val="Grafici_Prodotto_GRP_Alti1"/>
      <sheetName val="OT97QUAR_XLS"/>
      <sheetName val="TARGET__"/>
      <sheetName val="radio_comm_li"/>
      <sheetName val="Report_Resume"/>
      <sheetName val="Planning_Mobile_cpm"/>
      <sheetName val="Planning_Display_cpc"/>
      <sheetName val="Planning_SEM"/>
      <sheetName val="Planning_Display_cpv"/>
      <sheetName val="Planning_Videoseeding"/>
      <sheetName val="Planning_DEM_cpl"/>
      <sheetName val="radioa_rai"/>
      <sheetName val="Form_per_RDA"/>
      <sheetName val="Grafici_Prodotto2"/>
      <sheetName val="Grafici_Prodotto_GRP_Alti2"/>
      <sheetName val="OT97QUAR_XLS1"/>
      <sheetName val="TARGET__1"/>
      <sheetName val="radio_comm_li1"/>
      <sheetName val="Report_Resume1"/>
      <sheetName val="Planning_Mobile_cpm1"/>
      <sheetName val="Planning_Display_cpc1"/>
      <sheetName val="Planning_SEM1"/>
      <sheetName val="Planning_Display_cpv1"/>
      <sheetName val="Planning_Videoseeding1"/>
      <sheetName val="Planning_DEM_cpl1"/>
      <sheetName val="radioa_rai1"/>
      <sheetName val="Form_per_RDA1"/>
      <sheetName val="Grafici_Prodotto3"/>
      <sheetName val="Grafici_Prodotto_GRP_Alti3"/>
      <sheetName val="OT97QUAR_XLS2"/>
      <sheetName val="TARGET__2"/>
      <sheetName val="radio_comm_li2"/>
      <sheetName val="Report_Resume2"/>
      <sheetName val="Planning_Mobile_cpm2"/>
      <sheetName val="Planning_Display_cpc2"/>
      <sheetName val="Planning_SEM2"/>
      <sheetName val="Planning_Display_cpv2"/>
      <sheetName val="Planning_Videoseeding2"/>
      <sheetName val="Planning_DEM_cpl2"/>
      <sheetName val="radioa_rai2"/>
      <sheetName val="Form_per_RDA2"/>
      <sheetName val="Grafici_Prodotto5"/>
      <sheetName val="Grafici_Prodotto_GRP_Alti5"/>
      <sheetName val="OT97QUAR_XLS4"/>
      <sheetName val="TARGET__4"/>
      <sheetName val="radio_comm_li4"/>
      <sheetName val="Report_Resume4"/>
      <sheetName val="Planning_Mobile_cpm4"/>
      <sheetName val="Planning_Display_cpc4"/>
      <sheetName val="Planning_SEM4"/>
      <sheetName val="Planning_Display_cpv4"/>
      <sheetName val="Planning_Videoseeding4"/>
      <sheetName val="Planning_DEM_cpl4"/>
      <sheetName val="radioa_rai4"/>
      <sheetName val="Form_per_RDA4"/>
      <sheetName val="Grafici_Prodotto4"/>
      <sheetName val="Grafici_Prodotto_GRP_Alti4"/>
      <sheetName val="OT97QUAR_XLS3"/>
      <sheetName val="TARGET__3"/>
      <sheetName val="radio_comm_li3"/>
      <sheetName val="Report_Resume3"/>
      <sheetName val="Planning_Mobile_cpm3"/>
      <sheetName val="Planning_Display_cpc3"/>
      <sheetName val="Planning_SEM3"/>
      <sheetName val="Planning_Display_cpv3"/>
      <sheetName val="Planning_Videoseeding3"/>
      <sheetName val="Planning_DEM_cpl3"/>
      <sheetName val="radioa_rai3"/>
      <sheetName val="Form_per_RDA3"/>
      <sheetName val="Grafici_Prodotto6"/>
      <sheetName val="Grafici_Prodotto_GRP_Alti6"/>
      <sheetName val="OT97QUAR_XLS5"/>
      <sheetName val="TARGET__5"/>
      <sheetName val="radio_comm_li5"/>
      <sheetName val="Report_Resume5"/>
      <sheetName val="Planning_Mobile_cpm5"/>
      <sheetName val="Planning_Display_cpc5"/>
      <sheetName val="Planning_SEM5"/>
      <sheetName val="Planning_Display_cpv5"/>
      <sheetName val="Planning_Videoseeding5"/>
      <sheetName val="Planning_DEM_cpl5"/>
      <sheetName val="radioa_rai5"/>
      <sheetName val="Form_per_RDA5"/>
      <sheetName val="Grafici_Prodotto7"/>
      <sheetName val="Grafici_Prodotto_GRP_Alti7"/>
      <sheetName val="OT97QUAR_XLS6"/>
      <sheetName val="TARGET__6"/>
      <sheetName val="radio_comm_li6"/>
      <sheetName val="Report_Resume6"/>
      <sheetName val="Planning_Mobile_cpm6"/>
      <sheetName val="Planning_Display_cpc6"/>
      <sheetName val="Planning_SEM6"/>
      <sheetName val="Planning_Display_cpv6"/>
      <sheetName val="Planning_Videoseeding6"/>
      <sheetName val="Planning_DEM_cpl6"/>
      <sheetName val="radioa_rai6"/>
      <sheetName val="Form_per_RDA6"/>
      <sheetName val="Grafici_Prodotto8"/>
      <sheetName val="Grafici_Prodotto_GRP_Alti8"/>
      <sheetName val="OT97QUAR_XLS7"/>
      <sheetName val="TARGET__7"/>
      <sheetName val="radio_comm_li7"/>
      <sheetName val="Report_Resume7"/>
      <sheetName val="Planning_Mobile_cpm7"/>
      <sheetName val="Planning_Display_cpc7"/>
      <sheetName val="Planning_SEM7"/>
      <sheetName val="Planning_Display_cpv7"/>
      <sheetName val="Planning_Videoseeding7"/>
      <sheetName val="Planning_DEM_cpl7"/>
      <sheetName val="radioa_rai7"/>
      <sheetName val="Form_per_RDA7"/>
      <sheetName val="Grafici_Prodotto9"/>
      <sheetName val="Grafici_Prodotto_GRP_Alti9"/>
      <sheetName val="OT97QUAR_XLS8"/>
      <sheetName val="TARGET__8"/>
      <sheetName val="radio_comm_li8"/>
      <sheetName val="Report_Resume8"/>
      <sheetName val="Planning_Mobile_cpm8"/>
      <sheetName val="Planning_Display_cpc8"/>
      <sheetName val="Planning_SEM8"/>
      <sheetName val="Planning_Display_cpv8"/>
      <sheetName val="Planning_Videoseeding8"/>
      <sheetName val="Planning_DEM_cpl8"/>
      <sheetName val="radioa_rai8"/>
      <sheetName val="Form_per_RDA8"/>
      <sheetName val="\\APSGAPFS02\Public$\Users\ccoj"/>
      <sheetName val="Grafici_Prodotto10"/>
      <sheetName val="Grafici_Prodotto_GRP_Alti10"/>
      <sheetName val="OT97QUAR_XLS9"/>
      <sheetName val="TARGET__9"/>
      <sheetName val="radio_comm_li9"/>
      <sheetName val="Report_Resume9"/>
      <sheetName val="Planning_Mobile_cpm9"/>
      <sheetName val="Planning_Display_cpc9"/>
      <sheetName val="Planning_SEM9"/>
      <sheetName val="Planning_Display_cpv9"/>
      <sheetName val="Planning_Videoseeding9"/>
      <sheetName val="Planning_DEM_cpl9"/>
      <sheetName val="radioa_rai9"/>
      <sheetName val="Form_per_RDA9"/>
      <sheetName val="Grafici_Prodotto11"/>
      <sheetName val="Grafici_Prodotto_GRP_Alti11"/>
      <sheetName val="OT97QUAR_XLS10"/>
      <sheetName val="TARGET__10"/>
      <sheetName val="radio_comm_li10"/>
      <sheetName val="Report_Resume10"/>
      <sheetName val="Planning_Mobile_cpm10"/>
      <sheetName val="Planning_Display_cpc10"/>
      <sheetName val="Planning_SEM10"/>
      <sheetName val="Planning_Display_cpv10"/>
      <sheetName val="Planning_Videoseeding10"/>
      <sheetName val="Planning_DEM_cpl10"/>
      <sheetName val="radioa_rai10"/>
      <sheetName val="Form_per_RDA10"/>
      <sheetName val="\\etno03\condivisa vittoria\BLU"/>
      <sheetName val="Grafici_Prodotto12"/>
      <sheetName val="Grafici_Prodotto_GRP_Alti12"/>
      <sheetName val="OT97QUAR_XLS11"/>
      <sheetName val="TARGET__11"/>
      <sheetName val="radio_comm_li11"/>
      <sheetName val="Report_Resume11"/>
      <sheetName val="Planning_Mobile_cpm11"/>
      <sheetName val="Planning_Display_cpc11"/>
      <sheetName val="Planning_SEM11"/>
      <sheetName val="Planning_Display_cpv11"/>
      <sheetName val="Planning_Videoseeding11"/>
      <sheetName val="Planning_DEM_cpl11"/>
      <sheetName val="radioa_rai11"/>
      <sheetName val="Form_per_RDA11"/>
      <sheetName val="Grafici_Prodotto13"/>
      <sheetName val="Grafici_Prodotto_GRP_Alti13"/>
      <sheetName val="OT97QUAR_XLS12"/>
      <sheetName val="TARGET__12"/>
      <sheetName val="radio_comm_li12"/>
      <sheetName val="Report_Resume12"/>
      <sheetName val="Planning_Mobile_cpm12"/>
      <sheetName val="Planning_Display_cpc12"/>
      <sheetName val="Planning_SEM12"/>
      <sheetName val="Planning_Display_cpv12"/>
      <sheetName val="Planning_Videoseeding12"/>
      <sheetName val="Planning_DEM_cpl12"/>
      <sheetName val="radioa_rai12"/>
      <sheetName val="Form_per_RDA12"/>
      <sheetName val="Grafici_Prodotto14"/>
      <sheetName val="Grafici_Prodotto_GRP_Alti14"/>
      <sheetName val="OT97QUAR_XLS13"/>
      <sheetName val="TARGET__13"/>
      <sheetName val="radio_comm_li13"/>
      <sheetName val="Report_Resume13"/>
      <sheetName val="Planning_Mobile_cpm13"/>
      <sheetName val="Planning_Display_cpc13"/>
      <sheetName val="Planning_SEM13"/>
      <sheetName val="Planning_Display_cpv13"/>
      <sheetName val="Planning_Videoseeding13"/>
      <sheetName val="Planning_DEM_cpl13"/>
      <sheetName val="radioa_rai13"/>
      <sheetName val="Form_per_RDA13"/>
      <sheetName val="Grafici_Prodotto15"/>
      <sheetName val="Grafici_Prodotto_GRP_Alti15"/>
      <sheetName val="OT97QUAR_XLS14"/>
      <sheetName val="TARGET__14"/>
      <sheetName val="radio_comm_li14"/>
      <sheetName val="Report_Resume14"/>
      <sheetName val="Planning_Mobile_cpm14"/>
      <sheetName val="Planning_Display_cpc14"/>
      <sheetName val="Planning_SEM14"/>
      <sheetName val="Planning_Display_cpv14"/>
      <sheetName val="Planning_Videoseeding14"/>
      <sheetName val="Planning_DEM_cpl14"/>
      <sheetName val="radioa_rai14"/>
      <sheetName val="Form_per_RDA14"/>
      <sheetName val="\\etno03\condivisa_vittoria\BLU"/>
      <sheetName val="Grafici_Prodotto16"/>
      <sheetName val="Grafici_Prodotto_GRP_Alti16"/>
      <sheetName val="OT97QUAR_XLS15"/>
      <sheetName val="TARGET__15"/>
      <sheetName val="radio_comm_li15"/>
      <sheetName val="Report_Resume15"/>
      <sheetName val="Planning_Mobile_cpm15"/>
      <sheetName val="Planning_Display_cpc15"/>
      <sheetName val="Planning_SEM15"/>
      <sheetName val="Planning_Display_cpv15"/>
      <sheetName val="Planning_Videoseeding15"/>
      <sheetName val="Planning_DEM_cpl15"/>
      <sheetName val="radioa_rai15"/>
      <sheetName val="Form_per_RDA15"/>
      <sheetName val="\\etno03\condivisa_vittoria\BL1"/>
      <sheetName val="\\MIL-FPS39\clientimec$\Users\s"/>
      <sheetName val="\Users\bruno.baty\AppData\Local"/>
      <sheetName val="[OT97QUAR.XLS][OT97QUAR.XLS]\@\"/>
      <sheetName val="[OT97QUAR.XLS][OT97QUAR.XLS]\C\"/>
      <sheetName val="[OT97QUAR.XLS][OT97QUAR.XLS]\\C"/>
      <sheetName val="[OT97QUAR.XLS][OT97QUAR.XLS]\Us"/>
      <sheetName val="[OT97QUAR.XLS][OT97QUAR.XLS]\\A"/>
      <sheetName val="[OT97QUAR.XLS][OT97QUAR.XLS]\\s"/>
      <sheetName val="[OT97QUAR.XLS][OT97QUAR.XLS]\\e"/>
      <sheetName val="[OT97QUAR.XLS][OT97QUAR.XLS]\\M"/>
      <sheetName val="[OT97QUAR.XLS][OT97QUAR.XLS][OT"/>
      <sheetName val="\Users\kunleAdebayo\Downloads\C"/>
      <sheetName val="Grafici_Prodotto17"/>
      <sheetName val="Grafici_Prodotto_GRP_Alti17"/>
      <sheetName val="OT97QUAR_XLS16"/>
      <sheetName val="TARGET__16"/>
      <sheetName val="radio_comm_li16"/>
      <sheetName val="Report_Resume16"/>
      <sheetName val="Planning_Mobile_cpm16"/>
      <sheetName val="Planning_Display_cpc16"/>
      <sheetName val="Planning_SEM16"/>
      <sheetName val="Planning_Display_cpv16"/>
      <sheetName val="Planning_Videoseeding16"/>
      <sheetName val="Planning_DEM_cpl16"/>
      <sheetName val="radioa_rai16"/>
      <sheetName val="Form_per_RDA16"/>
      <sheetName val="28_9"/>
      <sheetName val="\\etno03\condivisa_vittoria\BL2"/>
      <sheetName val="[OT97QUAR.XLS]__myoffice_acce_2"/>
      <sheetName val="SitesVermarkter"/>
      <sheetName val="\BLU_RM\A-BLU_RM\SAGIT\QFF\QFF_"/>
      <sheetName val="[OT97QUAR.XLS]\@\CIA_ROME_NT_1\"/>
      <sheetName val="[OT97QUAR.XLS]\C\@\CIA_ROME_NT_"/>
      <sheetName val="[OT97QUAR.XLS]\\CIA_ROME_NT_1\D"/>
      <sheetName val="[OT97QUAR.XLS]\Users\ccojoc01\A"/>
      <sheetName val="[OT97QUAR.XLS]\\APSGAPFS02\Publ"/>
      <sheetName val="[OT97QUAR.XLS]\\server.umg\User"/>
      <sheetName val="[OT97QUAR.XLS]\\etno03\condivis"/>
      <sheetName val="[OT97QUAR.XLS]\\MIL-FPS39\clien"/>
      <sheetName val="[OT97QUAR.XLS]\Users\bruno.baty"/>
      <sheetName val="[OT97QUAR.XLS]\Users\kunleAdeba"/>
      <sheetName val="[OT97QUAR.XLS]//myoffice.accent"/>
      <sheetName val="[OT97QUAR.XLS]\BLU_RM\A-BLU_RM\"/>
      <sheetName val="[OT97QUAR.XLS]__myoffice_acce_3"/>
      <sheetName val="[OT97QUAR.XLS]__myoffice_acce_4"/>
      <sheetName val="[OT97QUAR.XLS]__myoffice_acce_5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[OT97QUAR.XLS]__myoffice_acce_6"/>
      <sheetName val="[OT97QUAR.XLS]__myoffice_acce_7"/>
      <sheetName val="[OT97QUAR.XLS]__myoffice_acc_21"/>
      <sheetName val="[OT97QUAR.XLS]__myoffice_acce_8"/>
      <sheetName val="[OT97QUAR.XLS]__myoffice_acc_13"/>
      <sheetName val="[OT97QUAR.XLS]__myoffice_acc_11"/>
      <sheetName val="[OT97QUAR.XLS]__myoffice_acce_9"/>
      <sheetName val="[OT97QUAR.XLS]__myoffice_acc_10"/>
      <sheetName val="[OT97QUAR.XLS]__myoffice_acc_12"/>
      <sheetName val="[OT97QUAR.XLS]__myoffice_acc_14"/>
      <sheetName val="[OT97QUAR.XLS]__myoffice_acc_17"/>
      <sheetName val="[OT97QUAR.XLS]__myoffice_acc_15"/>
      <sheetName val="[OT97QUAR.XLS]__myoffice_acc_16"/>
      <sheetName val="[OT97QUAR.XLS]__myoffice_acc_18"/>
      <sheetName val="[OT97QUAR.XLS]__myoffice_acc_19"/>
      <sheetName val="[OT97QUAR.XLS]__myoffice_acc_20"/>
      <sheetName val="[OT97QUAR.XLS]__myoffice_acc_23"/>
      <sheetName val="[OT97QUAR.XLS]__myoffice_acc_22"/>
      <sheetName val="[OT97QUAR.XLS]__myoffice_acc_25"/>
      <sheetName val="[OT97QUAR.XLS]__myoffice_acc_24"/>
      <sheetName val="[OT97QUAR.XLS]__myoffice_acc_28"/>
      <sheetName val="[OT97QUAR.XLS]__myoffice_acc_26"/>
      <sheetName val="[OT97QUAR.XLS]__myoffice_acc_27"/>
      <sheetName val="[OT97QUAR.XLS]__myoffice_acc_29"/>
      <sheetName val="[OT97QUAR.XLS]__myoffice_acc_31"/>
      <sheetName val="[OT97QUAR.XLS]__myoffice_acc_30"/>
      <sheetName val="[OT97QUAR.XLS]__myoffice_acc_32"/>
      <sheetName val="[OT97QUAR.XLS]__myoffice_acc_33"/>
      <sheetName val="[OT97QUAR.XLS]__myoffice_acc_34"/>
      <sheetName val="[OT97QUAR.XLS]__myoffice_acc_35"/>
      <sheetName val="[OT97QUAR.XLS]__myoffice_acc_36"/>
      <sheetName val="[OT97QUAR.XLS]__myoffice_acc_37"/>
      <sheetName val="[OT97QUAR.XLS]__myoffice_acc_39"/>
      <sheetName val="[OT97QUAR.XLS]__myoffice_acc_38"/>
      <sheetName val="[OT97QUAR.XLS]__myoffice_acc_40"/>
      <sheetName val="[OT97QUAR.XLS]__myoffice_acc_41"/>
      <sheetName val="[OT97QUAR.XLS]__myoffice_acc_42"/>
      <sheetName val="[OT97QUAR.XLS]__myoffice_acc_43"/>
      <sheetName val="[OT97QUAR.XLS]__myoffice_acc_44"/>
      <sheetName val="[OT97QUAR.XLS]__myoffice_acc_45"/>
      <sheetName val="[OT97QUAR.XLS]__myoffice_acc_46"/>
      <sheetName val="[OT97QUAR.XLS]__myoffice_acc_47"/>
      <sheetName val="[OT97QUAR.XLS]__myoffice_acc_48"/>
      <sheetName val="Grafici_Prodotto18"/>
      <sheetName val="Grafici_Prodotto_GRP_Alti18"/>
      <sheetName val="OT97QUAR_XLS17"/>
      <sheetName val="TARGET__17"/>
      <sheetName val="radio_comm_li17"/>
      <sheetName val="Report_Resume17"/>
      <sheetName val="Planning_Mobile_cpm17"/>
      <sheetName val="Planning_Display_cpc17"/>
      <sheetName val="Planning_SEM17"/>
      <sheetName val="Planning_Display_cpv17"/>
      <sheetName val="Planning_Videoseeding17"/>
      <sheetName val="Planning_DEM_cpl17"/>
      <sheetName val="radioa_rai17"/>
      <sheetName val="Form_per_RDA17"/>
      <sheetName val="\\etno03\condivisa_vittoria\BL3"/>
      <sheetName val="28_91"/>
      <sheetName val="\\server_umg\Users\Emes\Downloa"/>
      <sheetName val="\Users\bruno_baty\AppData\Local"/>
      <sheetName val="[OT97QUAR_XLS][OT97QUAR_XLS]\@\"/>
      <sheetName val="[OT97QUAR_XLS][OT97QUAR_XLS]\C\"/>
      <sheetName val="[OT97QUAR_XLS][OT97QUAR_XLS]\\C"/>
      <sheetName val="[OT97QUAR_XLS][OT97QUAR_XLS]\Us"/>
      <sheetName val="[OT97QUAR_XLS][OT97QUAR_XLS]\\A"/>
      <sheetName val="[OT97QUAR_XLS][OT97QUAR_XLS]\\s"/>
      <sheetName val="[OT97QUAR_XLS][OT97QUAR_XLS]\\e"/>
      <sheetName val="[OT97QUAR_XLS][OT97QUAR_XLS]\\M"/>
      <sheetName val="[OT97QUAR_XLS][OT97QUAR_XLS][OT"/>
      <sheetName val="//myoffice_accenture_com/Users/"/>
      <sheetName val="Grafici_Prodotto19"/>
      <sheetName val="Grafici_Prodotto_GRP_Alti19"/>
      <sheetName val="OT97QUAR_XLS18"/>
      <sheetName val="TARGET__18"/>
      <sheetName val="radio_comm_li18"/>
      <sheetName val="Report_Resume18"/>
      <sheetName val="Planning_Mobile_cpm18"/>
      <sheetName val="Planning_Display_cpc18"/>
      <sheetName val="Planning_SEM18"/>
      <sheetName val="Planning_Display_cpv18"/>
      <sheetName val="Planning_Videoseeding18"/>
      <sheetName val="Planning_DEM_cpl18"/>
      <sheetName val="radioa_rai18"/>
      <sheetName val="Form_per_RDA18"/>
      <sheetName val="\\etno03\condivisa_vittoria\BL4"/>
      <sheetName val="28_92"/>
      <sheetName val="\\server_umg\Users\Emes\Downlo1"/>
      <sheetName val="\Users\bruno_baty\AppData\Loca1"/>
      <sheetName val="[OT97QUAR_XLS][OT97QUAR_XLS]\@1"/>
      <sheetName val="[OT97QUAR_XLS][OT97QUAR_XLS]\C1"/>
      <sheetName val="[OT97QUAR_XLS][OT97QUAR_XLS]\\1"/>
      <sheetName val="[OT97QUAR_XLS][OT97QUAR_XLS]\U1"/>
      <sheetName val="[OT97QUAR_XLS][OT97QUAR_XLS]\\2"/>
      <sheetName val="[OT97QUAR_XLS][OT97QUAR_XLS]\\3"/>
      <sheetName val="[OT97QUAR_XLS][OT97QUAR_XLS]\\4"/>
      <sheetName val="[OT97QUAR_XLS][OT97QUAR_XLS]\\5"/>
      <sheetName val="[OT97QUAR_XLS][OT97QUAR_XLS][O1"/>
      <sheetName val="//myoffice_accenture_com/Users1"/>
      <sheetName val="COPERTINA"/>
      <sheetName val="[OT97QUAR.XLS]__myoffice_acc_49"/>
      <sheetName val="[OT97QUAR.XLS]__myoffice_acc_73"/>
      <sheetName val="MediaPlan Naming Convention"/>
      <sheetName val="MEDIAMOB WHISTELIST"/>
      <sheetName val="PBU WHITELIST VOL"/>
      <sheetName val="PBU WITHELIST DISPLAY"/>
      <sheetName val="PBU VOL"/>
      <sheetName val="TDominio"/>
      <sheetName val="[OT97QUAR.XLS]__unilever_my__31"/>
      <sheetName val="[OT97QUAR.XLS][OT97QUAR.XLS]\BL"/>
      <sheetName val=" FOCUS"/>
      <sheetName val="DONNE"/>
      <sheetName val="PUB"/>
      <sheetName val="RAI"/>
      <sheetName val="[OT97QUAR.XLS]__unilever_my_s_2"/>
      <sheetName val="[OT97QUAR.XLS]__unilever_my_s_3"/>
      <sheetName val="[OT97QUAR.XLS]__unilever_my_s_4"/>
      <sheetName val="[OT97QUAR.XLS]__myoffice_acc_59"/>
      <sheetName val="[OT97QUAR.XLS]__unilever_my__22"/>
      <sheetName val="[OT97QUAR.XLS]__unilever_my_s_5"/>
      <sheetName val="[OT97QUAR.XLS]__unilever_my_s_6"/>
      <sheetName val="[OT97QUAR.XLS]__unilever_my__10"/>
      <sheetName val="[OT97QUAR.XLS]__unilever_my_s_7"/>
      <sheetName val="[OT97QUAR.XLS]__unilever_my_s_8"/>
      <sheetName val="[OT97QUAR.XLS]__unilever_my_s_9"/>
      <sheetName val="[OT97QUAR.XLS]__unilever_my__16"/>
      <sheetName val="[OT97QUAR.XLS]__unilever_my__15"/>
      <sheetName val="[OT97QUAR.XLS]__unilever_my__14"/>
      <sheetName val="[OT97QUAR.XLS]__unilever_my__13"/>
      <sheetName val="[OT97QUAR.XLS]__unilever_my__11"/>
      <sheetName val="[OT97QUAR.XLS]__unilever_my__12"/>
      <sheetName val="[OT97QUAR.XLS]__unilever_my__17"/>
      <sheetName val="[OT97QUAR.XLS]__myoffice_acc_50"/>
      <sheetName val="[OT97QUAR.XLS]__myoffice_acc_53"/>
      <sheetName val="[OT97QUAR.XLS]__myoffice_acc_51"/>
      <sheetName val="[OT97QUAR.XLS]__myoffice_acc_52"/>
      <sheetName val="[OT97QUAR.XLS]__myoffice_acc_54"/>
      <sheetName val="[OT97QUAR.XLS]__myoffice_acc_57"/>
      <sheetName val="[OT97QUAR.XLS]__unilever_my__20"/>
      <sheetName val="[OT97QUAR.XLS]__myoffice_acc_55"/>
      <sheetName val="[OT97QUAR.XLS]__unilever_my__18"/>
      <sheetName val="[OT97QUAR.XLS]__myoffice_acc_56"/>
      <sheetName val="[OT97QUAR.XLS]__unilever_my__19"/>
      <sheetName val="[OT97QUAR.XLS]__myoffice_acc_58"/>
      <sheetName val="[OT97QUAR.XLS]__unilever_my__21"/>
      <sheetName val="[OT97QUAR.XLS]__myoffice_acc_60"/>
      <sheetName val="[OT97QUAR.XLS]__unilever_my__23"/>
      <sheetName val="[OT97QUAR.XLS]__myoffice_acc_61"/>
      <sheetName val="[OT97QUAR.XLS]__myoffice_acc_62"/>
      <sheetName val="[OT97QUAR.XLS]__unilever_my__25"/>
      <sheetName val="[OT97QUAR.XLS]__unilever_my__24"/>
      <sheetName val="[OT97QUAR.XLS]__myoffice_acc_63"/>
      <sheetName val="[OT97QUAR.XLS]__unilever_my__26"/>
      <sheetName val="[OT97QUAR.XLS]__myoffice_acc_64"/>
      <sheetName val="[OT97QUAR.XLS]__unilever_my__27"/>
      <sheetName val="[OT97QUAR.XLS]__myoffice_acc_66"/>
      <sheetName val="[OT97QUAR.XLS]__myoffice_acc_65"/>
      <sheetName val="[OT97QUAR.XLS]__myoffice_acc_67"/>
      <sheetName val="[OT97QUAR.XLS]__myoffice_acc_68"/>
      <sheetName val="[OT97QUAR.XLS]__myoffice_acc_69"/>
      <sheetName val="[OT97QUAR.XLS]__myoffice_acc_71"/>
      <sheetName val="[OT97QUAR.XLS]__unilever_my__29"/>
      <sheetName val="[OT97QUAR.XLS]__myoffice_acc_70"/>
      <sheetName val="[OT97QUAR.XLS]__unilever_my__28"/>
      <sheetName val="[OT97QUAR.XLS]__myoffice_acc_72"/>
      <sheetName val="[OT97QUAR.XLS]__unilever_my__30"/>
      <sheetName val="[OT97QUAR.XLS]__myoffice_acc_74"/>
      <sheetName val="[OT97QUAR.XLS]__unilever_my__32"/>
      <sheetName val="[OT97QUAR.XLS]__myoffice_acc_78"/>
      <sheetName val="[OT97QUAR.XLS]__myoffice_acc_75"/>
      <sheetName val="[OT97QUAR.XLS]__unilever_my__33"/>
      <sheetName val="[OT97QUAR.XLS]__myoffice_acc_76"/>
      <sheetName val="[OT97QUAR.XLS]__myoffice_acc_77"/>
      <sheetName val="[OT97QUAR.XLS]__unilever_my__34"/>
      <sheetName val="[OT97QUAR.XLS]__myoffice_acc_80"/>
      <sheetName val="[OT97QUAR.XLS]__myoffice_acc_79"/>
      <sheetName val="[OT97QUAR.XLS]__myoffice_acc_81"/>
      <sheetName val="[OT97QUAR.XLS]__unilever_my__36"/>
      <sheetName val="[OT97QUAR.XLS]__unilever_my__35"/>
      <sheetName val="[OT97QUAR.XLS]__myoffice_acc_82"/>
      <sheetName val="[OT97QUAR.XLS]__unilever_my__38"/>
      <sheetName val="[OT97QUAR.XLS]__unilever_my__37"/>
      <sheetName val="[OT97QUAR.XLS]__myoffice_acc_83"/>
      <sheetName val="[OT97QUAR.XLS]__unilever_my__39"/>
      <sheetName val="[OT97QUAR.XLS]__myoffice_acc_86"/>
      <sheetName val="[OT97QUAR.XLS]__myoffice_acc_84"/>
      <sheetName val="[OT97QUAR.XLS]__myoffice_acc_85"/>
      <sheetName val="[OT97QUAR.XLS]__myoffice_acc_87"/>
      <sheetName val="[OT97QUAR.XLS]__unilever_my__40"/>
      <sheetName val="[OT97QUAR.XLS]__myoffice_acc_92"/>
      <sheetName val="[OT97QUAR.XLS]__unilever_my__48"/>
      <sheetName val="[OT97QUAR.XLS]__unilever_my__41"/>
      <sheetName val="[OT97QUAR.XLS]__myoffice_acc_88"/>
      <sheetName val="[OT97QUAR.XLS]__unilever_my__44"/>
      <sheetName val="[OT97QUAR.XLS]__unilever_my__42"/>
      <sheetName val="[OT97QUAR.XLS]__unilever_my__43"/>
      <sheetName val="[OT97QUAR.XLS]__myoffice_acc_89"/>
      <sheetName val="[OT97QUAR.XLS]__unilever_my__45"/>
      <sheetName val="[OT97QUAR.XLS]__myoffice_acc_90"/>
      <sheetName val="[OT97QUAR.XLS]__unilever_my__46"/>
      <sheetName val="[OT97QUAR.XLS]__myoffice_acc_91"/>
      <sheetName val="[OT97QUAR.XLS]__unilever_my__47"/>
      <sheetName val="[OT97QUAR.XLS]__myoffice_acc_93"/>
      <sheetName val="[OT97QUAR.XLS]__myoffice_acc_94"/>
      <sheetName val="[OT97QUAR.XLS]__myoffice_acc_96"/>
      <sheetName val="[OT97QUAR.XLS]__myoffice_acc_95"/>
      <sheetName val="[OT97QUAR.XLS]__myoffice_acc_97"/>
      <sheetName val="[OT97QUAR.XLS]__myoffice_acc_99"/>
      <sheetName val="[OT97QUAR.XLS]__myoffice_acc_98"/>
      <sheetName val="[OT97QUAR.XLS]__myoffice_ac_100"/>
      <sheetName val="[OT97QUAR.XLS]__myoffice_ac_101"/>
      <sheetName val="[OT97QUAR.XLS]__myoffice_ac_102"/>
      <sheetName val="[OT97QUAR.XLS]__myoffice_ac_103"/>
      <sheetName val="[OT97QUAR.XLS]__myoffice_ac_131"/>
      <sheetName val="[OT97QUAR.XLS]__unilever_my__85"/>
      <sheetName val="[OT97QUAR.XLS]__unilever_my__49"/>
      <sheetName val="[OT97QUAR.XLS]__unilever_my__51"/>
      <sheetName val="[OT97QUAR.XLS]__unilever_my__50"/>
      <sheetName val="[OT97QUAR.XLS]__unilever_my__53"/>
      <sheetName val="[OT97QUAR.XLS]__unilever_my__52"/>
      <sheetName val="[OT97QUAR.XLS]__unilever_my__54"/>
      <sheetName val="[OT97QUAR.XLS]__unilever_my__57"/>
      <sheetName val="[OT97QUAR.XLS]__unilever_my__56"/>
      <sheetName val="[OT97QUAR.XLS]__unilever_my__55"/>
      <sheetName val="[OT97QUAR.XLS]__myoffice_ac_104"/>
      <sheetName val="[OT97QUAR.XLS]__unilever_my__59"/>
      <sheetName val="[OT97QUAR.XLS]__unilever_my__58"/>
      <sheetName val="[OT97QUAR.XLS]__myoffice_ac_105"/>
      <sheetName val="[OT97QUAR.XLS]__unilever_my__60"/>
      <sheetName val="[OT97QUAR.XLS]__myoffice_ac_107"/>
      <sheetName val="[OT97QUAR.XLS]__unilever_my__62"/>
      <sheetName val="[OT97QUAR.XLS]__myoffice_ac_106"/>
      <sheetName val="[OT97QUAR.XLS]__unilever_my__61"/>
      <sheetName val="[OT97QUAR.XLS]__myoffice_ac_110"/>
      <sheetName val="[OT97QUAR.XLS]__unilever_my__64"/>
      <sheetName val="[OT97QUAR.XLS]__myoffice_ac_108"/>
      <sheetName val="[OT97QUAR.XLS]__unilever_my__63"/>
      <sheetName val="[OT97QUAR.XLS]__myoffice_ac_109"/>
      <sheetName val="[OT97QUAR.XLS]__myoffice_ac_111"/>
      <sheetName val="[OT97QUAR.XLS]__myoffice_ac_118"/>
      <sheetName val="[OT97QUAR.XLS]__unilever_my__65"/>
      <sheetName val="[OT97QUAR.XLS]__myoffice_ac_113"/>
      <sheetName val="[OT97QUAR.XLS]__unilever_my__67"/>
      <sheetName val="[OT97QUAR.XLS]__myoffice_ac_112"/>
      <sheetName val="[OT97QUAR.XLS]__unilever_my__66"/>
      <sheetName val="[OT97QUAR.XLS]__myoffice_ac_114"/>
      <sheetName val="[OT97QUAR.XLS]__unilever_my__68"/>
      <sheetName val="[OT97QUAR.XLS]__myoffice_ac_115"/>
      <sheetName val="[OT97QUAR.XLS]__unilever_my__69"/>
      <sheetName val="[OT97QUAR.XLS]__myoffice_ac_116"/>
      <sheetName val="[OT97QUAR.XLS]__myoffice_ac_117"/>
      <sheetName val="[OT97QUAR.XLS]__myoffice_ac_119"/>
      <sheetName val="[OT97QUAR.XLS]__unilever_my__70"/>
      <sheetName val="[OT97QUAR.XLS]__myoffice_ac_121"/>
      <sheetName val="[OT97QUAR.XLS]__unilever_my__72"/>
      <sheetName val="[OT97QUAR.XLS]__myoffice_ac_120"/>
      <sheetName val="[OT97QUAR.XLS]__unilever_my__71"/>
      <sheetName val="[OT97QUAR.XLS]__unilever_my__73"/>
      <sheetName val="[OT97QUAR.XLS]__unilever_my__74"/>
      <sheetName val="[OT97QUAR.XLS]__unilever_my__75"/>
      <sheetName val="[OT97QUAR.XLS]__myoffice_ac_124"/>
      <sheetName val="[OT97QUAR.XLS]__unilever_my__78"/>
      <sheetName val="[OT97QUAR.XLS]__myoffice_ac_122"/>
      <sheetName val="[OT97QUAR.XLS]__unilever_my__76"/>
      <sheetName val="[OT97QUAR.XLS]__myoffice_ac_123"/>
      <sheetName val="[OT97QUAR.XLS]__unilever_my__77"/>
      <sheetName val="[OT97QUAR.XLS]__myoffice_ac_125"/>
      <sheetName val="[OT97QUAR.XLS]__unilever_my__79"/>
      <sheetName val="[OT97QUAR.XLS]__myoffice_ac_126"/>
      <sheetName val="[OT97QUAR.XLS]__unilever_my__80"/>
      <sheetName val="[OT97QUAR.XLS]__myoffice_ac_127"/>
      <sheetName val="[OT97QUAR.XLS]__unilever_my__81"/>
      <sheetName val="[OT97QUAR.XLS]__myoffice_ac_130"/>
      <sheetName val="[OT97QUAR.XLS]__unilever_my__84"/>
      <sheetName val="[OT97QUAR.XLS]__myoffice_ac_129"/>
      <sheetName val="[OT97QUAR.XLS]__unilever_my__83"/>
      <sheetName val="[OT97QUAR.XLS]__myoffice_ac_128"/>
      <sheetName val="[OT97QUAR.XLS]__unilever_my__82"/>
      <sheetName val="[OT97QUAR.XLS]__myoffice_ac_132"/>
      <sheetName val="[OT97QUAR.XLS]__unilever_my__86"/>
      <sheetName val="[OT97QUAR.XLS]__myoffice_ac_133"/>
      <sheetName val="[OT97QUAR.XLS]__unilever_my__87"/>
      <sheetName val="[OT97QUAR.XLS]__myoffice_ac_134"/>
      <sheetName val="[OT97QUAR.XLS]__unilever_my__88"/>
      <sheetName val="[OT97QUAR.XLS]__myoffice_ac_135"/>
      <sheetName val="[OT97QUAR.XLS]__unilever_my__89"/>
      <sheetName val="[OT97QUAR.XLS]__myoffice_ac_137"/>
      <sheetName val="[OT97QUAR.XLS]__unilever_my__91"/>
      <sheetName val="[OT97QUAR.XLS]__myoffice_ac_136"/>
      <sheetName val="[OT97QUAR.XLS]__unilever_my__90"/>
      <sheetName val="[OT97QUAR.XLS]__myoffice_ac_138"/>
      <sheetName val="[OT97QUAR.XLS]__unilever_my__92"/>
      <sheetName val="[OT97QUAR.XLS]__myoffice_ac_141"/>
      <sheetName val="[OT97QUAR.XLS]__unilever_my__95"/>
      <sheetName val="[OT97QUAR.XLS]__myoffice_ac_140"/>
      <sheetName val="[OT97QUAR.XLS]__unilever_my__94"/>
      <sheetName val="[OT97QUAR.XLS]__myoffice_ac_139"/>
      <sheetName val="[OT97QUAR.XLS]__unilever_my__93"/>
      <sheetName val="[OT97QUAR.XLS]__myoffice_ac_142"/>
      <sheetName val="[OT97QUAR.XLS]__unilever_my__96"/>
      <sheetName val="[OT97QUAR.XLS]__myoffice_ac_147"/>
      <sheetName val="[OT97QUAR.XLS]__unilever_my_101"/>
      <sheetName val="[OT97QUAR.XLS]__myoffice_ac_143"/>
      <sheetName val="[OT97QUAR.XLS]__unilever_my__97"/>
      <sheetName val="[OT97QUAR.XLS]__myoffice_ac_144"/>
      <sheetName val="[OT97QUAR.XLS]__unilever_my__98"/>
      <sheetName val="[OT97QUAR.XLS]__myoffice_ac_145"/>
      <sheetName val="[OT97QUAR.XLS]__unilever_my__99"/>
      <sheetName val="[OT97QUAR.XLS]__myoffice_ac_146"/>
      <sheetName val="[OT97QUAR.XLS]__unilever_my_100"/>
      <sheetName val="[OT97QUAR.XLS]__myoffice_ac_148"/>
      <sheetName val="[OT97QUAR.XLS]__myoffice_ac_149"/>
      <sheetName val="//globalappsportal-my.sharepoin"/>
      <sheetName val="[OT97QUAR.XLS]__myoffice_ac_150"/>
      <sheetName val="[OT97QUAR.XLS]__myoffice_ac_163"/>
      <sheetName val="[OT97QUAR.XLS]__unilever_my_133"/>
      <sheetName val="[OT97QUAR.XLS]__unilever_my_102"/>
      <sheetName val="[OT97QUAR.XLS]__unilever_my_103"/>
      <sheetName val="[OT97QUAR.XLS]__myoffice_ac_151"/>
      <sheetName val="[OT97QUAR.XLS]__unilever_my_105"/>
      <sheetName val="[OT97QUAR.XLS]__unilever_my_104"/>
      <sheetName val="[OT97QUAR.XLS]__myoffice_ac_152"/>
      <sheetName val="[OT97QUAR.XLS]__unilever_my_106"/>
      <sheetName val="[OT97QUAR.XLS]__myoffice_ac_155"/>
      <sheetName val="[OT97QUAR.XLS]__unilever_my_109"/>
      <sheetName val="[OT97QUAR.XLS]__myoffice_ac_154"/>
      <sheetName val="[OT97QUAR.XLS]__unilever_my_108"/>
      <sheetName val="[OT97QUAR.XLS]__myoffice_ac_153"/>
      <sheetName val="[OT97QUAR.XLS]__unilever_my_107"/>
      <sheetName val="[OT97QUAR.XLS]__unilever_my_125"/>
      <sheetName val="/CIA_ROME_NT_1/DATA/BLU_RM/A-BL"/>
      <sheetName val="[OT97QUAR.XLS]__unilever_my_110"/>
      <sheetName val="[OT97QUAR.XLS]__unilever_my_112"/>
      <sheetName val="[OT97QUAR.XLS]__unilever_my_111"/>
      <sheetName val="[OT97QUAR.XLS]__unilever_my_113"/>
      <sheetName val="[OT97QUAR.XLS]__unilever_my_117"/>
      <sheetName val="[OT97QUAR.XLS]__unilever_my_114"/>
      <sheetName val="[OT97QUAR.XLS]__unilever_my_115"/>
      <sheetName val="[OT97QUAR.XLS]__unilever_my_116"/>
      <sheetName val="[OT97QUAR.XLS]__unilever_my_118"/>
      <sheetName val="[OT97QUAR.XLS]__unilever_my_119"/>
      <sheetName val="[OT97QUAR.XLS]__unilever_my_120"/>
      <sheetName val="[OT97QUAR.XLS]__unilever_my_121"/>
      <sheetName val="[OT97QUAR.XLS]__unilever_my_123"/>
      <sheetName val="[OT97QUAR.XLS]__unilever_my_122"/>
      <sheetName val="[OT97QUAR.XLS]__unilever_my_124"/>
      <sheetName val="[OT97QUAR.XLS]__myoffice_ac_156"/>
      <sheetName val="[OT97QUAR.XLS]__unilever_my_126"/>
      <sheetName val="[OT97QUAR.XLS]__myoffice_ac_157"/>
      <sheetName val="[OT97QUAR.XLS]__unilever_my_127"/>
      <sheetName val="[OT97QUAR.XLS]__myoffice_ac_159"/>
      <sheetName val="[OT97QUAR.XLS]__unilever_my_129"/>
      <sheetName val="[OT97QUAR.XLS]__myoffice_ac_158"/>
      <sheetName val="[OT97QUAR.XLS]__unilever_my_128"/>
      <sheetName val="[OT97QUAR.XLS]__myoffice_ac_161"/>
      <sheetName val="[OT97QUAR.XLS]__unilever_my_131"/>
      <sheetName val="[OT97QUAR.XLS]__myoffice_ac_160"/>
      <sheetName val="[OT97QUAR.XLS]__unilever_my_130"/>
      <sheetName val="[OT97QUAR.XLS]__myoffice_ac_162"/>
      <sheetName val="[OT97QUAR.XLS]__unilever_my_132"/>
      <sheetName val="_@_CIA_ROME_NT_1_DATA_BLU_RM_A-"/>
      <sheetName val="_C_@_CIA_ROME_NT_1_DATA_BLU_RM_"/>
      <sheetName val="__CIA_ROME_NT_1_DATA_BLU_RM_A-B"/>
      <sheetName val="_Users_ccojoc01_AppData_Local_M"/>
      <sheetName val="__APSGAPFS02_Public$_Users_ccoj"/>
      <sheetName val="__etno03_condivisa vittoria_BLU"/>
      <sheetName val="[OT97QUAR.XLS]__myoffice_ac_164"/>
      <sheetName val="[OT97QUAR.XLS]__unilever_my_134"/>
      <sheetName val="[OT97QUAR.XLS]__myoffice_ac_173"/>
      <sheetName val="[OT97QUAR.XLS]__unilever_my_143"/>
      <sheetName val="[OT97QUAR.XLS]__myoffice_ac_172"/>
      <sheetName val="[OT97QUAR.XLS]__unilever_my_142"/>
      <sheetName val="[OT97QUAR.XLS]__myoffice_ac_165"/>
      <sheetName val="[OT97QUAR.XLS]__unilever_my_135"/>
      <sheetName val="[OT97QUAR.XLS]__myoffice_ac_166"/>
      <sheetName val="[OT97QUAR.XLS]__unilever_my_136"/>
      <sheetName val="[OT97QUAR.XLS]__myoffice_ac_167"/>
      <sheetName val="[OT97QUAR.XLS]__unilever_my_137"/>
      <sheetName val="[OT97QUAR.XLS]__myoffice_ac_168"/>
      <sheetName val="[OT97QUAR.XLS]__unilever_my_138"/>
      <sheetName val="[OT97QUAR.XLS]__myoffice_ac_169"/>
      <sheetName val="[OT97QUAR.XLS]__unilever_my_139"/>
      <sheetName val="[OT97QUAR.XLS]__myoffice_ac_170"/>
      <sheetName val="[OT97QUAR.XLS]__unilever_my_140"/>
      <sheetName val="[OT97QUAR.XLS]__myoffice_ac_171"/>
      <sheetName val="[OT97QUAR.XLS]__unilever_my_141"/>
      <sheetName val="[OT97QUAR.XLS]__myoffice_ac_174"/>
      <sheetName val="[OT97QUAR.XLS]__unilever_my_144"/>
      <sheetName val="[OT97QUAR.XLS]__myoffice_ac_175"/>
      <sheetName val="[OT97QUAR.XLS]__unilever_my_145"/>
      <sheetName val="[OT97QUAR.XLS]__myoffice_ac_189"/>
      <sheetName val="[OT97QUAR.XLS]__unilever_my_159"/>
      <sheetName val="[OT97QUAR.XLS]__myoffice_ac_176"/>
      <sheetName val="[OT97QUAR.XLS]__unilever_my_146"/>
      <sheetName val="[OT97QUAR.XLS]__myoffice_ac_177"/>
      <sheetName val="[OT97QUAR.XLS]__unilever_my_147"/>
      <sheetName val="[OT97QUAR.XLS]__myoffice_ac_178"/>
      <sheetName val="[OT97QUAR.XLS]__unilever_my_148"/>
      <sheetName val="[OT97QUAR.XLS]__myoffice_ac_179"/>
      <sheetName val="[OT97QUAR.XLS]__unilever_my_149"/>
      <sheetName val="[OT97QUAR.XLS]__myoffice_ac_180"/>
      <sheetName val="[OT97QUAR.XLS]__unilever_my_150"/>
      <sheetName val="[OT97QUAR.XLS]__myoffice_ac_181"/>
      <sheetName val="[OT97QUAR.XLS]__unilever_my_151"/>
      <sheetName val="[OT97QUAR.XLS]__myoffice_ac_182"/>
      <sheetName val="[OT97QUAR.XLS]__unilever_my_152"/>
      <sheetName val="[OT97QUAR.XLS]__myoffice_ac_183"/>
      <sheetName val="[OT97QUAR.XLS]__unilever_my_153"/>
      <sheetName val="[OT97QUAR.XLS]__myoffice_ac_185"/>
      <sheetName val="[OT97QUAR.XLS]__unilever_my_155"/>
      <sheetName val="[OT97QUAR.XLS]__myoffice_ac_184"/>
      <sheetName val="[OT97QUAR.XLS]__unilever_my_154"/>
      <sheetName val="[OT97QUAR.XLS]__myoffice_ac_187"/>
      <sheetName val="[OT97QUAR.XLS]__unilever_my_157"/>
      <sheetName val="[OT97QUAR.XLS]__myoffice_ac_186"/>
      <sheetName val="[OT97QUAR.XLS]__unilever_my_156"/>
      <sheetName val="[OT97QUAR.XLS]__myoffice_ac_188"/>
      <sheetName val="[OT97QUAR.XLS]__unilever_my_158"/>
      <sheetName val="[OT97QUAR.XLS]__myoffice_ac_191"/>
      <sheetName val="[OT97QUAR.XLS]__unilever_my_161"/>
      <sheetName val="[OT97QUAR.XLS]__myoffice_ac_190"/>
      <sheetName val="[OT97QUAR.XLS]__unilever_my_160"/>
      <sheetName val="[OT97QUAR.XLS]__myoffice_ac_192"/>
      <sheetName val="[OT97QUAR.XLS]__unilever_my_162"/>
      <sheetName val="[OT97QUAR.XLS]__myoffice_ac_193"/>
      <sheetName val="[OT97QUAR.XLS]__unilever_my_163"/>
      <sheetName val="[OT97QUAR.XLS]__myoffice_ac_194"/>
      <sheetName val="[OT97QUAR.XLS]__unilever_my_164"/>
      <sheetName val="[OT97QUAR.XLS]__myoffice_ac_195"/>
      <sheetName val="[OT97QUAR.XLS]__unilever_my_165"/>
      <sheetName val="[OT97QUAR.XLS]__myoffice_ac_196"/>
      <sheetName val="[OT97QUAR.XLS]__unilever_my_166"/>
      <sheetName val="[OT97QUAR.XLS]__myoffice_ac_197"/>
      <sheetName val="[OT97QUAR.XLS]__unilever_my_167"/>
      <sheetName val="[OT97QUAR.XLS]__myoffice_ac_198"/>
      <sheetName val="__server.umg_Users_Emes_Downloa"/>
      <sheetName val="[OT97QUAR.XLS]__myoffice_ac_199"/>
      <sheetName val="[OT97QUAR.XLS]__myoffice_ac_200"/>
      <sheetName val="[OT97QUAR.XLS]__myoffice_ac_201"/>
      <sheetName val="[OT97QUAR.XLS]__myoffice_ac_202"/>
      <sheetName val="[OT97QUAR.XLS]__unilever_my_169"/>
      <sheetName val="[OT97QUAR.XLS]__unilever_my_168"/>
      <sheetName val="[OT97QUAR.XLS]__unilever_my_170"/>
      <sheetName val="[OT97QUAR.XLS]__unilever_my_171"/>
      <sheetName val="[OT97QUAR.XLS]__unilever_my_172"/>
      <sheetName val="[OT97QUAR.XLS]__myoffice_ac_203"/>
      <sheetName val="[OT97QUAR.XLS]__unilever_my_173"/>
      <sheetName val="[OT97QUAR.XLS]__myoffice_ac_204"/>
      <sheetName val="[OT97QUAR.XLS]__unilever_my_174"/>
      <sheetName val="[OT97QUAR.XLS]__myoffice_ac_205"/>
      <sheetName val="[OT97QUAR.XLS]__unilever_my_175"/>
      <sheetName val="[OT97QUAR.XLS]__myoffice_ac_210"/>
      <sheetName val="[OT97QUAR.XLS]__unilever_my_180"/>
      <sheetName val="[OT97QUAR.XLS]__myoffice_ac_206"/>
      <sheetName val="[OT97QUAR.XLS]__unilever_my_176"/>
      <sheetName val="[OT97QUAR.XLS]__myoffice_ac_207"/>
      <sheetName val="[OT97QUAR.XLS]__unilever_my_177"/>
      <sheetName val="[OT97QUAR.XLS]__myoffice_ac_208"/>
      <sheetName val="[OT97QUAR.XLS]__unilever_my_178"/>
      <sheetName val="[OT97QUAR.XLS]__myoffice_ac_209"/>
      <sheetName val="[OT97QUAR.XLS]__unilever_my_179"/>
      <sheetName val="[OT97QUAR.XLS]__myoffice_ac_214"/>
      <sheetName val="[OT97QUAR.XLS]__unilever_my_184"/>
      <sheetName val="[OT97QUAR.XLS]__myoffice_ac_211"/>
      <sheetName val="[OT97QUAR.XLS]__unilever_my_181"/>
      <sheetName val="[OT97QUAR.XLS]__myoffice_ac_212"/>
      <sheetName val="[OT97QUAR.XLS]__unilever_my_182"/>
      <sheetName val="[OT97QUAR.XLS]__myoffice_ac_213"/>
      <sheetName val="[OT97QUAR.XLS]__unilever_my_183"/>
      <sheetName val="[OT97QUAR.XLS]__myoffice_ac_215"/>
      <sheetName val="[OT97QUAR.XLS]__unilever_my_185"/>
      <sheetName val="[OT97QUAR.XLS]__myoffice_ac_216"/>
      <sheetName val="[OT97QUAR.XLS]__unilever_my_186"/>
      <sheetName val="[OT97QUAR.XLS]__myoffice_ac_217"/>
      <sheetName val="[OT97QUAR.XLS]__unilever_my_187"/>
      <sheetName val="[OT97QUAR.XLS]__myoffice_ac_218"/>
      <sheetName val="[OT97QUAR.XLS]__unilever_my_188"/>
      <sheetName val="[OT97QUAR.XLS]__myoffice_ac_219"/>
      <sheetName val="[OT97QUAR.XLS]__unilever_my_189"/>
      <sheetName val="[OT97QUAR.XLS]__myoffice_ac_232"/>
      <sheetName val="[OT97QUAR.XLS]__unilever_my_202"/>
      <sheetName val="[OT97QUAR.XLS]__myoffice_ac_220"/>
      <sheetName val="[OT97QUAR.XLS]__unilever_my_190"/>
      <sheetName val="[OT97QUAR.XLS]__myoffice_ac_221"/>
      <sheetName val="[OT97QUAR.XLS]__unilever_my_191"/>
      <sheetName val="[OT97QUAR.XLS]__myoffice_ac_223"/>
      <sheetName val="[OT97QUAR.XLS]__unilever_my_193"/>
      <sheetName val="[OT97QUAR.XLS]__myoffice_ac_222"/>
      <sheetName val="[OT97QUAR.XLS]__unilever_my_192"/>
      <sheetName val="[OT97QUAR.XLS]__myoffice_ac_224"/>
      <sheetName val="[OT97QUAR.XLS]__unilever_my_194"/>
      <sheetName val="[OT97QUAR.XLS]__myoffice_ac_225"/>
      <sheetName val="[OT97QUAR.XLS]__unilever_my_195"/>
      <sheetName val="[OT97QUAR.XLS]__myoffice_ac_226"/>
      <sheetName val="[OT97QUAR.XLS]__unilever_my_196"/>
      <sheetName val="[OT97QUAR.XLS]___CIA_ROME_NT__2"/>
      <sheetName val="[OT97QUAR.XLS]_C___CIA_ROME_N_2"/>
      <sheetName val="[OT97QUAR.XLS]__CIA_ROME_NT_1_2"/>
      <sheetName val="[OT97QUAR.XLS]_Users_ccojoc01_2"/>
      <sheetName val="[OT97QUAR.XLS]__APSGAPFS02_Pu_2"/>
      <sheetName val="[OT97QUAR.XLS]__etno03_condiv_2"/>
      <sheetName val="[OT97QUAR.XLS]__etno03_condiv_3"/>
      <sheetName val="[OT97QUAR.XLS]__etno03_condiv_4"/>
      <sheetName val="[OT97QUAR.XLS]__MIL_FPS39_cli_2"/>
      <sheetName val="[OT97QUAR.XLS]__server_umg_Us_2"/>
      <sheetName val="[OT97QUAR.XLS]_Users_bruno_ba_2"/>
      <sheetName val="[OT97QUAR.XLS][OT97QUAR.XLS]__2"/>
      <sheetName val="[OT97QUAR.XLS][OT97QUAR.XLS]__3"/>
      <sheetName val="[OT97QUAR.XLS][OT97QUAR.XLS]__4"/>
      <sheetName val="[OT97QUAR.XLS][OT97QUAR.XLS]__5"/>
      <sheetName val="[OT97QUAR.XLS][OT97QUAR.XLS]__6"/>
      <sheetName val="[OT97QUAR.XLS][OT97QUAR.XLS]__7"/>
      <sheetName val="[OT97QUAR.XLS][OT97QUAR.XLS]__8"/>
      <sheetName val="[OT97QUAR.XLS][OT97QUAR.XLS]__9"/>
      <sheetName val="[OT97QUAR.XLS]_Users_kunleAde_2"/>
      <sheetName val="[OT97QUAR.XLS]__etno03_condiv_5"/>
      <sheetName val="BASE DATI REPORT_WM"/>
      <sheetName val="matrixvars"/>
      <sheetName val="[OT97QUAR.XLS]__myoffice_ac_227"/>
      <sheetName val="[OT97QUAR.XLS]__unilever_my_197"/>
      <sheetName val="[OT97QUAR.XLS]__myoffice_ac_228"/>
      <sheetName val="[OT97QUAR.XLS]__unilever_my_198"/>
      <sheetName val="[OT97QUAR.XLS]__myoffice_ac_230"/>
      <sheetName val="[OT97QUAR.XLS]__unilever_my_200"/>
      <sheetName val="[OT97QUAR.XLS]__myoffice_ac_229"/>
      <sheetName val="[OT97QUAR.XLS]__unilever_my_199"/>
      <sheetName val="[OT97QUAR.XLS]__myoffice_ac_231"/>
      <sheetName val="[OT97QUAR.XLS]__unilever_my_201"/>
      <sheetName val="[OT97QUAR.XLS]__myoffice_ac_234"/>
      <sheetName val="[OT97QUAR.XLS]__unilever_my_204"/>
      <sheetName val="[OT97QUAR.XLS]__myoffice_ac_233"/>
      <sheetName val="[OT97QUAR.XLS]__unilever_my_203"/>
      <sheetName val="[OT97QUAR.XLS]__myoffice_ac_235"/>
      <sheetName val="[OT97QUAR.XLS]__unilever_my_205"/>
      <sheetName val="[OT97QUAR.XLS]__myoffice_ac_236"/>
      <sheetName val="[OT97QUAR.XLS]__unilever_my_206"/>
      <sheetName val="[OT97QUAR.XLS]__myoffice_ac_237"/>
      <sheetName val="[OT97QUAR.XLS]__unilever_my_207"/>
      <sheetName val="[OT97QUAR.XLS]__myoffice_ac_238"/>
      <sheetName val="[OT97QUAR.XLS]__unilever_my_208"/>
    </sheetNames>
    <definedNames>
      <definedName name="Alti"/>
      <definedName name="normal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 RMB"/>
      <sheetName val="TOTALE CINEMA"/>
      <sheetName val="CINEMA SIPRA"/>
      <sheetName val="CINEMA OPUS"/>
      <sheetName val="lettera superato"/>
      <sheetName val="lettera conferma SIPRA"/>
      <sheetName val="Cinema solo listino"/>
      <sheetName val="Conto Economico.xls"/>
      <sheetName val="OT97QUAR"/>
      <sheetName val="Conto Economico"/>
      <sheetName val="DATI"/>
      <sheetName val="Conto%20Economico.xls"/>
      <sheetName val="CY2017 AOP Rates "/>
      <sheetName val="anarev"/>
      <sheetName val="l_Oreal 2008"/>
      <sheetName val="TOTALE_CINEMA"/>
      <sheetName val="CINEMA_RMB"/>
      <sheetName val="CINEMA_SIPRA"/>
      <sheetName val="CINEMA_OPUS"/>
      <sheetName val="lettera_superato"/>
      <sheetName val="lettera_conferma_SIPRA"/>
      <sheetName val="Cinema_solo_listino"/>
      <sheetName val="SitesVermarkter"/>
      <sheetName val="cic 22-9 - 26-10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%20Economico_xls"/>
      <sheetName val="Conto_Economico"/>
      <sheetName val="l_Oreal_2008"/>
      <sheetName val="TOTALE_CINEMA1"/>
      <sheetName val="CINEMA_RMB1"/>
      <sheetName val="CINEMA_SIPRA1"/>
      <sheetName val="CINEMA_OPUS1"/>
      <sheetName val="lettera_superato1"/>
      <sheetName val="lettera_conferma_SIPRA1"/>
      <sheetName val="Cinema_solo_listino1"/>
      <sheetName val="Conto%20Economico_xls1"/>
      <sheetName val="Conto_Economico1"/>
      <sheetName val="l_Oreal_20081"/>
      <sheetName val="Market information"/>
      <sheetName val="PIANO GENERALE"/>
      <sheetName val="Conto Sipra"/>
      <sheetName val="Print admin"/>
      <sheetName val="R Print10"/>
      <sheetName val="R Print11"/>
      <sheetName val="R OOH10"/>
      <sheetName val="R OOH11"/>
      <sheetName val="R rad10"/>
      <sheetName val="R rad11"/>
      <sheetName val="R TV10"/>
      <sheetName val="R TV11"/>
      <sheetName val="PF RADIO "/>
      <sheetName val="08"/>
      <sheetName val="Last Year"/>
      <sheetName val="BcoDados"/>
      <sheetName val="CashFlow"/>
      <sheetName val="price list"/>
      <sheetName val="Exec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Sipra"/>
      <sheetName val="riepilogo tv"/>
      <sheetName val="Sipra"/>
      <sheetName val="Publitalia"/>
      <sheetName val="Conto Publitalia"/>
      <sheetName val="Tmc"/>
      <sheetName val="Conto tmc"/>
      <sheetName val="Conto MTV"/>
      <sheetName val="Conto TELE+"/>
      <sheetName val="Conto STREAM"/>
      <sheetName val="Foglio1"/>
      <sheetName val="KUBIK TOTALE"/>
      <sheetName val="Prenot.Publitalia"/>
      <sheetName val="Prenot. MTV"/>
      <sheetName val="CALENDARIO"/>
      <sheetName val="Prenot.stream"/>
      <sheetName val="Prenot.TELE+"/>
      <sheetName val="ADULTI 28 - 3"/>
      <sheetName val="Focus 28 - 3"/>
      <sheetName val="kubik adulti"/>
      <sheetName val="kubik focus"/>
      <sheetName val="CINEMA RMB"/>
      <sheetName val="TV 21Gen-3Feb"/>
      <sheetName val="DATI"/>
      <sheetName val="riepilogo_tv"/>
      <sheetName val="Conto_Sipra"/>
      <sheetName val="Conto_Publitalia"/>
      <sheetName val="Conto_tmc"/>
      <sheetName val="Conto_MTV"/>
      <sheetName val="Conto_TELE+"/>
      <sheetName val="Conto_STREAM"/>
      <sheetName val="KUBIK_TOTALE"/>
      <sheetName val="Prenot_Publitalia"/>
      <sheetName val="Prenot__MTV"/>
      <sheetName val="Prenot_stream"/>
      <sheetName val="Prenot_TELE+"/>
      <sheetName val="ADULTI_28_-_3"/>
      <sheetName val="Focus_28_-_3"/>
      <sheetName val="kubik_adulti"/>
      <sheetName val="kubik_focus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GRP"/>
      <sheetName val="PIANO GENERALE"/>
      <sheetName val="Market information"/>
      <sheetName val="CINEMA_RMB"/>
      <sheetName val="TV_21Gen-3Feb"/>
      <sheetName val="riepilogo_tv1"/>
      <sheetName val="Conto_Sipra1"/>
      <sheetName val="Conto_Publitalia1"/>
      <sheetName val="Conto_tmc1"/>
      <sheetName val="Conto_MTV1"/>
      <sheetName val="Conto_TELE+1"/>
      <sheetName val="Conto_STREAM1"/>
      <sheetName val="KUBIK_TOTALE1"/>
      <sheetName val="Prenot_Publitalia1"/>
      <sheetName val="Prenot__MTV1"/>
      <sheetName val="Prenot_stream1"/>
      <sheetName val="Prenot_TELE+1"/>
      <sheetName val="ADULTI_28_-_31"/>
      <sheetName val="Focus_28_-_31"/>
      <sheetName val="kubik_adulti1"/>
      <sheetName val="kubik_focus1"/>
      <sheetName val="CINEMA_RMB1"/>
      <sheetName val="TV_21Gen-3Feb1"/>
      <sheetName val="Last Year"/>
      <sheetName val="08"/>
      <sheetName val="price list"/>
      <sheetName val="Bos"/>
      <sheetName val="Bul"/>
      <sheetName val="Rom-Ship"/>
      <sheetName val="媒体"/>
      <sheetName val="PF RADIO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NIZIO"/>
      <sheetName val="Macro1"/>
      <sheetName val="RIS COM"/>
      <sheetName val="Conto Sipra"/>
      <sheetName val="CINEMA RMB"/>
      <sheetName val="RIS_COM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_Sipra"/>
      <sheetName val="CINEMA_RMB"/>
      <sheetName val="RIS_COM1"/>
      <sheetName val="Conto_Sipra1"/>
      <sheetName val="CINEMA_RMB1"/>
      <sheetName val="Table"/>
      <sheetName val="PIANO GENERALE"/>
      <sheetName val="Market information"/>
      <sheetName val="N TV09"/>
      <sheetName val="R TV09"/>
      <sheetName val="R TV11"/>
      <sheetName val="I nat+reg10"/>
      <sheetName val="N nat10"/>
      <sheetName val="R nat10"/>
      <sheetName val="TV sum"/>
      <sheetName val="Rus TV MP"/>
      <sheetName val="INF keywords"/>
      <sheetName val="Calcul IC"/>
      <sheetName val="PRS Hachette"/>
      <sheetName val="DATI"/>
      <sheetName val="Labels"/>
      <sheetName val="Creative"/>
      <sheetName val="Sites"/>
      <sheetName val="Bos"/>
      <sheetName val="Bul"/>
      <sheetName val="Rom-Ship"/>
      <sheetName val="媒体"/>
      <sheetName val="MBOX TV Report 11.28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GENERALE"/>
      <sheetName val="MENU"/>
      <sheetName val="RIEPILOGO"/>
      <sheetName val="Target Srl"/>
      <sheetName val="Smafer"/>
      <sheetName val="SMA SpA."/>
      <sheetName val="S.C.I."/>
      <sheetName val="Publionda"/>
      <sheetName val="Publiflor"/>
      <sheetName val="PES Pub.Est.Spec"/>
      <sheetName val="O.P.E. Olcese P."/>
      <sheetName val="Jolly Pubblicita"/>
      <sheetName val="Ipas SpA"/>
      <sheetName val="I.M.A. SpA"/>
      <sheetName val="I.L.L.P.A. Srl"/>
      <sheetName val="Giengi Pubblic."/>
      <sheetName val="Ettore Sibilia"/>
      <sheetName val="Esotas"/>
      <sheetName val="Avip Spa"/>
      <sheetName val="Avenir Italia"/>
      <sheetName val="Alma Media It."/>
      <sheetName val="Alessi SpA"/>
      <sheetName val="Affitalia Srl"/>
      <sheetName val="A&amp;P Srl"/>
      <sheetName val="piano excel BLU 22.5 SPA"/>
      <sheetName val="piano excel BLU 22.5 SPA.XLS"/>
      <sheetName val="piano%20excel%20BLU%2022.5%20SP"/>
      <sheetName val="Conto Sipra"/>
      <sheetName val=""/>
      <sheetName val="GRP"/>
      <sheetName val="Radio 30&quot;Q1 (2)"/>
      <sheetName val="Signature"/>
      <sheetName val="Calc"/>
      <sheetName val="M_S"/>
      <sheetName val="Bos"/>
      <sheetName val="Bul"/>
      <sheetName val="Rom-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7"/>
      <sheetName val="KP_Print"/>
      <sheetName val="cost per month"/>
      <sheetName val="Kostenplan"/>
      <sheetName val="Brazil"/>
      <sheetName val="PIANO GENERALE"/>
      <sheetName val="GRP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l Mega"/>
      <sheetName val="Persil Gel"/>
      <sheetName val="Weißer Riese"/>
      <sheetName val="Spee"/>
      <sheetName val="Master Data"/>
      <sheetName val="Databas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DI"/>
      <sheetName val="titolo"/>
      <sheetName val="NOTE"/>
      <sheetName val="budget"/>
      <sheetName val="CREMONA"/>
      <sheetName val="CREMA"/>
      <sheetName val="MP 2007"/>
      <sheetName val="Cover Estimator"/>
      <sheetName val="Control"/>
      <sheetName val="Variables"/>
      <sheetName val="P3"/>
      <sheetName val="STATYSTYKI"/>
      <sheetName val="Kostenplan"/>
      <sheetName val="MP 2008"/>
      <sheetName val="Display Format Definitions"/>
      <sheetName val="Instructions"/>
      <sheetName val="EmpInfo"/>
      <sheetName val="MP_2007"/>
      <sheetName val="Cover_Estimator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P NEON 2008"/>
      <sheetName val="MP NEON 2007"/>
      <sheetName val="Data CpGRP"/>
      <sheetName val="PIANO GENERALE"/>
      <sheetName val="R nat09"/>
      <sheetName val="R nat10"/>
      <sheetName val="R reg09"/>
      <sheetName val="Display_Format_Definitions"/>
      <sheetName val="MP_20071"/>
      <sheetName val="Cover_Estimator1"/>
      <sheetName val="Display_Format_Definitions1"/>
      <sheetName val="GRP"/>
      <sheetName val="R TV11"/>
      <sheetName val="drop downs"/>
      <sheetName val="Strat 1H 2008"/>
      <sheetName val="CEEMEA"/>
      <sheetName val="F&amp;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8"/>
      <sheetName val="KP_Print"/>
      <sheetName val="KP_pro Ausgabe"/>
      <sheetName val="KP_pro Monat"/>
      <sheetName val="Themenübersicht"/>
      <sheetName val="LODI"/>
      <sheetName val="MP 2007"/>
      <sheetName val="SitesVermark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XLR_NoRangeSheet"/>
      <sheetName val="E2 Brands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Самара-график"/>
      <sheetName val="Сводная"/>
      <sheetName val="Итоги по каналам"/>
      <sheetName val="XLRpt_TempSheet"/>
      <sheetName val="Главный"/>
      <sheetName val="Input"/>
      <sheetName val="For ALL brands (Fed TV)"/>
      <sheetName val="For ALL brands (Reg TV)"/>
      <sheetName val="For ALL Beer brands (Tem TV)"/>
      <sheetName val="Скидки"/>
      <sheetName val="Направления затрат+группа"/>
      <sheetName val="Фед. ТВ (-)"/>
      <sheetName val="International"/>
      <sheetName val="Фед. ТВ (+)"/>
      <sheetName val="MediaMix"/>
      <sheetName val=" Самара Россия"/>
      <sheetName val="Самара СТС"/>
      <sheetName val="Strat 1H 2008"/>
      <sheetName val="FRECEFECBAILEYS"/>
      <sheetName val="TV"/>
      <sheetName val="Hidden"/>
      <sheetName val="Sample"/>
      <sheetName val="Свод за 2008г"/>
      <sheetName val="JEUDI 24 DÉCEMBRE 1998"/>
      <sheetName val="__"/>
      <sheetName val="January"/>
      <sheetName val="counter (4).xls"/>
      <sheetName val=" 40000035261  ТРК &quot;Петербург&quot; ("/>
      <sheetName val="schren"/>
      <sheetName val="schtv6"/>
      <sheetName val="schsts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ODAPLAN_REPORT"/>
      <sheetName val="Екатеринбург"/>
      <sheetName val=""/>
      <sheetName val="EMPL_TYPE"/>
      <sheetName val="counter%20(4).xls"/>
      <sheetName val="Data Sheet"/>
      <sheetName val="6х3"/>
      <sheetName val="Города_каналы"/>
      <sheetName val="5 Канал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Shadow"/>
      <sheetName val="Расчёт"/>
      <sheetName val="counter%20(4)"/>
      <sheetName val="Справочник"/>
      <sheetName val="tech2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Flowchart"/>
      <sheetName val="Sum"/>
      <sheetName val="words begun"/>
      <sheetName val="Лист3"/>
      <sheetName val="списки"/>
      <sheetName val="MP NEON 2008"/>
      <sheetName val="Client CPP"/>
      <sheetName val="Splits"/>
      <sheetName val="Affinity"/>
      <sheetName val="link"/>
      <sheetName val="обобщение"/>
      <sheetName val="Master Data"/>
      <sheetName val="Share Price 2002"/>
      <sheetName val="Список"/>
      <sheetName val="const"/>
      <sheetName val="MP_NEON_2008"/>
      <sheetName val="Client_CPP"/>
      <sheetName val="details"/>
      <sheetName val="B"/>
      <sheetName val="ВИМБ"/>
      <sheetName val="piano generale"/>
      <sheetName val="Лист1"/>
      <sheetName val="Лист2"/>
      <sheetName val="kz budget lc"/>
      <sheetName val="Codes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20">
          <cell r="I20" t="b">
            <v>0</v>
          </cell>
        </row>
      </sheetData>
      <sheetData sheetId="152">
        <row r="20">
          <cell r="I20" t="b">
            <v>0</v>
          </cell>
        </row>
      </sheetData>
      <sheetData sheetId="153">
        <row r="20">
          <cell r="I20" t="b">
            <v>0</v>
          </cell>
        </row>
      </sheetData>
      <sheetData sheetId="154">
        <row r="20">
          <cell r="I20" t="b">
            <v>0</v>
          </cell>
        </row>
      </sheetData>
      <sheetData sheetId="155">
        <row r="20">
          <cell r="I20" t="b">
            <v>0</v>
          </cell>
        </row>
      </sheetData>
      <sheetData sheetId="156"/>
      <sheetData sheetId="157">
        <row r="20">
          <cell r="I20" t="b">
            <v>0</v>
          </cell>
        </row>
      </sheetData>
      <sheetData sheetId="158"/>
      <sheetData sheetId="159">
        <row r="20">
          <cell r="I20" t="b">
            <v>0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MAP"/>
      <sheetName val="##"/>
      <sheetName val="XLR_NoRangeSheet"/>
      <sheetName val="Map_May_94_FSU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Скидки"/>
      <sheetName val="B"/>
      <sheetName val="PLANNED"/>
      <sheetName val="Самара-график"/>
      <sheetName val="E2 Brands"/>
      <sheetName val="Timeline (2)"/>
      <sheetName val="5 Канал"/>
      <sheetName val="ODAPLAN_REPORT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schren"/>
      <sheetName val="schtv6"/>
      <sheetName val="schsts"/>
      <sheetName val="\2003\Epson\PhotoPrinters\Map_M"/>
      <sheetName val="Map_May_94_FSU.xls"/>
      <sheetName val="basic_data"/>
      <sheetName val="Macro1"/>
      <sheetName val="справочники"/>
      <sheetName val="Estimate"/>
      <sheetName val="STS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Client CPP"/>
      <sheetName val="Splits"/>
      <sheetName val="GRAM расчеты"/>
      <sheetName val="обобщение"/>
      <sheetName val="расчет бюджетов"/>
      <sheetName val="Sayfa2"/>
      <sheetName val="MediaMix"/>
      <sheetName val="TV spot_supplie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Исходные данные по прогнозу"/>
      <sheetName val="FY04 fx"/>
      <sheetName val="Optionen"/>
      <sheetName val="Фед. ТВ (-)"/>
      <sheetName val="International"/>
      <sheetName val="Фед. ТВ (+)"/>
      <sheetName val="Table"/>
      <sheetName val="UKR-1"/>
      <sheetName val="campaign average f"/>
      <sheetName val="Input"/>
      <sheetName val="Прайс"/>
      <sheetName val="[Map_May_94_FSU.xls]\2003\Epson"/>
      <sheetName val="Лист2"/>
      <sheetName val="Выбор функций"/>
      <sheetName val="[Map_May_94_FSU.xls][Map_May_94"/>
      <sheetName val="[Map_May_94_FSU.xls]\\storage\T"/>
      <sheetName val="[Map_May_94_FSU.xls]\F\2003\Eps"/>
      <sheetName val="_2003_Epson_PhotoPrinters_Map_M"/>
      <sheetName val="__storage_TV$_SIvanov_2011_Конд"/>
      <sheetName val="_F_2003_Epson_PhotoPrinters_Map"/>
      <sheetName val="_Map_May_94_FSU.xls__2003_Epson"/>
      <sheetName val="Control"/>
      <sheetName val="Sheet2"/>
      <sheetName val="Tabelle1"/>
      <sheetName val="СПИСОК КАТЕГОРИЙ"/>
      <sheetName val="Sheet1"/>
      <sheetName val="Pivot"/>
      <sheetName val="Фильтр"/>
      <sheetName val="01.2011-12.2019"/>
      <sheetName val="[Map_May_94_FSU.xls]_2003_Eps_2"/>
      <sheetName val="[Map_May_94_FSU.xls]__storage_2"/>
      <sheetName val="[Map_May_94_FSU.xls]_F_2003_E_2"/>
      <sheetName val="5_Канал1"/>
      <sheetName val="DIMANCHE_28_MAI_2000_COND1"/>
      <sheetName val="Расчет_по_Регионам1"/>
      <sheetName val="Итоги_по_каналам1"/>
      <sheetName val="Прайс_2007_(Тренд)1"/>
      <sheetName val="E2_Brands2"/>
      <sheetName val="MAP_cf1"/>
      <sheetName val="Map_May_94_FSU_xls1"/>
      <sheetName val="Исходные_данные_по_прогнозу"/>
      <sheetName val="Data_Sheet1"/>
      <sheetName val="_105445__ТРК_&quot;Петербург&quot;_(03_к1"/>
      <sheetName val="formule_-_table1"/>
      <sheetName val="1_flight1"/>
      <sheetName val="Client_CPP"/>
      <sheetName val="TV_spot_supplier"/>
      <sheetName val="ОСНОВНАЯ_ТАБЛИЦА"/>
      <sheetName val="Направления_затрат+группа"/>
      <sheetName val="Monitor_Q2"/>
      <sheetName val="Timeline_(2)"/>
      <sheetName val="GRAM_расчеты"/>
      <sheetName val="расчет_бюджетов"/>
      <sheetName val="FY04_fx"/>
      <sheetName val="campaign_average_f"/>
      <sheetName val="[Map_May_94_FSU_xls]\2003\Epson"/>
      <sheetName val="Фед__ТВ_(-)"/>
      <sheetName val="Фед__ТВ_(+)"/>
      <sheetName val="Справочник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Список площадок"/>
      <sheetName val="Media plan"/>
      <sheetName val="[Map_May_94_FSU.xls]_Map_May__2"/>
      <sheetName val="[Map_May_94_FSU.xls]_Map_May__3"/>
      <sheetName val="[Map_May_94_FSU.xls]_Map_May__4"/>
      <sheetName val="Base"/>
      <sheetName val="TNS2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plan-gaz1"/>
      <sheetName val="для аудитора"/>
      <sheetName val="_Map_May_94_FSU.xls__Map_May_94"/>
    </sheetNames>
    <sheetDataSet>
      <sheetData sheetId="0" refreshError="1">
        <row r="6">
          <cell r="B6" t="str">
            <v>C:\EAGIS\map.bmp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6">
          <cell r="B6" t="str">
            <v>? РЕКЛАМОДАТЕЛЬ 34-90-09 (ТОМСК); IROBOT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>
        <row r="6">
          <cell r="B6" t="str">
            <v>COMPETITORS BRANDS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6">
          <cell r="B6" t="str">
            <v>COMPETITORS BRANDS</v>
          </cell>
        </row>
      </sheetData>
      <sheetData sheetId="136"/>
      <sheetData sheetId="137"/>
      <sheetData sheetId="138"/>
      <sheetData sheetId="139"/>
      <sheetData sheetId="140" refreshError="1"/>
      <sheetData sheetId="141">
        <row r="6">
          <cell r="B6" t="str">
            <v>COMPETITORS BRANDS</v>
          </cell>
        </row>
      </sheetData>
      <sheetData sheetId="142"/>
      <sheetData sheetId="143" refreshError="1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7"/>
      <sheetName val="KP_Print"/>
      <sheetName val="KP_proAusgabe"/>
      <sheetName val="MP NEON 2008"/>
      <sheetName val="MP07_NEON_Plan18"/>
      <sheetName val="MP07_NEON_Plan18.xls"/>
      <sheetName val="Media plan"/>
      <sheetName val="Team"/>
      <sheetName val="Instructions"/>
      <sheetName val="define table"/>
      <sheetName val="Data CpGRP"/>
      <sheetName val="LO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BL"/>
      <sheetName val="E1449"/>
      <sheetName val="Data CpGRP"/>
      <sheetName val="MP NEON 2007"/>
      <sheetName val="MA_BL"/>
      <sheetName val="Team"/>
      <sheetName val="GRP"/>
      <sheetName val="LODI"/>
      <sheetName val="Incentives MBR"/>
      <sheetName val="Makro1"/>
      <sheetName val="#REF"/>
      <sheetName val="Köprü"/>
      <sheetName val="kategoriler"/>
      <sheetName val="tanımlar"/>
      <sheetName val="12"/>
      <sheetName val="Sch#13"/>
      <sheetName val="Source-DO NOT ADJUST"/>
      <sheetName val="Laikai rad"/>
      <sheetName val="FW-Kurse"/>
      <sheetName val="Evaluation2"/>
      <sheetName val="MP NEON 2008"/>
      <sheetName val="Data_CpGRP"/>
      <sheetName val="MP_NEON_2007"/>
      <sheetName val="Laikai_rad"/>
      <sheetName val="Incentives_MBR"/>
      <sheetName val="Kostenplan"/>
      <sheetName val="define table"/>
      <sheetName val="PF RADIO "/>
      <sheetName val="TEMP"/>
      <sheetName val="SM2-MS2 leavers"/>
      <sheetName val="Data Sheet"/>
      <sheetName val="구동"/>
      <sheetName val="Calc"/>
      <sheetName val="M_S"/>
      <sheetName val="Coke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port FIX"/>
      <sheetName val="Бриф"/>
      <sheetName val="Sevimli"/>
      <sheetName val="ZOR"/>
      <sheetName val="UC_R1"/>
      <sheetName val="Navo"/>
      <sheetName val="PB"/>
      <sheetName val="Прайс-лист"/>
      <sheetName val="Teleport FLOAT"/>
      <sheetName val="TN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Kennziffern"/>
      <sheetName val="13"/>
      <sheetName val="14"/>
      <sheetName val="15"/>
      <sheetName val="16"/>
      <sheetName val="17"/>
      <sheetName val="18"/>
      <sheetName val="19"/>
      <sheetName val="KampagnenRW alt"/>
      <sheetName val="20"/>
      <sheetName val="21"/>
      <sheetName val="22"/>
      <sheetName val="23"/>
      <sheetName val="24"/>
      <sheetName val="25"/>
      <sheetName val="26"/>
      <sheetName val="30"/>
      <sheetName val="31"/>
      <sheetName val="Feiertage"/>
      <sheetName val="LW"/>
      <sheetName val="Tabelle1"/>
      <sheetName val="Kauaffiampel"/>
      <sheetName val="MA-BL"/>
      <sheetName val="CR"/>
      <sheetName val="32"/>
      <sheetName val="33"/>
      <sheetName val="KampagnenRW_alt"/>
      <sheetName val="POS Radio Planungsprogramm"/>
      <sheetName val="DataInfo"/>
      <sheetName val="MP 2008"/>
      <sheetName val="LODI"/>
      <sheetName val="MP NEON 2008"/>
      <sheetName val="QuestionSelectionList"/>
      <sheetName val=""/>
      <sheetName val="KampagnenRW_alt1"/>
      <sheetName val="economico"/>
      <sheetName val="KampagnenRW_alt2"/>
      <sheetName val="POS_Radio_Planungsprogramm"/>
      <sheetName val="KampagnenRW_alt3"/>
      <sheetName val="POS_Radio_Planungsprogramm1"/>
      <sheetName val="KampagnenRW_alt4"/>
      <sheetName val="POS_Radio_Planungsprogramm2"/>
      <sheetName val="All Calcs"/>
      <sheetName val="Kostenplan"/>
      <sheetName val="MP 2007"/>
      <sheetName val="MP NEON 2007"/>
      <sheetName val="OfferCalculations1"/>
      <sheetName val="Variables"/>
      <sheetName val="X"/>
      <sheetName val="Channel Share"/>
      <sheetName val="Data CpGRP"/>
      <sheetName val="TV Pricing"/>
      <sheetName val="KampagnenRW_alt5"/>
      <sheetName val="POS_Radio_Planungsprogramm3"/>
      <sheetName val="MP_NEON_2008"/>
      <sheetName val="All_Calcs"/>
      <sheetName val="MP_NEON_2007"/>
      <sheetName val="KampagnenRW_alt6"/>
      <sheetName val="POS_Radio_Planungsprogramm4"/>
      <sheetName val="MP_NEON_20081"/>
      <sheetName val="All_Calcs1"/>
      <sheetName val="MP_NEON_20071"/>
      <sheetName val="OOH"/>
      <sheetName val="Print"/>
      <sheetName val="KampagnenRW_alt7"/>
      <sheetName val="POS_Radio_Planungsprogramm5"/>
      <sheetName val="MP_NEON_20072"/>
      <sheetName val="MP_NEON_20082"/>
      <sheetName val="All_Calcs2"/>
      <sheetName val="MP_2007"/>
      <sheetName val="Data_CpGRP"/>
      <sheetName val="KampagnenRW_alt8"/>
      <sheetName val="POS_Radio_Planungsprogramm6"/>
      <sheetName val="MP_NEON_20073"/>
      <sheetName val="MP_NEON_20083"/>
      <sheetName val="All_Calcs3"/>
      <sheetName val="MP_20071"/>
      <sheetName val="Data_CpGRP1"/>
      <sheetName val="KampagnenRW_alt9"/>
      <sheetName val="POS_Radio_Planungsprogramm7"/>
      <sheetName val="MP_NEON_20074"/>
      <sheetName val="MP_NEON_20084"/>
      <sheetName val="All_Calcs4"/>
      <sheetName val="MP_20072"/>
      <sheetName val="Data_CpGRP2"/>
      <sheetName val="KampagnenRW_alt10"/>
      <sheetName val="POS_Radio_Planungsprogramm8"/>
      <sheetName val="MP_NEON_20075"/>
      <sheetName val="MP_NEON_20085"/>
      <sheetName val="All_Calcs5"/>
      <sheetName val="MP_20073"/>
      <sheetName val="Data_CpGRP3"/>
      <sheetName val="basic_data"/>
      <sheetName val="Macro1"/>
      <sheetName val="PG"/>
      <sheetName val="SAD"/>
      <sheetName val="CCS"/>
      <sheetName val="Options"/>
      <sheetName val="PF RADIO "/>
      <sheetName val="Pivot"/>
      <sheetName val="2.대외공문"/>
      <sheetName val="Permissable values"/>
      <sheetName val="TELEVISION DETAILS"/>
      <sheetName val="адреска"/>
      <sheetName val="KampagnenRW_alt11"/>
      <sheetName val="POS_Radio_Planungsprogramm9"/>
      <sheetName val="MP_NEON_20076"/>
      <sheetName val="MP_NEON_20086"/>
      <sheetName val="All_Calcs6"/>
      <sheetName val="MP_20074"/>
      <sheetName val="Data_CpGRP4"/>
      <sheetName val="TV_Pricing"/>
      <sheetName val="MP_2008"/>
      <sheetName val="KampagnenRW_alt12"/>
      <sheetName val="POS_Radio_Planungsprogramm10"/>
      <sheetName val="MP_NEON_20077"/>
      <sheetName val="MP_NEON_20087"/>
      <sheetName val="All_Calcs7"/>
      <sheetName val="MP_20075"/>
      <sheetName val="Data_CpGRP5"/>
      <sheetName val="TV_Pricing1"/>
      <sheetName val="MP_20081"/>
      <sheetName val="Channel_Share"/>
    </sheetNames>
    <sheetDataSet>
      <sheetData sheetId="0" refreshError="1">
        <row r="13">
          <cell r="D13">
            <v>2</v>
          </cell>
        </row>
      </sheetData>
      <sheetData sheetId="1">
        <row r="13">
          <cell r="D13">
            <v>2</v>
          </cell>
        </row>
      </sheetData>
      <sheetData sheetId="2">
        <row r="13">
          <cell r="D13">
            <v>2</v>
          </cell>
        </row>
      </sheetData>
      <sheetData sheetId="3">
        <row r="13">
          <cell r="D13">
            <v>2</v>
          </cell>
        </row>
      </sheetData>
      <sheetData sheetId="4">
        <row r="13">
          <cell r="D13">
            <v>2</v>
          </cell>
        </row>
      </sheetData>
      <sheetData sheetId="5">
        <row r="13">
          <cell r="D13">
            <v>2</v>
          </cell>
        </row>
      </sheetData>
      <sheetData sheetId="6">
        <row r="13">
          <cell r="D13">
            <v>2</v>
          </cell>
        </row>
      </sheetData>
      <sheetData sheetId="7">
        <row r="13">
          <cell r="D13">
            <v>2</v>
          </cell>
        </row>
      </sheetData>
      <sheetData sheetId="8">
        <row r="13">
          <cell r="D13">
            <v>2</v>
          </cell>
        </row>
      </sheetData>
      <sheetData sheetId="9">
        <row r="13">
          <cell r="D13">
            <v>2</v>
          </cell>
        </row>
      </sheetData>
      <sheetData sheetId="10">
        <row r="13">
          <cell r="D13">
            <v>2</v>
          </cell>
        </row>
      </sheetData>
      <sheetData sheetId="11">
        <row r="13">
          <cell r="D13">
            <v>2</v>
          </cell>
        </row>
      </sheetData>
      <sheetData sheetId="12">
        <row r="13">
          <cell r="D13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>
        <row r="13">
          <cell r="D13">
            <v>2</v>
          </cell>
        </row>
      </sheetData>
      <sheetData sheetId="36">
        <row r="13">
          <cell r="D13">
            <v>2</v>
          </cell>
        </row>
      </sheetData>
      <sheetData sheetId="37">
        <row r="13">
          <cell r="D13">
            <v>2</v>
          </cell>
        </row>
      </sheetData>
      <sheetData sheetId="38">
        <row r="13">
          <cell r="D13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Campaign Accumulated  R and F"/>
      <sheetName val="XLRpt_TempSheet"/>
      <sheetName val="CAMPAIGN AVERAGE F"/>
      <sheetName val="ORT"/>
      <sheetName val="Прайс"/>
      <sheetName val="TV summary by month"/>
      <sheetName val=" Total"/>
      <sheetName val="PRINT"/>
      <sheetName val="OWNPROD LAT"/>
      <sheetName val="Сводная"/>
      <sheetName val="Main"/>
      <sheetName val="Интернет"/>
      <sheetName val="Data USA Cdn$"/>
      <sheetName val="Data USA US$"/>
      <sheetName val="Splits"/>
      <sheetName val="##"/>
      <sheetName val="Equipment"/>
      <sheetName val="L свод"/>
      <sheetName val="Auris"/>
      <sheetName val="TIME_SLOT,PLAN_CHANNEL_TRAIL"/>
      <sheetName val="Лист2"/>
      <sheetName val="Gazete teaser"/>
      <sheetName val="Клипы (2)"/>
      <sheetName val="Расчет по Регионам"/>
      <sheetName val="Расчет"/>
      <sheetName val="Сезонка"/>
      <sheetName val="Change"/>
      <sheetName val="Campaign_Accumulated__R_and_F"/>
      <sheetName val="CAMPAIGN_AVERAGE_F"/>
      <sheetName val="TV_summary_by_month"/>
      <sheetName val="_Total"/>
      <sheetName val="ITALIANS"/>
      <sheetName val="tv spot list"/>
      <sheetName val="Outdoor St-Peter June"/>
      <sheetName val="G2TempSheet"/>
      <sheetName val="TAB MOD"/>
      <sheetName val="PARAME"/>
      <sheetName val="EVOPRIX"/>
      <sheetName val="TAB REG"/>
      <sheetName val="MediaMix"/>
      <sheetName val="STS"/>
      <sheetName val="REN TV"/>
      <sheetName val="RTR"/>
      <sheetName val="chart41"/>
      <sheetName val="STS(Jun,1)"/>
      <sheetName val="novy 2"/>
      <sheetName val="ثرسنل (2"/>
      <sheetName val="TV management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Prm"/>
      <sheetName val="TNS"/>
      <sheetName val="dis"/>
      <sheetName val="Media Plan UAH"/>
      <sheetName val="North "/>
      <sheetName val="3"/>
      <sheetName val="2_3"/>
      <sheetName val="2_4"/>
      <sheetName val="2_5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ata"/>
      <sheetName val="Suporte"/>
      <sheetName val="HMAMB"/>
      <sheetName val="Media-plan primary"/>
      <sheetName val="Брянск"/>
      <sheetName val="North"/>
      <sheetName val="Hoja1"/>
      <sheetName val="budget data"/>
      <sheetName val="Справочники"/>
      <sheetName val="NTV"/>
      <sheetName val="RenTV"/>
      <sheetName val="TV6"/>
      <sheetName val="options"/>
      <sheetName val="Rate"/>
      <sheetName val="Расчет и прогнозы"/>
      <sheetName val="Taxes"/>
      <sheetName val="GRP"/>
      <sheetName val="Tabelle1"/>
      <sheetName val="Procedural Controls - AP"/>
      <sheetName val="studia"/>
      <sheetName val="Category&amp;CTR&amp;TA"/>
      <sheetName val="Конструктор недели"/>
      <sheetName val="Clasify"/>
      <sheetName val="mcССClassic"/>
      <sheetName val="PG"/>
      <sheetName val="SAD"/>
      <sheetName val="CCS"/>
      <sheetName val="Name Check"/>
      <sheetName val="ExchRates"/>
      <sheetName val="List"/>
      <sheetName val="CPP"/>
      <sheetName val="Programmatic Video"/>
      <sheetName val="TA data Nielsen UA"/>
      <sheetName val="Sheet8"/>
      <sheetName val="Date 2"/>
      <sheetName val="Forecast"/>
      <sheetName val="Sum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FRECEFECBAILEYS"/>
      <sheetName val="BAŞV"/>
      <sheetName val="Project Summary"/>
      <sheetName val="Please wait..."/>
      <sheetName val="TRANSGOOGLE"/>
      <sheetName val="Sheet1"/>
      <sheetName val="Нац ТВ 2019_13.08"/>
      <sheetName val="СПОНС"/>
      <sheetName val="Лист1"/>
      <sheetName val="регионы"/>
      <sheetName val="v7.6"/>
      <sheetName val="тайминг v7.5"/>
      <sheetName val="Year 3"/>
      <sheetName val="Basis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budget_data"/>
      <sheetName val="Procedural_Controls_-_AP"/>
      <sheetName val="Конструктор_недели"/>
      <sheetName val="Date_2"/>
      <sheetName val="Name_Check"/>
      <sheetName val="Нац_ТВ_2019_13_08"/>
      <sheetName val="Programmatic_Video"/>
      <sheetName val="TA_data_Nielsen_UA"/>
      <sheetName val="Project_Summary"/>
      <sheetName val="Please_wait___"/>
      <sheetName val="v7_6"/>
      <sheetName val="тайминг_v7_5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Help"/>
      <sheetName val="b2bcontext"/>
      <sheetName val="чел европа+ от сми"/>
      <sheetName val="Библиотека"/>
      <sheetName val="Consolidated"/>
      <sheetName val="habillage pour boucle"/>
      <sheetName val="Channelvorgabe"/>
      <sheetName val="Format"/>
      <sheetName val="plan-gaz1"/>
      <sheetName val="Network"/>
      <sheetName val="Placement"/>
      <sheetName val="Sites"/>
      <sheetName val="общий"/>
      <sheetName val="nieakt"/>
      <sheetName val="Copies"/>
      <sheetName val="Vehicles"/>
      <sheetName val="ppranalysis"/>
      <sheetName val="Laikai rad"/>
      <sheetName val="Controls"/>
      <sheetName val="Slide 10 - gp per kg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PPC"/>
      <sheetName val="Social Networks"/>
      <sheetName val="Summary"/>
      <sheetName val="условия платежа"/>
      <sheetName val="Zolla на 70 (мар+май!)"/>
      <sheetName val="cinema"/>
      <sheetName val="Var2002 BU-P1"/>
      <sheetName val="55% and 70%"/>
      <sheetName val="ENERGY "/>
      <sheetName val="QTXD"/>
      <sheetName val="Service"/>
      <sheetName val="Списки"/>
      <sheetName val="СПЛИТ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01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Channels Indexes"/>
      <sheetName val="restaurants monitors"/>
      <sheetName val="Control"/>
      <sheetName val="HBU_Modern"/>
      <sheetName val="HBU_Trad"/>
      <sheetName val="ConstantsANDSettings"/>
      <sheetName val="Tablas"/>
      <sheetName val="Print-forms"/>
      <sheetName val="Televizyon"/>
      <sheetName val="plan-der"/>
      <sheetName val="aging analysis"/>
      <sheetName val="2007"/>
      <sheetName val="Тариф авт."/>
      <sheetName val="Прайс Москва"/>
      <sheetName val="Тариф трамвай"/>
      <sheetName val="Тариф троллебусов"/>
      <sheetName val="4Q 1995"/>
      <sheetName val="LCMD_0613"/>
      <sheetName val="FY04 fx"/>
      <sheetName val="МП MI"/>
      <sheetName val="Hasar Hattı"/>
      <sheetName val="TV spot_supplier"/>
      <sheetName val="Предлож_СПб"/>
      <sheetName val="Zolla_на_70_(мар+май!)"/>
      <sheetName val="Var2002_BU-P1"/>
      <sheetName val="условия_платежа"/>
      <sheetName val="55%_and_70%"/>
      <sheetName val="ENERGY_"/>
      <sheetName val="Assum"/>
      <sheetName val="Данные"/>
      <sheetName val="Прайслист 2012"/>
      <sheetName val="Считалка"/>
      <sheetName val="Definitions"/>
      <sheetName val="Excel"/>
      <sheetName val="Directory"/>
    </sheetNames>
    <sheetDataSet>
      <sheetData sheetId="0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6">
          <cell r="B6" t="str">
            <v>Client</v>
          </cell>
        </row>
      </sheetData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5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 refreshError="1"/>
      <sheetData sheetId="87" refreshError="1"/>
      <sheetData sheetId="88" refreshError="1"/>
      <sheetData sheetId="8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 t="str">
            <v>Client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>
            <v>0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>
            <v>0</v>
          </cell>
        </row>
      </sheetData>
      <sheetData sheetId="168">
        <row r="6">
          <cell r="B6">
            <v>0</v>
          </cell>
        </row>
      </sheetData>
      <sheetData sheetId="169">
        <row r="6">
          <cell r="B6" t="str">
            <v>Client</v>
          </cell>
        </row>
      </sheetData>
      <sheetData sheetId="170">
        <row r="6">
          <cell r="B6" t="str">
            <v>Агентское вознаграждение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 t="str">
            <v>Client</v>
          </cell>
        </row>
      </sheetData>
      <sheetData sheetId="173">
        <row r="6">
          <cell r="B6">
            <v>0</v>
          </cell>
        </row>
      </sheetData>
      <sheetData sheetId="174">
        <row r="6">
          <cell r="B6" t="str">
            <v>Client</v>
          </cell>
        </row>
      </sheetData>
      <sheetData sheetId="175">
        <row r="6">
          <cell r="B6">
            <v>0</v>
          </cell>
        </row>
      </sheetData>
      <sheetData sheetId="176">
        <row r="6">
          <cell r="B6">
            <v>0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6">
          <cell r="B6">
            <v>0</v>
          </cell>
        </row>
      </sheetData>
      <sheetData sheetId="187">
        <row r="6">
          <cell r="B6">
            <v>0</v>
          </cell>
        </row>
      </sheetData>
      <sheetData sheetId="188">
        <row r="6">
          <cell r="B6">
            <v>0</v>
          </cell>
        </row>
      </sheetData>
      <sheetData sheetId="189">
        <row r="6">
          <cell r="B6">
            <v>0</v>
          </cell>
        </row>
      </sheetData>
      <sheetData sheetId="190">
        <row r="6">
          <cell r="B6">
            <v>0</v>
          </cell>
        </row>
      </sheetData>
      <sheetData sheetId="191">
        <row r="6">
          <cell r="B6">
            <v>0</v>
          </cell>
        </row>
      </sheetData>
      <sheetData sheetId="192">
        <row r="6">
          <cell r="B6">
            <v>0</v>
          </cell>
        </row>
      </sheetData>
      <sheetData sheetId="193">
        <row r="6">
          <cell r="B6">
            <v>0</v>
          </cell>
        </row>
      </sheetData>
      <sheetData sheetId="194">
        <row r="6">
          <cell r="B6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>
        <row r="6">
          <cell r="B6" t="str">
            <v>Client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 t="str">
            <v>Client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>
        <row r="6">
          <cell r="B6">
            <v>0</v>
          </cell>
        </row>
      </sheetData>
      <sheetData sheetId="206">
        <row r="6">
          <cell r="B6" t="str">
            <v>Client</v>
          </cell>
        </row>
      </sheetData>
      <sheetData sheetId="207">
        <row r="6">
          <cell r="B6" t="str">
            <v>Client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 t="str">
            <v>Client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 refreshError="1"/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6">
          <cell r="B6">
            <v>0</v>
          </cell>
        </row>
      </sheetData>
      <sheetData sheetId="256">
        <row r="6">
          <cell r="B6">
            <v>0</v>
          </cell>
        </row>
      </sheetData>
      <sheetData sheetId="257">
        <row r="6">
          <cell r="B6" t="str">
            <v>Client</v>
          </cell>
        </row>
      </sheetData>
      <sheetData sheetId="258">
        <row r="6">
          <cell r="B6">
            <v>0</v>
          </cell>
        </row>
      </sheetData>
      <sheetData sheetId="259">
        <row r="6">
          <cell r="B6">
            <v>0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>
            <v>0</v>
          </cell>
        </row>
      </sheetData>
      <sheetData sheetId="262">
        <row r="6">
          <cell r="B6">
            <v>0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DAILY  ACCUMULATED R AND F"/>
      <sheetName val="ITALIANS"/>
      <sheetName val="XLRpt_TempSheet"/>
      <sheetName val="CAMPAIGN AVERAGE F"/>
      <sheetName val="Splits"/>
      <sheetName val="ORT"/>
      <sheetName val="СТС_GRP_1.9"/>
      <sheetName val="R CURVES_Иркутск"/>
      <sheetName val="CAMPAIGN RESULTS"/>
      <sheetName val="Basis"/>
      <sheetName val="PRINT"/>
      <sheetName val="schsts"/>
      <sheetName val="OWNPROD LAT"/>
      <sheetName val="TV summary by month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Лист2"/>
      <sheetName val="Европа Плюс Москва 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Media Plan UAH"/>
      <sheetName val="Data USA Cdn$"/>
      <sheetName val="Data USA US$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Work Sheet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Date 2"/>
      <sheetName val="tv"/>
      <sheetName val="Чел Европа+ от сми"/>
      <sheetName val="Aug,24"/>
      <sheetName val="schren"/>
      <sheetName val="schtv6"/>
      <sheetName val="ТЛ"/>
      <sheetName val="chart11"/>
      <sheetName val="Lib"/>
      <sheetName val="Владивосток ОРТ (наш)"/>
      <sheetName val="OUTFLOW"/>
      <sheetName val="key"/>
      <sheetName val="Title"/>
      <sheetName val="Тех_доп"/>
      <sheetName val="all brands (all media)"/>
      <sheetName val="Control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kz budget lc"/>
      <sheetName val="сплит"/>
      <sheetName val="цены и коэф."/>
      <sheetName val="G2TempSheet"/>
      <sheetName val="Date_2"/>
      <sheetName val="Чел_Европа+_от_сми"/>
      <sheetName val="FY04 fx"/>
      <sheetName val="разбивка по каналам"/>
      <sheetName val="ChanGr_cfg"/>
      <sheetName val="Base"/>
      <sheetName val="odaplan_report"/>
      <sheetName val="сводная"/>
      <sheetName val="Total Sara Lee Int WH"/>
      <sheetName val="Total Sara Lee Int FTE"/>
      <sheetName val="Evaluation2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Tsitrinka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шаблон помесячно"/>
      <sheetName val="Picklists"/>
      <sheetName val="Evasion"/>
    </sheetNames>
    <sheetDataSet>
      <sheetData sheetId="0" refreshError="1">
        <row r="2">
          <cell r="B2" t="str">
            <v>15+</v>
          </cell>
        </row>
        <row r="6">
          <cell r="P6">
            <v>7.4042043629654009</v>
          </cell>
          <cell r="Q6">
            <v>12.637494009221278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 refreshError="1"/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>
        <row r="6">
          <cell r="P6">
            <v>8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">
          <cell r="P6">
            <v>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6">
          <cell r="P6">
            <v>8</v>
          </cell>
        </row>
      </sheetData>
      <sheetData sheetId="119">
        <row r="6">
          <cell r="P6">
            <v>8</v>
          </cell>
        </row>
      </sheetData>
      <sheetData sheetId="120">
        <row r="6">
          <cell r="P6">
            <v>8</v>
          </cell>
        </row>
      </sheetData>
      <sheetData sheetId="121">
        <row r="6">
          <cell r="P6">
            <v>8</v>
          </cell>
        </row>
      </sheetData>
      <sheetData sheetId="122">
        <row r="6">
          <cell r="P6">
            <v>8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8"/>
      <sheetName val="KP 2008"/>
      <sheetName val="cost per month"/>
      <sheetName val="Themenübersicht"/>
      <sheetName val="12"/>
      <sheetName val="Media plan"/>
      <sheetName val="MA-BL"/>
      <sheetName val="Kostenplan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-rVDBhUnU_QrukFGGz_ACm_jv9yyNRP/view?usp=drive_link" TargetMode="External"/><Relationship Id="rId13" Type="http://schemas.openxmlformats.org/officeDocument/2006/relationships/hyperlink" Target="https://drive.google.com/file/d/1B6YdcLWfpxjZQsxhj3XbKgOELDmOn-wc/view?usp=share_link" TargetMode="External"/><Relationship Id="rId18" Type="http://schemas.openxmlformats.org/officeDocument/2006/relationships/hyperlink" Target="https://drive.google.com/file/d/1QNUaASS5WD9rEHzRFeeIQsLs-eRwYBhW/view?usp=share_link" TargetMode="External"/><Relationship Id="rId3" Type="http://schemas.openxmlformats.org/officeDocument/2006/relationships/hyperlink" Target="https://drive.google.com/file/d/1VK8ClvH6nlLF2GWGjjwlS2ac2k4BXqSA/view?usp=drive_link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drive.google.com/file/d/1vvFhpZ4CoPTIeGklZUn6wfDbnBIMqAcY/view?usp=share_link" TargetMode="External"/><Relationship Id="rId12" Type="http://schemas.openxmlformats.org/officeDocument/2006/relationships/hyperlink" Target="https://drive.google.com/file/d/1a3inNGUmctrOzUHUm2E5WWCJwUTA6Eu8/view?usp=share_link" TargetMode="External"/><Relationship Id="rId17" Type="http://schemas.openxmlformats.org/officeDocument/2006/relationships/hyperlink" Target="https://drive.google.com/file/d/1vRhCawTjGglOGhE0YBxDV_zmYClTKSUZ/view?usp=sharing" TargetMode="External"/><Relationship Id="rId2" Type="http://schemas.openxmlformats.org/officeDocument/2006/relationships/hyperlink" Target="https://drive.google.com/file/d/1sMmdP51xkaZLpV6AQRlYtb_N_7vFaNBm/view?usp=share_link" TargetMode="External"/><Relationship Id="rId16" Type="http://schemas.openxmlformats.org/officeDocument/2006/relationships/hyperlink" Target="https://drive.google.com/file/d/1m2dcvUGLQwpUOArD02YlwGG1BXVCLqkP/view?usp=drive_link" TargetMode="External"/><Relationship Id="rId20" Type="http://schemas.openxmlformats.org/officeDocument/2006/relationships/hyperlink" Target="https://drive.google.com/file/d/1cXCBfiE8xkXo0CeD9nB9QBaW72k3wQ89/view?usp=share_link" TargetMode="External"/><Relationship Id="rId1" Type="http://schemas.openxmlformats.org/officeDocument/2006/relationships/hyperlink" Target="https://drive.google.com/file/d/1qoycgIEmVTQbge-UdcdL5eckEGm5WQ0C/view?usp=share_link" TargetMode="External"/><Relationship Id="rId6" Type="http://schemas.openxmlformats.org/officeDocument/2006/relationships/hyperlink" Target="https://drive.google.com/file/d/1Ev0WNHh_54Z8B3mgoMWcVmQrH41Yb70F/view?usp=share_link" TargetMode="External"/><Relationship Id="rId11" Type="http://schemas.openxmlformats.org/officeDocument/2006/relationships/hyperlink" Target="https://drive.google.com/file/d/17QE7pgQxv7uY_x615BUO1h0zsa96dSfd/view?usp=share_link" TargetMode="External"/><Relationship Id="rId5" Type="http://schemas.openxmlformats.org/officeDocument/2006/relationships/hyperlink" Target="https://drive.google.com/file/d/1VOoFbbxdDyKDmaejuOqwkO52i0SqVk0f/view?usp=share_link" TargetMode="External"/><Relationship Id="rId15" Type="http://schemas.openxmlformats.org/officeDocument/2006/relationships/hyperlink" Target="https://drive.google.com/file/d/1UdjV31ESml3UxM438o8cTmiKfil1cGNL/view?usp=share_link" TargetMode="External"/><Relationship Id="rId10" Type="http://schemas.openxmlformats.org/officeDocument/2006/relationships/hyperlink" Target="https://drive.google.com/file/d/1-ejPTUGFXee5zhaVnWAXXRsSaqNcWlkH/view?usp=share_link" TargetMode="External"/><Relationship Id="rId19" Type="http://schemas.openxmlformats.org/officeDocument/2006/relationships/hyperlink" Target="https://drive.google.com/file/d/1heT1ESAmZOdC_sO3Ufh9_3LNEOVJ2SLb/view?usp=share_link" TargetMode="External"/><Relationship Id="rId4" Type="http://schemas.openxmlformats.org/officeDocument/2006/relationships/hyperlink" Target="https://drive.google.com/file/d/1II1GBJNmRAnX0-Rbw4xTG1RSwQSs6W-r/view?usp=sharing" TargetMode="External"/><Relationship Id="rId9" Type="http://schemas.openxmlformats.org/officeDocument/2006/relationships/hyperlink" Target="https://drive.google.com/file/d/1Z56hp581bqT6a67KM51SrknIAyNqh_DV/view?usp=share_link" TargetMode="External"/><Relationship Id="rId14" Type="http://schemas.openxmlformats.org/officeDocument/2006/relationships/hyperlink" Target="https://drive.google.com/file/d/1AOmWNcLSVPTqpDDvHh6jqQ6bZ-GM1OLR/view?usp=share_link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4mMbNNCyLMEmmRuK-IP9sGT7BXW3FP8/view?usp=sharing" TargetMode="External"/><Relationship Id="rId2" Type="http://schemas.openxmlformats.org/officeDocument/2006/relationships/hyperlink" Target="https://drive.google.com/file/d/1eLU4YLvF9dI-zpRuhgPpesr-66h9XPGW/view?usp=drive_link" TargetMode="External"/><Relationship Id="rId1" Type="http://schemas.openxmlformats.org/officeDocument/2006/relationships/hyperlink" Target="https://drive.google.com/file/d/1nW31sUTiI4Wv0IbOpqtnw0FIA6Ejcoad/view?usp=share_link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drive.google.com/file/d/1yJ6dI-B07bTCvTrMQ6-STeB1sbpOtYEe/view?usp=share_lin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rive.google.com/file/d/1yJ6dI-B07bTCvTrMQ6-STeB1sbpOtYEe/view?usp=shar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FB87-54FA-F34C-98B0-C4DB68528E1A}">
  <dimension ref="B2:O42"/>
  <sheetViews>
    <sheetView tabSelected="1" topLeftCell="B28" zoomScale="68" zoomScaleNormal="100" workbookViewId="0">
      <selection activeCell="I40" sqref="I40"/>
    </sheetView>
  </sheetViews>
  <sheetFormatPr baseColWidth="10" defaultColWidth="9" defaultRowHeight="15"/>
  <cols>
    <col min="1" max="1" width="4.83203125" style="33" customWidth="1"/>
    <col min="2" max="2" width="22.33203125" style="33" customWidth="1"/>
    <col min="3" max="3" width="19.1640625" style="33" bestFit="1" customWidth="1"/>
    <col min="4" max="12" width="17.5" style="33" customWidth="1"/>
    <col min="13" max="13" width="18.5" style="33" bestFit="1" customWidth="1"/>
    <col min="14" max="14" width="17.5" style="33" customWidth="1"/>
    <col min="15" max="16384" width="9" style="33"/>
  </cols>
  <sheetData>
    <row r="2" spans="2:14">
      <c r="B2" s="34" t="s">
        <v>179</v>
      </c>
      <c r="C2" s="35" t="s">
        <v>297</v>
      </c>
    </row>
    <row r="3" spans="2:14">
      <c r="B3" s="34" t="s">
        <v>270</v>
      </c>
      <c r="C3" s="35"/>
    </row>
    <row r="5" spans="2:14">
      <c r="E5" s="36"/>
      <c r="G5" s="197"/>
      <c r="H5" s="197"/>
      <c r="I5" s="197"/>
    </row>
    <row r="6" spans="2:14" s="37" customFormat="1" ht="22" customHeight="1">
      <c r="B6" s="62" t="s">
        <v>292</v>
      </c>
      <c r="C6" s="53" t="s">
        <v>271</v>
      </c>
      <c r="D6" s="38" t="s">
        <v>272</v>
      </c>
      <c r="E6" s="38" t="s">
        <v>273</v>
      </c>
      <c r="F6" s="38" t="s">
        <v>274</v>
      </c>
      <c r="G6" s="38" t="s">
        <v>275</v>
      </c>
      <c r="H6" s="38" t="s">
        <v>276</v>
      </c>
      <c r="I6" s="38" t="s">
        <v>277</v>
      </c>
      <c r="J6" s="38" t="s">
        <v>278</v>
      </c>
      <c r="K6" s="38" t="s">
        <v>279</v>
      </c>
      <c r="L6" s="38" t="s">
        <v>280</v>
      </c>
      <c r="M6" s="38" t="s">
        <v>281</v>
      </c>
      <c r="N6" s="38" t="s">
        <v>282</v>
      </c>
    </row>
    <row r="7" spans="2:14" s="39" customFormat="1" ht="22" customHeight="1">
      <c r="B7" s="52" t="s">
        <v>290</v>
      </c>
      <c r="C7" s="42"/>
      <c r="D7" s="54"/>
      <c r="E7" s="91"/>
      <c r="F7" s="94"/>
      <c r="G7" s="103">
        <v>20</v>
      </c>
      <c r="H7" s="103">
        <v>20</v>
      </c>
      <c r="I7" s="103">
        <v>20</v>
      </c>
      <c r="J7" s="96"/>
      <c r="K7" s="97"/>
      <c r="L7" s="93"/>
      <c r="M7" s="54"/>
      <c r="N7" s="54"/>
    </row>
    <row r="8" spans="2:14" s="39" customFormat="1" ht="22" customHeight="1">
      <c r="B8" s="52" t="s">
        <v>291</v>
      </c>
      <c r="C8" s="42"/>
      <c r="D8" s="41"/>
      <c r="E8" s="92"/>
      <c r="F8" s="97"/>
      <c r="G8" s="103">
        <v>27</v>
      </c>
      <c r="H8" s="103">
        <v>27</v>
      </c>
      <c r="I8" s="103">
        <v>27</v>
      </c>
      <c r="J8" s="96"/>
      <c r="K8" s="97"/>
      <c r="L8" s="93"/>
      <c r="M8" s="41"/>
      <c r="N8" s="41"/>
    </row>
    <row r="9" spans="2:14" s="43" customFormat="1" ht="20" customHeight="1">
      <c r="B9" s="39"/>
      <c r="C9" s="33"/>
      <c r="D9" s="39"/>
      <c r="E9" s="39"/>
      <c r="F9" s="33"/>
      <c r="G9" s="64">
        <v>197875000</v>
      </c>
      <c r="H9" s="64">
        <v>197875000</v>
      </c>
      <c r="I9" s="64">
        <v>197875000</v>
      </c>
      <c r="J9" s="76"/>
      <c r="K9" s="39"/>
      <c r="L9" s="39"/>
      <c r="M9" s="33"/>
      <c r="N9" s="33"/>
    </row>
    <row r="10" spans="2:14" s="43" customFormat="1" ht="20" customHeight="1">
      <c r="B10" s="39"/>
      <c r="C10" s="33"/>
      <c r="D10" s="39"/>
      <c r="E10" s="39"/>
      <c r="F10" s="33"/>
      <c r="G10" s="76"/>
      <c r="H10" s="76"/>
      <c r="I10" s="76"/>
      <c r="J10" s="76"/>
      <c r="K10" s="39"/>
      <c r="L10" s="39"/>
      <c r="M10" s="33"/>
      <c r="N10" s="33"/>
    </row>
    <row r="11" spans="2:14" s="37" customFormat="1" ht="20" customHeight="1">
      <c r="D11" s="44"/>
      <c r="L11" s="45"/>
      <c r="M11" s="46" t="s">
        <v>283</v>
      </c>
      <c r="N11" s="47" t="s">
        <v>284</v>
      </c>
    </row>
    <row r="12" spans="2:14" s="39" customFormat="1" ht="20" customHeight="1">
      <c r="G12" s="33"/>
      <c r="H12" s="33"/>
      <c r="K12" s="196" t="s">
        <v>285</v>
      </c>
      <c r="L12" s="196"/>
      <c r="M12" s="99">
        <f>SUM(G9:J9)</f>
        <v>593625000</v>
      </c>
      <c r="N12" s="100">
        <f>M12/12000</f>
        <v>49468.75</v>
      </c>
    </row>
    <row r="13" spans="2:14" s="39" customFormat="1" ht="20" customHeight="1">
      <c r="I13" s="57"/>
      <c r="K13" s="196" t="s">
        <v>296</v>
      </c>
      <c r="L13" s="196"/>
      <c r="M13" s="99">
        <f>M12*5%</f>
        <v>29681250</v>
      </c>
      <c r="N13" s="100">
        <f>M13/12000</f>
        <v>2473.4375</v>
      </c>
    </row>
    <row r="14" spans="2:14" s="39" customFormat="1" ht="20" customHeight="1">
      <c r="H14" s="57"/>
      <c r="K14" s="196" t="s">
        <v>286</v>
      </c>
      <c r="L14" s="196"/>
      <c r="M14" s="99">
        <f>M12+M13</f>
        <v>623306250</v>
      </c>
      <c r="N14" s="100">
        <f>M14/12000</f>
        <v>51942.1875</v>
      </c>
    </row>
    <row r="15" spans="2:14" s="43" customFormat="1" ht="26" customHeight="1">
      <c r="K15" s="196" t="s">
        <v>287</v>
      </c>
      <c r="L15" s="196"/>
      <c r="M15" s="105">
        <f>M14*1.12</f>
        <v>698103000.00000012</v>
      </c>
      <c r="N15" s="106">
        <f>M15/12000</f>
        <v>58175.250000000007</v>
      </c>
    </row>
    <row r="16" spans="2:14" s="43" customFormat="1" ht="15" customHeight="1">
      <c r="K16" s="48"/>
      <c r="L16" s="48"/>
      <c r="M16" s="49"/>
      <c r="N16" s="50"/>
    </row>
    <row r="17" spans="2:15" s="43" customFormat="1" ht="15" customHeight="1">
      <c r="B17" s="63"/>
      <c r="F17" s="198"/>
      <c r="G17" s="198"/>
      <c r="H17" s="198"/>
      <c r="O17" s="33"/>
    </row>
    <row r="20" spans="2:15" s="37" customFormat="1" ht="22" customHeight="1">
      <c r="B20" s="62" t="s">
        <v>293</v>
      </c>
      <c r="C20" s="38" t="s">
        <v>271</v>
      </c>
      <c r="D20" s="38" t="s">
        <v>272</v>
      </c>
      <c r="E20" s="38" t="s">
        <v>273</v>
      </c>
      <c r="F20" s="38" t="s">
        <v>274</v>
      </c>
      <c r="G20" s="38" t="s">
        <v>275</v>
      </c>
      <c r="H20" s="38" t="s">
        <v>276</v>
      </c>
      <c r="I20" s="38" t="s">
        <v>277</v>
      </c>
      <c r="J20" s="38" t="s">
        <v>278</v>
      </c>
      <c r="K20" s="38" t="s">
        <v>279</v>
      </c>
      <c r="L20" s="38" t="s">
        <v>280</v>
      </c>
      <c r="M20" s="38" t="s">
        <v>281</v>
      </c>
      <c r="N20" s="38" t="s">
        <v>282</v>
      </c>
    </row>
    <row r="21" spans="2:15" s="39" customFormat="1" ht="26" customHeight="1">
      <c r="B21" s="40" t="s">
        <v>288</v>
      </c>
      <c r="C21" s="97"/>
      <c r="D21" s="97"/>
      <c r="E21" s="97"/>
      <c r="F21" s="103">
        <v>23</v>
      </c>
      <c r="G21" s="103">
        <v>23</v>
      </c>
      <c r="H21" s="103">
        <v>23</v>
      </c>
      <c r="I21" s="94"/>
      <c r="J21" s="94"/>
      <c r="K21" s="94"/>
      <c r="L21" s="94"/>
      <c r="M21" s="94"/>
      <c r="N21" s="94"/>
    </row>
    <row r="22" spans="2:15" s="39" customFormat="1" ht="33" customHeight="1">
      <c r="B22" s="56" t="s">
        <v>294</v>
      </c>
      <c r="C22" s="97"/>
      <c r="D22" s="97"/>
      <c r="E22" s="97"/>
      <c r="F22" s="103">
        <v>16</v>
      </c>
      <c r="G22" s="103">
        <v>16</v>
      </c>
      <c r="H22" s="103">
        <v>16</v>
      </c>
      <c r="I22" s="94"/>
      <c r="J22" s="94"/>
      <c r="K22" s="94"/>
      <c r="L22" s="94"/>
      <c r="M22" s="94"/>
      <c r="N22" s="94"/>
    </row>
    <row r="23" spans="2:15" s="39" customFormat="1" ht="27" customHeight="1">
      <c r="B23" s="40" t="s">
        <v>289</v>
      </c>
      <c r="C23" s="97"/>
      <c r="D23" s="97"/>
      <c r="E23" s="97"/>
      <c r="F23" s="103">
        <v>25</v>
      </c>
      <c r="G23" s="103">
        <v>25</v>
      </c>
      <c r="H23" s="103">
        <v>25</v>
      </c>
      <c r="I23" s="94"/>
      <c r="J23" s="94"/>
      <c r="K23" s="94"/>
      <c r="L23" s="94"/>
      <c r="M23" s="94"/>
      <c r="N23" s="94"/>
    </row>
    <row r="24" spans="2:15" s="43" customFormat="1" ht="20" customHeight="1">
      <c r="B24" s="39"/>
      <c r="D24" s="44"/>
      <c r="F24" s="64">
        <v>167220000</v>
      </c>
      <c r="G24" s="64">
        <v>167220000</v>
      </c>
      <c r="H24" s="64">
        <v>276520000</v>
      </c>
      <c r="I24" s="33"/>
      <c r="J24" s="55"/>
      <c r="K24" s="55"/>
      <c r="L24" s="55"/>
      <c r="M24" s="33"/>
      <c r="N24" s="33"/>
    </row>
    <row r="25" spans="2:15" s="43" customFormat="1" ht="20" customHeight="1">
      <c r="B25" s="39"/>
      <c r="C25" s="33"/>
      <c r="D25" s="57"/>
      <c r="E25" s="39"/>
      <c r="F25" s="33"/>
      <c r="G25" s="33"/>
      <c r="H25" s="33"/>
      <c r="I25" s="33"/>
      <c r="J25" s="57"/>
      <c r="K25" s="57"/>
      <c r="L25" s="57"/>
      <c r="M25" s="33"/>
      <c r="N25" s="33"/>
    </row>
    <row r="26" spans="2:15" s="37" customFormat="1" ht="20" customHeight="1">
      <c r="D26" s="44"/>
      <c r="L26" s="45"/>
      <c r="M26" s="46" t="s">
        <v>283</v>
      </c>
      <c r="N26" s="47" t="s">
        <v>284</v>
      </c>
    </row>
    <row r="27" spans="2:15" s="39" customFormat="1" ht="20" customHeight="1">
      <c r="G27" s="33"/>
      <c r="H27" s="33"/>
      <c r="K27" s="196" t="s">
        <v>285</v>
      </c>
      <c r="L27" s="196"/>
      <c r="M27" s="99">
        <f>SUM(D24:J24)</f>
        <v>610960000</v>
      </c>
      <c r="N27" s="100">
        <f>M27/12000</f>
        <v>50913.333333333336</v>
      </c>
    </row>
    <row r="28" spans="2:15" s="39" customFormat="1" ht="20" customHeight="1">
      <c r="K28" s="196" t="s">
        <v>296</v>
      </c>
      <c r="L28" s="196"/>
      <c r="M28" s="99">
        <f>M27*5%</f>
        <v>30548000</v>
      </c>
      <c r="N28" s="100">
        <f>M28/12000</f>
        <v>2545.6666666666665</v>
      </c>
    </row>
    <row r="29" spans="2:15" s="39" customFormat="1" ht="20" customHeight="1">
      <c r="K29" s="196" t="s">
        <v>286</v>
      </c>
      <c r="L29" s="196"/>
      <c r="M29" s="99">
        <f>M27+M28</f>
        <v>641508000</v>
      </c>
      <c r="N29" s="100">
        <f>M29/12000</f>
        <v>53459</v>
      </c>
    </row>
    <row r="30" spans="2:15" s="39" customFormat="1" ht="20" customHeight="1">
      <c r="K30" s="196" t="s">
        <v>287</v>
      </c>
      <c r="L30" s="196"/>
      <c r="M30" s="105">
        <f>M29*1.12</f>
        <v>718488960.00000012</v>
      </c>
      <c r="N30" s="106">
        <f>M30/12000</f>
        <v>59874.080000000009</v>
      </c>
    </row>
    <row r="33" spans="2:14" s="37" customFormat="1" ht="22" customHeight="1">
      <c r="B33" s="62" t="s">
        <v>295</v>
      </c>
      <c r="C33" s="38" t="s">
        <v>271</v>
      </c>
      <c r="D33" s="38" t="s">
        <v>272</v>
      </c>
      <c r="E33" s="38" t="s">
        <v>273</v>
      </c>
      <c r="F33" s="38" t="s">
        <v>274</v>
      </c>
      <c r="G33" s="38" t="s">
        <v>275</v>
      </c>
      <c r="H33" s="38" t="s">
        <v>276</v>
      </c>
      <c r="I33" s="38" t="s">
        <v>277</v>
      </c>
      <c r="J33" s="38" t="s">
        <v>278</v>
      </c>
      <c r="K33" s="38" t="s">
        <v>279</v>
      </c>
      <c r="L33" s="38" t="s">
        <v>280</v>
      </c>
      <c r="M33" s="38" t="s">
        <v>281</v>
      </c>
      <c r="N33" s="38" t="s">
        <v>282</v>
      </c>
    </row>
    <row r="34" spans="2:14" s="39" customFormat="1" ht="22" customHeight="1">
      <c r="B34" s="52" t="s">
        <v>301</v>
      </c>
      <c r="C34" s="42"/>
      <c r="D34" s="41"/>
      <c r="E34" s="41"/>
      <c r="F34" s="54"/>
      <c r="G34" s="95">
        <v>24</v>
      </c>
      <c r="H34" s="95">
        <v>24</v>
      </c>
      <c r="I34" s="95">
        <v>24</v>
      </c>
      <c r="J34" s="96"/>
      <c r="K34" s="96"/>
      <c r="L34" s="108"/>
      <c r="M34" s="101"/>
      <c r="N34" s="101"/>
    </row>
    <row r="35" spans="2:14" s="39" customFormat="1" ht="22" customHeight="1">
      <c r="B35" s="52" t="s">
        <v>291</v>
      </c>
      <c r="C35" s="42"/>
      <c r="D35" s="41"/>
      <c r="E35" s="41"/>
      <c r="F35" s="41"/>
      <c r="G35" s="95">
        <v>28</v>
      </c>
      <c r="H35" s="95">
        <v>28</v>
      </c>
      <c r="I35" s="95">
        <v>28</v>
      </c>
      <c r="J35" s="96"/>
      <c r="K35" s="96"/>
      <c r="L35" s="108"/>
      <c r="M35" s="101"/>
      <c r="N35" s="101"/>
    </row>
    <row r="36" spans="2:14" s="43" customFormat="1" ht="20" customHeight="1">
      <c r="C36" s="33"/>
      <c r="F36" s="33"/>
      <c r="G36" s="64">
        <v>162172000</v>
      </c>
      <c r="H36" s="64">
        <v>129672000</v>
      </c>
      <c r="I36" s="64">
        <v>129672000</v>
      </c>
      <c r="J36" s="37"/>
      <c r="M36" s="76"/>
      <c r="N36" s="76"/>
    </row>
    <row r="37" spans="2:14" s="43" customFormat="1" ht="20" customHeight="1">
      <c r="B37" s="51"/>
      <c r="C37" s="33"/>
      <c r="D37" s="57"/>
      <c r="E37" s="39"/>
      <c r="F37" s="33"/>
      <c r="G37" s="37"/>
      <c r="H37" s="33"/>
      <c r="I37" s="33"/>
      <c r="J37" s="57"/>
      <c r="K37" s="57"/>
      <c r="L37" s="57"/>
      <c r="M37" s="33"/>
      <c r="N37" s="33"/>
    </row>
    <row r="38" spans="2:14" s="37" customFormat="1" ht="20" customHeight="1">
      <c r="D38" s="44"/>
      <c r="L38" s="45"/>
      <c r="M38" s="46" t="s">
        <v>283</v>
      </c>
      <c r="N38" s="47" t="s">
        <v>284</v>
      </c>
    </row>
    <row r="39" spans="2:14" s="39" customFormat="1" ht="20" customHeight="1">
      <c r="F39" s="33"/>
      <c r="H39" s="33"/>
      <c r="K39" s="196" t="s">
        <v>285</v>
      </c>
      <c r="L39" s="196"/>
      <c r="M39" s="99">
        <f>SUM(G36:N36)</f>
        <v>421516000</v>
      </c>
      <c r="N39" s="100">
        <f>M39/12000</f>
        <v>35126.333333333336</v>
      </c>
    </row>
    <row r="40" spans="2:14" s="39" customFormat="1" ht="20" customHeight="1">
      <c r="K40" s="196" t="s">
        <v>296</v>
      </c>
      <c r="L40" s="196"/>
      <c r="M40" s="99">
        <f>M39*5%</f>
        <v>21075800</v>
      </c>
      <c r="N40" s="100">
        <f>M40/12000</f>
        <v>1756.3166666666666</v>
      </c>
    </row>
    <row r="41" spans="2:14" s="39" customFormat="1" ht="20" customHeight="1">
      <c r="K41" s="196" t="s">
        <v>286</v>
      </c>
      <c r="L41" s="196"/>
      <c r="M41" s="99">
        <f>M39+M40</f>
        <v>442591800</v>
      </c>
      <c r="N41" s="100">
        <f>M41/12000</f>
        <v>36882.65</v>
      </c>
    </row>
    <row r="42" spans="2:14" s="39" customFormat="1" ht="20" customHeight="1">
      <c r="K42" s="196" t="s">
        <v>287</v>
      </c>
      <c r="L42" s="196"/>
      <c r="M42" s="105">
        <f>M41*1.12</f>
        <v>495702816.00000006</v>
      </c>
      <c r="N42" s="106">
        <f>M42/12000</f>
        <v>41308.568000000007</v>
      </c>
    </row>
  </sheetData>
  <mergeCells count="14">
    <mergeCell ref="G5:I5"/>
    <mergeCell ref="K15:L15"/>
    <mergeCell ref="F17:H17"/>
    <mergeCell ref="K12:L12"/>
    <mergeCell ref="K13:L13"/>
    <mergeCell ref="K14:L14"/>
    <mergeCell ref="K30:L30"/>
    <mergeCell ref="K42:L42"/>
    <mergeCell ref="K29:L29"/>
    <mergeCell ref="K40:L40"/>
    <mergeCell ref="K41:L41"/>
    <mergeCell ref="K39:L39"/>
    <mergeCell ref="K27:L27"/>
    <mergeCell ref="K28:L2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F9DB-15CD-463D-8531-8BCEB4212709}">
  <dimension ref="A1:AF66"/>
  <sheetViews>
    <sheetView zoomScale="55" zoomScaleNormal="55" workbookViewId="0">
      <pane xSplit="4" ySplit="8" topLeftCell="T9" activePane="bottomRight" state="frozen"/>
      <selection activeCell="S67" sqref="S67"/>
      <selection pane="topRight" activeCell="S67" sqref="S67"/>
      <selection pane="bottomLeft" activeCell="S67" sqref="S67"/>
      <selection pane="bottomRight" activeCell="Y9" sqref="Y9"/>
    </sheetView>
  </sheetViews>
  <sheetFormatPr baseColWidth="10" defaultColWidth="19.1640625" defaultRowHeight="16"/>
  <cols>
    <col min="1" max="1" width="15.6640625" style="6" customWidth="1"/>
    <col min="2" max="2" width="20.33203125" style="6" customWidth="1"/>
    <col min="3" max="3" width="25.5" style="6" customWidth="1"/>
    <col min="4" max="4" width="65.83203125" style="6" bestFit="1" customWidth="1"/>
    <col min="5" max="5" width="14.1640625" style="6" customWidth="1"/>
    <col min="6" max="6" width="12.83203125" style="6" customWidth="1"/>
    <col min="7" max="7" width="15.1640625" style="6" customWidth="1"/>
    <col min="8" max="8" width="21.1640625" style="6" customWidth="1"/>
    <col min="9" max="9" width="22.83203125" style="6" customWidth="1"/>
    <col min="10" max="10" width="13.83203125" style="6" hidden="1" customWidth="1"/>
    <col min="11" max="11" width="14.83203125" style="6" customWidth="1"/>
    <col min="12" max="12" width="15.83203125" style="6" customWidth="1"/>
    <col min="13" max="13" width="16" style="6" customWidth="1"/>
    <col min="14" max="14" width="19.6640625" style="6" customWidth="1"/>
    <col min="15" max="17" width="15.83203125" style="6" customWidth="1"/>
    <col min="18" max="18" width="24" style="6" customWidth="1"/>
    <col min="19" max="19" width="21.1640625" style="6" hidden="1" customWidth="1"/>
    <col min="20" max="20" width="23.1640625" style="6" customWidth="1"/>
    <col min="21" max="21" width="21.1640625" style="6" customWidth="1"/>
    <col min="22" max="22" width="21.83203125" style="6" customWidth="1"/>
    <col min="23" max="16384" width="19.1640625" style="4"/>
  </cols>
  <sheetData>
    <row r="1" spans="1:32">
      <c r="D1" s="9"/>
    </row>
    <row r="2" spans="1:32" ht="17">
      <c r="C2" s="12" t="s">
        <v>179</v>
      </c>
      <c r="D2" s="20" t="s">
        <v>196</v>
      </c>
      <c r="F2" s="7"/>
    </row>
    <row r="3" spans="1:32">
      <c r="C3" s="12" t="s">
        <v>180</v>
      </c>
      <c r="D3" s="10" t="s">
        <v>185</v>
      </c>
      <c r="F3" s="7"/>
    </row>
    <row r="4" spans="1:32">
      <c r="C4" s="12" t="s">
        <v>181</v>
      </c>
      <c r="D4" s="10"/>
      <c r="F4" s="7"/>
    </row>
    <row r="5" spans="1:32">
      <c r="C5" s="12" t="s">
        <v>182</v>
      </c>
      <c r="D5" s="11">
        <v>46045</v>
      </c>
      <c r="F5" s="8"/>
    </row>
    <row r="7" spans="1:32" ht="17" thickBot="1"/>
    <row r="8" spans="1:32" s="5" customFormat="1" ht="80" customHeight="1">
      <c r="A8" s="78" t="s">
        <v>183</v>
      </c>
      <c r="B8" s="78" t="s">
        <v>174</v>
      </c>
      <c r="C8" s="78" t="s">
        <v>161</v>
      </c>
      <c r="D8" s="78" t="s">
        <v>175</v>
      </c>
      <c r="E8" s="78" t="s">
        <v>177</v>
      </c>
      <c r="F8" s="78" t="s">
        <v>162</v>
      </c>
      <c r="G8" s="78" t="s">
        <v>170</v>
      </c>
      <c r="H8" s="78" t="s">
        <v>176</v>
      </c>
      <c r="I8" s="78" t="s">
        <v>158</v>
      </c>
      <c r="J8" s="78" t="s">
        <v>163</v>
      </c>
      <c r="K8" s="78" t="s">
        <v>178</v>
      </c>
      <c r="L8" s="78" t="s">
        <v>168</v>
      </c>
      <c r="M8" s="78" t="s">
        <v>164</v>
      </c>
      <c r="N8" s="156" t="s">
        <v>165</v>
      </c>
      <c r="O8" s="160" t="s">
        <v>319</v>
      </c>
      <c r="P8" s="161" t="s">
        <v>320</v>
      </c>
      <c r="Q8" s="162" t="s">
        <v>321</v>
      </c>
      <c r="R8" s="110" t="s">
        <v>169</v>
      </c>
      <c r="S8" s="79" t="s">
        <v>208</v>
      </c>
      <c r="T8" s="79" t="s">
        <v>197</v>
      </c>
      <c r="U8" s="79" t="s">
        <v>207</v>
      </c>
      <c r="V8" s="80" t="s">
        <v>171</v>
      </c>
      <c r="X8" s="111" t="s">
        <v>343</v>
      </c>
      <c r="Y8" s="111" t="s">
        <v>345</v>
      </c>
      <c r="Z8" s="111" t="s">
        <v>322</v>
      </c>
      <c r="AA8" s="111" t="s">
        <v>167</v>
      </c>
      <c r="AB8" s="111" t="s">
        <v>226</v>
      </c>
      <c r="AC8" s="111" t="s">
        <v>227</v>
      </c>
      <c r="AD8" s="111" t="s">
        <v>230</v>
      </c>
      <c r="AE8" s="111" t="s">
        <v>228</v>
      </c>
      <c r="AF8" s="111" t="s">
        <v>229</v>
      </c>
    </row>
    <row r="9" spans="1:32" s="88" customFormat="1" ht="15" customHeight="1">
      <c r="A9" s="133" t="s">
        <v>184</v>
      </c>
      <c r="B9" s="134" t="s">
        <v>189</v>
      </c>
      <c r="C9" s="135" t="s">
        <v>210</v>
      </c>
      <c r="D9" s="136" t="s">
        <v>261</v>
      </c>
      <c r="E9" s="137" t="s">
        <v>190</v>
      </c>
      <c r="F9" s="137">
        <v>1</v>
      </c>
      <c r="G9" s="138">
        <v>3</v>
      </c>
      <c r="H9" s="133" t="s">
        <v>186</v>
      </c>
      <c r="I9" s="133" t="s">
        <v>4</v>
      </c>
      <c r="J9" s="137" t="s">
        <v>213</v>
      </c>
      <c r="K9" s="133">
        <v>10</v>
      </c>
      <c r="L9" s="133" t="s">
        <v>187</v>
      </c>
      <c r="M9" s="133">
        <v>1</v>
      </c>
      <c r="N9" s="157" t="s">
        <v>188</v>
      </c>
      <c r="O9" s="163">
        <v>659189</v>
      </c>
      <c r="P9" s="132">
        <v>58.153284806759729</v>
      </c>
      <c r="Q9" s="164">
        <v>1133537</v>
      </c>
      <c r="R9" s="139">
        <v>7100000</v>
      </c>
      <c r="S9" s="140">
        <v>0.1</v>
      </c>
      <c r="T9" s="141">
        <f t="shared" ref="T9:T55" si="0">R9*(100%-S9)</f>
        <v>6390000</v>
      </c>
      <c r="U9" s="142" t="s">
        <v>194</v>
      </c>
      <c r="V9" s="143">
        <f t="shared" ref="V9:V55" si="1">T9*G9</f>
        <v>19170000</v>
      </c>
      <c r="X9" s="112" t="s">
        <v>323</v>
      </c>
      <c r="Y9" s="113">
        <v>34.455508651412501</v>
      </c>
      <c r="Z9" s="113">
        <v>24.269999118668835</v>
      </c>
      <c r="AA9" s="113">
        <v>42.433148552807999</v>
      </c>
      <c r="AB9" s="113">
        <v>34.826850667556997</v>
      </c>
      <c r="AC9" s="113">
        <v>17.502565148405999</v>
      </c>
      <c r="AD9" s="113">
        <v>20.553294154341</v>
      </c>
      <c r="AE9" s="113">
        <v>20.444528599013996</v>
      </c>
      <c r="AF9" s="113">
        <v>23.330061802827</v>
      </c>
    </row>
    <row r="10" spans="1:32" s="88" customFormat="1" ht="15" customHeight="1">
      <c r="A10" s="133" t="s">
        <v>184</v>
      </c>
      <c r="B10" s="134" t="s">
        <v>189</v>
      </c>
      <c r="C10" s="135" t="s">
        <v>210</v>
      </c>
      <c r="D10" s="136" t="s">
        <v>212</v>
      </c>
      <c r="E10" s="137" t="s">
        <v>190</v>
      </c>
      <c r="F10" s="137">
        <v>1</v>
      </c>
      <c r="G10" s="138">
        <v>3</v>
      </c>
      <c r="H10" s="133" t="s">
        <v>186</v>
      </c>
      <c r="I10" s="133" t="s">
        <v>4</v>
      </c>
      <c r="J10" s="137" t="s">
        <v>213</v>
      </c>
      <c r="K10" s="133">
        <v>10</v>
      </c>
      <c r="L10" s="133" t="s">
        <v>187</v>
      </c>
      <c r="M10" s="133">
        <v>1</v>
      </c>
      <c r="N10" s="157" t="s">
        <v>188</v>
      </c>
      <c r="O10" s="163">
        <v>877289</v>
      </c>
      <c r="P10" s="132">
        <v>77.393944794038489</v>
      </c>
      <c r="Q10" s="164">
        <v>1133537</v>
      </c>
      <c r="R10" s="139">
        <v>7100000</v>
      </c>
      <c r="S10" s="140">
        <v>0.1</v>
      </c>
      <c r="T10" s="141">
        <f t="shared" si="0"/>
        <v>6390000</v>
      </c>
      <c r="U10" s="142" t="s">
        <v>194</v>
      </c>
      <c r="V10" s="143">
        <f t="shared" si="1"/>
        <v>19170000</v>
      </c>
      <c r="X10" s="112" t="s">
        <v>324</v>
      </c>
      <c r="Y10" s="114">
        <v>33.752647626941574</v>
      </c>
      <c r="Z10" s="114">
        <v>23.795357456414557</v>
      </c>
      <c r="AA10" s="114">
        <v>41.551538307747002</v>
      </c>
      <c r="AB10" s="114">
        <v>34.289015483501998</v>
      </c>
      <c r="AC10" s="114">
        <v>17.038838359256999</v>
      </c>
      <c r="AD10" s="114">
        <v>20.221404401952</v>
      </c>
      <c r="AE10" s="114">
        <v>19.874932674285002</v>
      </c>
      <c r="AF10" s="114">
        <v>22.815797482920001</v>
      </c>
    </row>
    <row r="11" spans="1:32" s="88" customFormat="1" ht="15" customHeight="1">
      <c r="A11" s="133" t="s">
        <v>184</v>
      </c>
      <c r="B11" s="134" t="s">
        <v>189</v>
      </c>
      <c r="C11" s="135" t="s">
        <v>210</v>
      </c>
      <c r="D11" s="136" t="s">
        <v>224</v>
      </c>
      <c r="E11" s="137" t="s">
        <v>190</v>
      </c>
      <c r="F11" s="137">
        <v>1</v>
      </c>
      <c r="G11" s="138">
        <v>3</v>
      </c>
      <c r="H11" s="133" t="s">
        <v>186</v>
      </c>
      <c r="I11" s="133" t="s">
        <v>4</v>
      </c>
      <c r="J11" s="137" t="s">
        <v>225</v>
      </c>
      <c r="K11" s="133">
        <v>10</v>
      </c>
      <c r="L11" s="133" t="s">
        <v>187</v>
      </c>
      <c r="M11" s="133">
        <v>1</v>
      </c>
      <c r="N11" s="157" t="s">
        <v>188</v>
      </c>
      <c r="O11" s="163">
        <v>657232</v>
      </c>
      <c r="P11" s="132">
        <v>57.980639361573552</v>
      </c>
      <c r="Q11" s="164">
        <v>1133537</v>
      </c>
      <c r="R11" s="139">
        <v>7100000</v>
      </c>
      <c r="S11" s="140">
        <v>0.1</v>
      </c>
      <c r="T11" s="141">
        <f t="shared" si="0"/>
        <v>6390000</v>
      </c>
      <c r="U11" s="142" t="s">
        <v>194</v>
      </c>
      <c r="V11" s="143">
        <f t="shared" si="1"/>
        <v>19170000</v>
      </c>
      <c r="X11" s="112" t="s">
        <v>325</v>
      </c>
      <c r="Y11" s="115">
        <v>33.045017203920374</v>
      </c>
      <c r="Z11" s="115">
        <v>23.319038334645267</v>
      </c>
      <c r="AA11" s="115">
        <v>40.662736951589991</v>
      </c>
      <c r="AB11" s="115">
        <v>33.749282645129995</v>
      </c>
      <c r="AC11" s="115">
        <v>16.573513545419999</v>
      </c>
      <c r="AD11" s="115">
        <v>19.888715637218997</v>
      </c>
      <c r="AE11" s="115">
        <v>19.303339218695999</v>
      </c>
      <c r="AF11" s="115">
        <v>22.299036249437997</v>
      </c>
    </row>
    <row r="12" spans="1:32" s="88" customFormat="1" ht="15" customHeight="1">
      <c r="A12" s="133" t="s">
        <v>184</v>
      </c>
      <c r="B12" s="134" t="s">
        <v>189</v>
      </c>
      <c r="C12" s="135" t="s">
        <v>210</v>
      </c>
      <c r="D12" s="136" t="s">
        <v>262</v>
      </c>
      <c r="E12" s="137" t="s">
        <v>190</v>
      </c>
      <c r="F12" s="137">
        <v>1</v>
      </c>
      <c r="G12" s="138">
        <v>3</v>
      </c>
      <c r="H12" s="133" t="s">
        <v>186</v>
      </c>
      <c r="I12" s="133" t="s">
        <v>4</v>
      </c>
      <c r="J12" s="137" t="s">
        <v>225</v>
      </c>
      <c r="K12" s="133">
        <v>10</v>
      </c>
      <c r="L12" s="133" t="s">
        <v>187</v>
      </c>
      <c r="M12" s="133">
        <v>1</v>
      </c>
      <c r="N12" s="157" t="s">
        <v>188</v>
      </c>
      <c r="O12" s="163">
        <v>1497124</v>
      </c>
      <c r="P12" s="132">
        <v>132.07544173679378</v>
      </c>
      <c r="Q12" s="164">
        <v>1133537</v>
      </c>
      <c r="R12" s="139">
        <v>7100000</v>
      </c>
      <c r="S12" s="140">
        <v>0.1</v>
      </c>
      <c r="T12" s="141">
        <f t="shared" si="0"/>
        <v>6390000</v>
      </c>
      <c r="U12" s="142" t="s">
        <v>194</v>
      </c>
      <c r="V12" s="143">
        <f t="shared" si="1"/>
        <v>19170000</v>
      </c>
      <c r="X12" s="112" t="s">
        <v>326</v>
      </c>
      <c r="Y12" s="116">
        <v>32.325371255556639</v>
      </c>
      <c r="Z12" s="116">
        <v>22.839973771768307</v>
      </c>
      <c r="AA12" s="116">
        <v>39.754659422633999</v>
      </c>
      <c r="AB12" s="116">
        <v>33.207252646268998</v>
      </c>
      <c r="AC12" s="116">
        <v>16.103095027889999</v>
      </c>
      <c r="AD12" s="116">
        <v>19.555227860142001</v>
      </c>
      <c r="AE12" s="116">
        <v>18.727850577929999</v>
      </c>
      <c r="AF12" s="116">
        <v>21.778579583865</v>
      </c>
    </row>
    <row r="13" spans="1:32" s="88" customFormat="1" ht="15" customHeight="1">
      <c r="A13" s="133" t="s">
        <v>184</v>
      </c>
      <c r="B13" s="134" t="s">
        <v>189</v>
      </c>
      <c r="C13" s="135" t="s">
        <v>210</v>
      </c>
      <c r="D13" s="136" t="s">
        <v>214</v>
      </c>
      <c r="E13" s="137" t="s">
        <v>192</v>
      </c>
      <c r="F13" s="137">
        <v>1</v>
      </c>
      <c r="G13" s="138">
        <v>3</v>
      </c>
      <c r="H13" s="133" t="s">
        <v>186</v>
      </c>
      <c r="I13" s="133" t="s">
        <v>4</v>
      </c>
      <c r="J13" s="137" t="s">
        <v>211</v>
      </c>
      <c r="K13" s="133">
        <v>10</v>
      </c>
      <c r="L13" s="133" t="s">
        <v>187</v>
      </c>
      <c r="M13" s="133">
        <v>1</v>
      </c>
      <c r="N13" s="157" t="s">
        <v>188</v>
      </c>
      <c r="O13" s="163">
        <v>273043</v>
      </c>
      <c r="P13" s="132">
        <v>24.087700710254715</v>
      </c>
      <c r="Q13" s="164">
        <v>1133537</v>
      </c>
      <c r="R13" s="139">
        <v>7100000</v>
      </c>
      <c r="S13" s="140">
        <v>0.1</v>
      </c>
      <c r="T13" s="141">
        <f t="shared" si="0"/>
        <v>6390000</v>
      </c>
      <c r="U13" s="142" t="s">
        <v>194</v>
      </c>
      <c r="V13" s="143">
        <f t="shared" si="1"/>
        <v>19170000</v>
      </c>
      <c r="X13" s="112" t="s">
        <v>327</v>
      </c>
      <c r="Y13" s="117">
        <v>31.588040079592318</v>
      </c>
      <c r="Z13" s="117">
        <v>22.355839234377765</v>
      </c>
      <c r="AA13" s="117">
        <v>38.819015967810003</v>
      </c>
      <c r="AB13" s="117">
        <v>32.662026598031993</v>
      </c>
      <c r="AC13" s="117">
        <v>15.621390461000997</v>
      </c>
      <c r="AD13" s="117">
        <v>19.220841194178</v>
      </c>
      <c r="AE13" s="117">
        <v>18.143972307551998</v>
      </c>
      <c r="AF13" s="117">
        <v>21.251431189910999</v>
      </c>
    </row>
    <row r="14" spans="1:32" s="88" customFormat="1" ht="15" customHeight="1">
      <c r="A14" s="133" t="s">
        <v>184</v>
      </c>
      <c r="B14" s="134" t="s">
        <v>189</v>
      </c>
      <c r="C14" s="135" t="s">
        <v>210</v>
      </c>
      <c r="D14" s="136" t="s">
        <v>215</v>
      </c>
      <c r="E14" s="137" t="s">
        <v>192</v>
      </c>
      <c r="F14" s="137">
        <v>1</v>
      </c>
      <c r="G14" s="138">
        <v>3</v>
      </c>
      <c r="H14" s="133" t="s">
        <v>186</v>
      </c>
      <c r="I14" s="133" t="s">
        <v>4</v>
      </c>
      <c r="J14" s="137" t="s">
        <v>198</v>
      </c>
      <c r="K14" s="133">
        <v>10</v>
      </c>
      <c r="L14" s="133" t="s">
        <v>187</v>
      </c>
      <c r="M14" s="133">
        <v>1</v>
      </c>
      <c r="N14" s="157" t="s">
        <v>188</v>
      </c>
      <c r="O14" s="163">
        <v>421084</v>
      </c>
      <c r="P14" s="132">
        <v>37.147794910973353</v>
      </c>
      <c r="Q14" s="164">
        <v>1133537</v>
      </c>
      <c r="R14" s="144">
        <v>5700000</v>
      </c>
      <c r="S14" s="140">
        <v>0.1</v>
      </c>
      <c r="T14" s="141">
        <f t="shared" si="0"/>
        <v>5130000</v>
      </c>
      <c r="U14" s="142" t="s">
        <v>194</v>
      </c>
      <c r="V14" s="143">
        <f t="shared" si="1"/>
        <v>15390000</v>
      </c>
      <c r="X14" s="112" t="s">
        <v>328</v>
      </c>
      <c r="Y14" s="118">
        <v>29.171890812912572</v>
      </c>
      <c r="Z14" s="118">
        <v>20.811485488763317</v>
      </c>
      <c r="AA14" s="118">
        <v>35.720046591606</v>
      </c>
      <c r="AB14" s="118">
        <v>30.977608700337001</v>
      </c>
      <c r="AC14" s="118">
        <v>13.977322686677999</v>
      </c>
      <c r="AD14" s="118">
        <v>18.209391443216997</v>
      </c>
      <c r="AE14" s="118">
        <v>16.208065274582999</v>
      </c>
      <c r="AF14" s="118">
        <v>19.553629835454</v>
      </c>
    </row>
    <row r="15" spans="1:32" s="88" customFormat="1" ht="15" customHeight="1">
      <c r="A15" s="133" t="s">
        <v>184</v>
      </c>
      <c r="B15" s="145" t="s">
        <v>189</v>
      </c>
      <c r="C15" s="146" t="s">
        <v>210</v>
      </c>
      <c r="D15" s="147" t="s">
        <v>298</v>
      </c>
      <c r="E15" s="148" t="s">
        <v>192</v>
      </c>
      <c r="F15" s="137">
        <v>1</v>
      </c>
      <c r="G15" s="138">
        <v>3</v>
      </c>
      <c r="H15" s="133" t="s">
        <v>186</v>
      </c>
      <c r="I15" s="133" t="s">
        <v>4</v>
      </c>
      <c r="J15" s="137" t="s">
        <v>198</v>
      </c>
      <c r="K15" s="133">
        <v>10</v>
      </c>
      <c r="L15" s="133" t="s">
        <v>187</v>
      </c>
      <c r="M15" s="133">
        <v>1</v>
      </c>
      <c r="N15" s="157" t="s">
        <v>188</v>
      </c>
      <c r="O15" s="163">
        <v>3368181</v>
      </c>
      <c r="P15" s="132">
        <v>297.13904354246927</v>
      </c>
      <c r="Q15" s="164">
        <v>1133537</v>
      </c>
      <c r="R15" s="144">
        <v>5700000</v>
      </c>
      <c r="S15" s="140">
        <v>0.1</v>
      </c>
      <c r="T15" s="141">
        <f t="shared" si="0"/>
        <v>5130000</v>
      </c>
      <c r="U15" s="142" t="s">
        <v>194</v>
      </c>
      <c r="V15" s="143">
        <f t="shared" si="1"/>
        <v>15390000</v>
      </c>
      <c r="X15" s="112" t="s">
        <v>329</v>
      </c>
      <c r="Y15" s="119">
        <v>27.264741804320181</v>
      </c>
      <c r="Z15" s="119">
        <v>19.608993302673465</v>
      </c>
      <c r="AA15" s="119">
        <v>33.260986226402999</v>
      </c>
      <c r="AB15" s="119">
        <v>29.745032283173998</v>
      </c>
      <c r="AC15" s="119">
        <v>12.587940097005001</v>
      </c>
      <c r="AD15" s="119">
        <v>17.515748852081998</v>
      </c>
      <c r="AE15" s="119">
        <v>14.544621450917999</v>
      </c>
      <c r="AF15" s="119">
        <v>18.209291566674001</v>
      </c>
    </row>
    <row r="16" spans="1:32" s="88" customFormat="1" ht="15" customHeight="1">
      <c r="A16" s="133" t="s">
        <v>184</v>
      </c>
      <c r="B16" s="134" t="s">
        <v>189</v>
      </c>
      <c r="C16" s="135" t="s">
        <v>210</v>
      </c>
      <c r="D16" s="136" t="s">
        <v>216</v>
      </c>
      <c r="E16" s="137" t="s">
        <v>192</v>
      </c>
      <c r="F16" s="137">
        <v>1</v>
      </c>
      <c r="G16" s="138">
        <v>3</v>
      </c>
      <c r="H16" s="133" t="s">
        <v>186</v>
      </c>
      <c r="I16" s="133" t="s">
        <v>4</v>
      </c>
      <c r="J16" s="137" t="s">
        <v>198</v>
      </c>
      <c r="K16" s="133">
        <v>10</v>
      </c>
      <c r="L16" s="133" t="s">
        <v>187</v>
      </c>
      <c r="M16" s="133">
        <v>1</v>
      </c>
      <c r="N16" s="157" t="s">
        <v>188</v>
      </c>
      <c r="O16" s="163">
        <v>873271</v>
      </c>
      <c r="P16" s="132">
        <v>77.039479081847347</v>
      </c>
      <c r="Q16" s="164">
        <v>1133537</v>
      </c>
      <c r="R16" s="144">
        <v>5700000</v>
      </c>
      <c r="S16" s="140">
        <v>0.1</v>
      </c>
      <c r="T16" s="141">
        <f t="shared" si="0"/>
        <v>5130000</v>
      </c>
      <c r="U16" s="142" t="s">
        <v>194</v>
      </c>
      <c r="V16" s="143">
        <f t="shared" si="1"/>
        <v>15390000</v>
      </c>
      <c r="X16" s="112" t="s">
        <v>330</v>
      </c>
      <c r="Y16" s="120">
        <v>25.030858599710839</v>
      </c>
      <c r="Z16" s="120">
        <v>18.204558592991471</v>
      </c>
      <c r="AA16" s="120">
        <v>30.377450553449997</v>
      </c>
      <c r="AB16" s="120">
        <v>28.343764384883997</v>
      </c>
      <c r="AC16" s="120">
        <v>10.986919112715</v>
      </c>
      <c r="AD16" s="120">
        <v>16.776362804253001</v>
      </c>
      <c r="AE16" s="120">
        <v>12.452107998524999</v>
      </c>
      <c r="AF16" s="120">
        <v>16.617459224339999</v>
      </c>
    </row>
    <row r="17" spans="1:32" s="88" customFormat="1" ht="15" customHeight="1">
      <c r="A17" s="133" t="s">
        <v>184</v>
      </c>
      <c r="B17" s="134" t="s">
        <v>189</v>
      </c>
      <c r="C17" s="135" t="s">
        <v>210</v>
      </c>
      <c r="D17" s="137" t="s">
        <v>217</v>
      </c>
      <c r="E17" s="137" t="s">
        <v>192</v>
      </c>
      <c r="F17" s="137">
        <v>1</v>
      </c>
      <c r="G17" s="138">
        <v>3</v>
      </c>
      <c r="H17" s="133" t="s">
        <v>186</v>
      </c>
      <c r="I17" s="133" t="s">
        <v>4</v>
      </c>
      <c r="J17" s="137" t="s">
        <v>198</v>
      </c>
      <c r="K17" s="133">
        <v>10</v>
      </c>
      <c r="L17" s="133" t="s">
        <v>187</v>
      </c>
      <c r="M17" s="133">
        <v>1</v>
      </c>
      <c r="N17" s="157" t="s">
        <v>188</v>
      </c>
      <c r="O17" s="163">
        <v>674038</v>
      </c>
      <c r="P17" s="132">
        <v>59.463255279712968</v>
      </c>
      <c r="Q17" s="164">
        <v>1133537</v>
      </c>
      <c r="R17" s="144">
        <v>5700000</v>
      </c>
      <c r="S17" s="140">
        <v>0.1</v>
      </c>
      <c r="T17" s="141">
        <f t="shared" si="0"/>
        <v>5130000</v>
      </c>
      <c r="U17" s="142" t="s">
        <v>194</v>
      </c>
      <c r="V17" s="143">
        <f t="shared" si="1"/>
        <v>15390000</v>
      </c>
      <c r="W17" s="90"/>
      <c r="X17" s="112" t="s">
        <v>331</v>
      </c>
      <c r="Y17" s="121">
        <v>22.533043944813254</v>
      </c>
      <c r="Z17" s="121">
        <v>16.629079556295142</v>
      </c>
      <c r="AA17" s="121">
        <v>27.157231054043997</v>
      </c>
      <c r="AB17" s="121">
        <v>26.749335252432001</v>
      </c>
      <c r="AC17" s="121">
        <v>9.3601299803309992</v>
      </c>
      <c r="AD17" s="121">
        <v>15.949884410928</v>
      </c>
      <c r="AE17" s="121">
        <v>10.070751583776</v>
      </c>
      <c r="AF17" s="121">
        <v>14.779131573881997</v>
      </c>
    </row>
    <row r="18" spans="1:32" s="88" customFormat="1" ht="15" customHeight="1">
      <c r="A18" s="133" t="s">
        <v>184</v>
      </c>
      <c r="B18" s="149" t="s">
        <v>189</v>
      </c>
      <c r="C18" s="135" t="s">
        <v>210</v>
      </c>
      <c r="D18" s="137" t="s">
        <v>263</v>
      </c>
      <c r="E18" s="137" t="s">
        <v>192</v>
      </c>
      <c r="F18" s="137">
        <v>1</v>
      </c>
      <c r="G18" s="138">
        <v>3</v>
      </c>
      <c r="H18" s="133" t="s">
        <v>186</v>
      </c>
      <c r="I18" s="133" t="s">
        <v>4</v>
      </c>
      <c r="J18" s="137" t="s">
        <v>198</v>
      </c>
      <c r="K18" s="133">
        <v>10</v>
      </c>
      <c r="L18" s="133" t="s">
        <v>187</v>
      </c>
      <c r="M18" s="133">
        <v>1</v>
      </c>
      <c r="N18" s="157" t="s">
        <v>188</v>
      </c>
      <c r="O18" s="163">
        <v>998751</v>
      </c>
      <c r="P18" s="132">
        <v>88.109254483973615</v>
      </c>
      <c r="Q18" s="164">
        <v>1133537</v>
      </c>
      <c r="R18" s="144">
        <v>5700000</v>
      </c>
      <c r="S18" s="140">
        <v>0.1</v>
      </c>
      <c r="T18" s="141">
        <f t="shared" si="0"/>
        <v>5130000</v>
      </c>
      <c r="U18" s="142" t="s">
        <v>194</v>
      </c>
      <c r="V18" s="143">
        <f t="shared" si="1"/>
        <v>15390000</v>
      </c>
      <c r="W18" s="89"/>
      <c r="X18" s="112" t="s">
        <v>332</v>
      </c>
      <c r="Y18" s="122">
        <v>21.250116714050765</v>
      </c>
      <c r="Z18" s="122">
        <v>15.809026383959553</v>
      </c>
      <c r="AA18" s="122">
        <v>25.511765008119003</v>
      </c>
      <c r="AB18" s="122">
        <v>25.890097353002993</v>
      </c>
      <c r="AC18" s="122">
        <v>8.6151508460940001</v>
      </c>
      <c r="AD18" s="122">
        <v>15.492449843987998</v>
      </c>
      <c r="AE18" s="122">
        <v>8.8778261541839996</v>
      </c>
      <c r="AF18" s="122">
        <v>13.786758242633997</v>
      </c>
    </row>
    <row r="19" spans="1:32" s="88" customFormat="1" ht="15" customHeight="1">
      <c r="A19" s="133" t="s">
        <v>184</v>
      </c>
      <c r="B19" s="134" t="s">
        <v>189</v>
      </c>
      <c r="C19" s="135" t="s">
        <v>210</v>
      </c>
      <c r="D19" s="136" t="s">
        <v>264</v>
      </c>
      <c r="E19" s="137" t="s">
        <v>192</v>
      </c>
      <c r="F19" s="137">
        <v>1</v>
      </c>
      <c r="G19" s="138">
        <v>3</v>
      </c>
      <c r="H19" s="133" t="s">
        <v>186</v>
      </c>
      <c r="I19" s="133" t="s">
        <v>4</v>
      </c>
      <c r="J19" s="137" t="s">
        <v>198</v>
      </c>
      <c r="K19" s="133">
        <v>10</v>
      </c>
      <c r="L19" s="133" t="s">
        <v>187</v>
      </c>
      <c r="M19" s="133">
        <v>1</v>
      </c>
      <c r="N19" s="157" t="s">
        <v>188</v>
      </c>
      <c r="O19" s="163">
        <v>497049</v>
      </c>
      <c r="P19" s="132">
        <v>43.849384713511782</v>
      </c>
      <c r="Q19" s="164">
        <v>1133537</v>
      </c>
      <c r="R19" s="144">
        <v>5700000</v>
      </c>
      <c r="S19" s="140">
        <v>0.1</v>
      </c>
      <c r="T19" s="141">
        <f t="shared" si="0"/>
        <v>5130000</v>
      </c>
      <c r="U19" s="142" t="s">
        <v>194</v>
      </c>
      <c r="V19" s="143">
        <f t="shared" si="1"/>
        <v>15390000</v>
      </c>
      <c r="X19" s="112" t="s">
        <v>333</v>
      </c>
      <c r="Y19" s="123">
        <v>19.994867556751945</v>
      </c>
      <c r="Z19" s="123">
        <v>14.988612970295049</v>
      </c>
      <c r="AA19" s="123">
        <v>23.915937604065</v>
      </c>
      <c r="AB19" s="123">
        <v>25.000596861045</v>
      </c>
      <c r="AC19" s="123">
        <v>7.9326944277749982</v>
      </c>
      <c r="AD19" s="123">
        <v>15.002655277116</v>
      </c>
      <c r="AE19" s="123">
        <v>7.7638031935619995</v>
      </c>
      <c r="AF19" s="123">
        <v>12.757830096647998</v>
      </c>
    </row>
    <row r="20" spans="1:32" s="88" customFormat="1" ht="15" customHeight="1">
      <c r="A20" s="133" t="s">
        <v>184</v>
      </c>
      <c r="B20" s="134" t="s">
        <v>189</v>
      </c>
      <c r="C20" s="135" t="s">
        <v>210</v>
      </c>
      <c r="D20" s="137" t="s">
        <v>218</v>
      </c>
      <c r="E20" s="137" t="s">
        <v>192</v>
      </c>
      <c r="F20" s="137">
        <v>1</v>
      </c>
      <c r="G20" s="138">
        <v>3</v>
      </c>
      <c r="H20" s="133" t="s">
        <v>186</v>
      </c>
      <c r="I20" s="133" t="s">
        <v>4</v>
      </c>
      <c r="J20" s="137" t="s">
        <v>219</v>
      </c>
      <c r="K20" s="133">
        <v>10</v>
      </c>
      <c r="L20" s="133" t="s">
        <v>187</v>
      </c>
      <c r="M20" s="133">
        <v>1</v>
      </c>
      <c r="N20" s="157" t="s">
        <v>188</v>
      </c>
      <c r="O20" s="163">
        <v>588744</v>
      </c>
      <c r="P20" s="132">
        <v>51.938666316141422</v>
      </c>
      <c r="Q20" s="164">
        <v>1133537</v>
      </c>
      <c r="R20" s="144">
        <v>6000000</v>
      </c>
      <c r="S20" s="140">
        <v>0.1</v>
      </c>
      <c r="T20" s="141">
        <f t="shared" si="0"/>
        <v>5400000</v>
      </c>
      <c r="U20" s="142" t="s">
        <v>194</v>
      </c>
      <c r="V20" s="143">
        <f t="shared" si="1"/>
        <v>16200000</v>
      </c>
      <c r="X20" s="112" t="s">
        <v>334</v>
      </c>
      <c r="Y20" s="124">
        <v>17.656161203327969</v>
      </c>
      <c r="Z20" s="124">
        <v>13.38479697195584</v>
      </c>
      <c r="AA20" s="124">
        <v>21.001639955867997</v>
      </c>
      <c r="AB20" s="124">
        <v>23.188336988309999</v>
      </c>
      <c r="AC20" s="124">
        <v>6.7224903562440002</v>
      </c>
      <c r="AD20" s="124">
        <v>13.927284538635002</v>
      </c>
      <c r="AE20" s="124">
        <v>5.9094952962239997</v>
      </c>
      <c r="AF20" s="124">
        <v>10.597100965386</v>
      </c>
    </row>
    <row r="21" spans="1:32" s="88" customFormat="1" ht="15" customHeight="1">
      <c r="A21" s="133" t="s">
        <v>184</v>
      </c>
      <c r="B21" s="134" t="s">
        <v>189</v>
      </c>
      <c r="C21" s="135" t="s">
        <v>210</v>
      </c>
      <c r="D21" s="136" t="s">
        <v>220</v>
      </c>
      <c r="E21" s="137" t="s">
        <v>190</v>
      </c>
      <c r="F21" s="137">
        <v>1</v>
      </c>
      <c r="G21" s="138">
        <v>3</v>
      </c>
      <c r="H21" s="133" t="s">
        <v>186</v>
      </c>
      <c r="I21" s="133" t="s">
        <v>4</v>
      </c>
      <c r="J21" s="137" t="s">
        <v>211</v>
      </c>
      <c r="K21" s="133">
        <v>10</v>
      </c>
      <c r="L21" s="133" t="s">
        <v>187</v>
      </c>
      <c r="M21" s="133">
        <v>1</v>
      </c>
      <c r="N21" s="157" t="s">
        <v>188</v>
      </c>
      <c r="O21" s="163">
        <v>1072363</v>
      </c>
      <c r="P21" s="132">
        <v>94.603263942862043</v>
      </c>
      <c r="Q21" s="164">
        <v>1133537</v>
      </c>
      <c r="R21" s="144">
        <v>7000000</v>
      </c>
      <c r="S21" s="140">
        <v>0.1</v>
      </c>
      <c r="T21" s="141">
        <f t="shared" si="0"/>
        <v>6300000</v>
      </c>
      <c r="U21" s="142" t="s">
        <v>194</v>
      </c>
      <c r="V21" s="143">
        <f t="shared" si="1"/>
        <v>18900000</v>
      </c>
      <c r="X21" s="112" t="s">
        <v>335</v>
      </c>
      <c r="Y21" s="125">
        <v>15.553852411016935</v>
      </c>
      <c r="Z21" s="125">
        <v>11.835652198999899</v>
      </c>
      <c r="AA21" s="125">
        <v>18.466074158727</v>
      </c>
      <c r="AB21" s="125">
        <v>21.374079584714998</v>
      </c>
      <c r="AC21" s="125">
        <v>5.6123625807990001</v>
      </c>
      <c r="AD21" s="125">
        <v>12.733959602871</v>
      </c>
      <c r="AE21" s="125">
        <v>4.5605627064660004</v>
      </c>
      <c r="AF21" s="125">
        <v>8.3177185010399999</v>
      </c>
    </row>
    <row r="22" spans="1:32" s="88" customFormat="1" ht="15" customHeight="1">
      <c r="A22" s="133" t="s">
        <v>184</v>
      </c>
      <c r="B22" s="134" t="s">
        <v>189</v>
      </c>
      <c r="C22" s="135" t="s">
        <v>210</v>
      </c>
      <c r="D22" s="136" t="s">
        <v>221</v>
      </c>
      <c r="E22" s="137" t="s">
        <v>192</v>
      </c>
      <c r="F22" s="137">
        <v>1</v>
      </c>
      <c r="G22" s="138">
        <v>3</v>
      </c>
      <c r="H22" s="133" t="s">
        <v>186</v>
      </c>
      <c r="I22" s="133" t="s">
        <v>4</v>
      </c>
      <c r="J22" s="137" t="s">
        <v>211</v>
      </c>
      <c r="K22" s="133">
        <v>10</v>
      </c>
      <c r="L22" s="133" t="s">
        <v>187</v>
      </c>
      <c r="M22" s="133">
        <v>1</v>
      </c>
      <c r="N22" s="157" t="s">
        <v>188</v>
      </c>
      <c r="O22" s="163">
        <v>1098997</v>
      </c>
      <c r="P22" s="132">
        <v>96.952900522876632</v>
      </c>
      <c r="Q22" s="164">
        <v>1133537</v>
      </c>
      <c r="R22" s="144">
        <v>5500000</v>
      </c>
      <c r="S22" s="140">
        <v>0.1</v>
      </c>
      <c r="T22" s="141">
        <f t="shared" si="0"/>
        <v>4950000</v>
      </c>
      <c r="U22" s="142" t="s">
        <v>194</v>
      </c>
      <c r="V22" s="143">
        <f t="shared" si="1"/>
        <v>14850000</v>
      </c>
      <c r="X22" s="112" t="s">
        <v>336</v>
      </c>
      <c r="Y22" s="126">
        <v>10.922809502618696</v>
      </c>
      <c r="Z22" s="126">
        <v>8.1600165641000775</v>
      </c>
      <c r="AA22" s="126">
        <v>13.086723552747001</v>
      </c>
      <c r="AB22" s="126">
        <v>16.881233174403</v>
      </c>
      <c r="AC22" s="126">
        <v>2.951052216021</v>
      </c>
      <c r="AD22" s="126">
        <v>9.291814424919</v>
      </c>
      <c r="AE22" s="126">
        <v>2.3768619703139997</v>
      </c>
      <c r="AF22" s="126">
        <v>3.0769965367439998</v>
      </c>
    </row>
    <row r="23" spans="1:32" s="88" customFormat="1" ht="15" customHeight="1">
      <c r="A23" s="133" t="s">
        <v>184</v>
      </c>
      <c r="B23" s="134" t="s">
        <v>189</v>
      </c>
      <c r="C23" s="135" t="s">
        <v>210</v>
      </c>
      <c r="D23" s="137" t="s">
        <v>222</v>
      </c>
      <c r="E23" s="137" t="s">
        <v>191</v>
      </c>
      <c r="F23" s="137">
        <v>1</v>
      </c>
      <c r="G23" s="138">
        <v>3</v>
      </c>
      <c r="H23" s="133" t="s">
        <v>186</v>
      </c>
      <c r="I23" s="133" t="s">
        <v>4</v>
      </c>
      <c r="J23" s="137" t="s">
        <v>211</v>
      </c>
      <c r="K23" s="133">
        <v>10</v>
      </c>
      <c r="L23" s="133" t="s">
        <v>187</v>
      </c>
      <c r="M23" s="133">
        <v>1</v>
      </c>
      <c r="N23" s="157" t="s">
        <v>188</v>
      </c>
      <c r="O23" s="163">
        <v>557295</v>
      </c>
      <c r="P23" s="132">
        <v>49.164253129805203</v>
      </c>
      <c r="Q23" s="164">
        <v>1133537</v>
      </c>
      <c r="R23" s="144">
        <v>6500000</v>
      </c>
      <c r="S23" s="140">
        <v>0.15</v>
      </c>
      <c r="T23" s="141">
        <f t="shared" si="0"/>
        <v>5525000</v>
      </c>
      <c r="U23" s="142" t="s">
        <v>194</v>
      </c>
      <c r="V23" s="143">
        <f t="shared" si="1"/>
        <v>16575000</v>
      </c>
      <c r="X23" s="112" t="s">
        <v>337</v>
      </c>
      <c r="Y23" s="127">
        <v>7.4623136459962121</v>
      </c>
      <c r="Z23" s="127">
        <v>5.2264594641355009</v>
      </c>
      <c r="AA23" s="127">
        <v>9.2135112152069993</v>
      </c>
      <c r="AB23" s="127">
        <v>13.220657996909999</v>
      </c>
      <c r="AC23" s="127">
        <v>1.1578687629989999</v>
      </c>
      <c r="AD23" s="127">
        <v>5.2037676433860005</v>
      </c>
      <c r="AE23" s="127">
        <v>1.0319244422759999</v>
      </c>
      <c r="AF23" s="127">
        <v>0.56410271486399999</v>
      </c>
    </row>
    <row r="24" spans="1:32" s="88" customFormat="1" ht="15" customHeight="1">
      <c r="A24" s="133" t="s">
        <v>184</v>
      </c>
      <c r="B24" s="134" t="s">
        <v>189</v>
      </c>
      <c r="C24" s="135" t="s">
        <v>210</v>
      </c>
      <c r="D24" s="137" t="s">
        <v>223</v>
      </c>
      <c r="E24" s="137" t="s">
        <v>192</v>
      </c>
      <c r="F24" s="137">
        <v>1</v>
      </c>
      <c r="G24" s="138">
        <v>3</v>
      </c>
      <c r="H24" s="133" t="s">
        <v>186</v>
      </c>
      <c r="I24" s="133" t="s">
        <v>4</v>
      </c>
      <c r="J24" s="137" t="s">
        <v>211</v>
      </c>
      <c r="K24" s="133">
        <v>10</v>
      </c>
      <c r="L24" s="133" t="s">
        <v>187</v>
      </c>
      <c r="M24" s="133">
        <v>1</v>
      </c>
      <c r="N24" s="157" t="s">
        <v>188</v>
      </c>
      <c r="O24" s="163">
        <v>862073</v>
      </c>
      <c r="P24" s="132">
        <v>76.051597786397792</v>
      </c>
      <c r="Q24" s="164">
        <v>1133537</v>
      </c>
      <c r="R24" s="144">
        <v>5700000</v>
      </c>
      <c r="S24" s="140">
        <v>0.1</v>
      </c>
      <c r="T24" s="141">
        <f t="shared" si="0"/>
        <v>5130000</v>
      </c>
      <c r="U24" s="142" t="s">
        <v>194</v>
      </c>
      <c r="V24" s="143">
        <f t="shared" si="1"/>
        <v>15390000</v>
      </c>
      <c r="X24" s="112" t="s">
        <v>338</v>
      </c>
      <c r="Y24" s="128">
        <v>3.7702257643790626</v>
      </c>
      <c r="Z24" s="128">
        <v>2.2438164177653128</v>
      </c>
      <c r="AA24" s="128">
        <v>4.9657618414169997</v>
      </c>
      <c r="AB24" s="128">
        <v>8.0686264027979995</v>
      </c>
      <c r="AC24" s="128">
        <v>0.21113901190199999</v>
      </c>
      <c r="AD24" s="128">
        <v>0.45244073978999999</v>
      </c>
      <c r="AE24" s="128">
        <v>0.18976543169999999</v>
      </c>
      <c r="AF24" s="128">
        <v>0</v>
      </c>
    </row>
    <row r="25" spans="1:32" s="88" customFormat="1" ht="15" customHeight="1">
      <c r="A25" s="133" t="s">
        <v>184</v>
      </c>
      <c r="B25" s="150" t="s">
        <v>189</v>
      </c>
      <c r="C25" s="151" t="s">
        <v>167</v>
      </c>
      <c r="D25" s="151" t="s">
        <v>265</v>
      </c>
      <c r="E25" s="151" t="s">
        <v>192</v>
      </c>
      <c r="F25" s="137">
        <v>1</v>
      </c>
      <c r="G25" s="138">
        <v>3</v>
      </c>
      <c r="H25" s="133" t="s">
        <v>186</v>
      </c>
      <c r="I25" s="133" t="s">
        <v>4</v>
      </c>
      <c r="J25" s="137" t="s">
        <v>211</v>
      </c>
      <c r="K25" s="133">
        <v>10</v>
      </c>
      <c r="L25" s="133" t="s">
        <v>187</v>
      </c>
      <c r="M25" s="133">
        <v>1</v>
      </c>
      <c r="N25" s="157" t="s">
        <v>188</v>
      </c>
      <c r="O25" s="163">
        <v>491316</v>
      </c>
      <c r="P25" s="132">
        <v>43.343622660751258</v>
      </c>
      <c r="Q25" s="164">
        <v>1133537</v>
      </c>
      <c r="R25" s="144">
        <v>5700000</v>
      </c>
      <c r="S25" s="140">
        <v>0.1</v>
      </c>
      <c r="T25" s="141">
        <f t="shared" si="0"/>
        <v>5130000</v>
      </c>
      <c r="U25" s="142" t="s">
        <v>194</v>
      </c>
      <c r="V25" s="143">
        <f t="shared" si="1"/>
        <v>15390000</v>
      </c>
      <c r="X25" s="112" t="s">
        <v>339</v>
      </c>
      <c r="Y25" s="129">
        <v>1.5798893087925958</v>
      </c>
      <c r="Z25" s="129">
        <v>0.87833854127781819</v>
      </c>
      <c r="AA25" s="129">
        <v>2.1293678967599998</v>
      </c>
      <c r="AB25" s="129">
        <v>3.3882118447320004</v>
      </c>
      <c r="AC25" s="129">
        <v>4.0749629543999993E-2</v>
      </c>
      <c r="AD25" s="129">
        <v>1.5780493794000001E-2</v>
      </c>
      <c r="AE25" s="129">
        <v>2.4569629577999998E-2</v>
      </c>
      <c r="AF25" s="129">
        <v>0</v>
      </c>
    </row>
    <row r="26" spans="1:32" s="88" customFormat="1" ht="15" customHeight="1">
      <c r="A26" s="133" t="s">
        <v>184</v>
      </c>
      <c r="B26" s="152" t="s">
        <v>189</v>
      </c>
      <c r="C26" s="153" t="s">
        <v>167</v>
      </c>
      <c r="D26" s="154" t="s">
        <v>266</v>
      </c>
      <c r="E26" s="154" t="s">
        <v>191</v>
      </c>
      <c r="F26" s="137">
        <v>1</v>
      </c>
      <c r="G26" s="138">
        <v>3</v>
      </c>
      <c r="H26" s="133" t="s">
        <v>186</v>
      </c>
      <c r="I26" s="133" t="s">
        <v>4</v>
      </c>
      <c r="J26" s="155" t="s">
        <v>211</v>
      </c>
      <c r="K26" s="133">
        <v>10</v>
      </c>
      <c r="L26" s="133" t="s">
        <v>187</v>
      </c>
      <c r="M26" s="133">
        <v>1</v>
      </c>
      <c r="N26" s="157" t="s">
        <v>188</v>
      </c>
      <c r="O26" s="163">
        <v>663077</v>
      </c>
      <c r="P26" s="132">
        <v>58.496281991677378</v>
      </c>
      <c r="Q26" s="164">
        <v>1133537</v>
      </c>
      <c r="R26" s="144">
        <v>5700000</v>
      </c>
      <c r="S26" s="140">
        <v>0.1</v>
      </c>
      <c r="T26" s="141">
        <f t="shared" si="0"/>
        <v>5130000</v>
      </c>
      <c r="U26" s="142" t="s">
        <v>194</v>
      </c>
      <c r="V26" s="143">
        <f t="shared" si="1"/>
        <v>15390000</v>
      </c>
      <c r="X26" s="112" t="s">
        <v>340</v>
      </c>
      <c r="Y26" s="130">
        <v>0.68394685204927264</v>
      </c>
      <c r="Z26" s="130">
        <v>0.41270600441727562</v>
      </c>
      <c r="AA26" s="130">
        <v>0.89639197342499999</v>
      </c>
      <c r="AB26" s="130">
        <v>1.61300616945</v>
      </c>
      <c r="AC26" s="130">
        <v>4.9938271500000004E-3</v>
      </c>
      <c r="AD26" s="130">
        <v>0</v>
      </c>
      <c r="AE26" s="130">
        <v>2.7965432039999999E-3</v>
      </c>
      <c r="AF26" s="130">
        <v>0</v>
      </c>
    </row>
    <row r="27" spans="1:32" s="88" customFormat="1" ht="15" customHeight="1">
      <c r="A27" s="133" t="s">
        <v>184</v>
      </c>
      <c r="B27" s="134" t="s">
        <v>189</v>
      </c>
      <c r="C27" s="135" t="s">
        <v>210</v>
      </c>
      <c r="D27" s="137" t="s">
        <v>193</v>
      </c>
      <c r="E27" s="137" t="s">
        <v>192</v>
      </c>
      <c r="F27" s="137">
        <v>1</v>
      </c>
      <c r="G27" s="138">
        <v>3</v>
      </c>
      <c r="H27" s="133" t="s">
        <v>186</v>
      </c>
      <c r="I27" s="133" t="s">
        <v>4</v>
      </c>
      <c r="J27" s="137" t="s">
        <v>211</v>
      </c>
      <c r="K27" s="133">
        <v>10</v>
      </c>
      <c r="L27" s="133" t="s">
        <v>187</v>
      </c>
      <c r="M27" s="133">
        <v>1</v>
      </c>
      <c r="N27" s="157" t="s">
        <v>188</v>
      </c>
      <c r="O27" s="163">
        <v>617646</v>
      </c>
      <c r="P27" s="132">
        <v>54.488384587357977</v>
      </c>
      <c r="Q27" s="164">
        <v>1133537</v>
      </c>
      <c r="R27" s="144">
        <v>5700000</v>
      </c>
      <c r="S27" s="140">
        <v>0.1</v>
      </c>
      <c r="T27" s="141">
        <f t="shared" si="0"/>
        <v>5130000</v>
      </c>
      <c r="U27" s="142" t="s">
        <v>194</v>
      </c>
      <c r="V27" s="143">
        <f t="shared" si="1"/>
        <v>15390000</v>
      </c>
      <c r="X27" s="112" t="s">
        <v>319</v>
      </c>
      <c r="Y27" s="131">
        <v>22554199</v>
      </c>
      <c r="Z27" s="131">
        <v>4996855</v>
      </c>
      <c r="AA27" s="131">
        <v>17557344</v>
      </c>
      <c r="AB27" s="131">
        <v>2365513</v>
      </c>
      <c r="AC27" s="131">
        <v>392073</v>
      </c>
      <c r="AD27" s="131">
        <v>1100469</v>
      </c>
      <c r="AE27" s="131">
        <v>596014</v>
      </c>
      <c r="AF27" s="131">
        <v>542786</v>
      </c>
    </row>
    <row r="28" spans="1:32" s="88" customFormat="1" ht="15" customHeight="1">
      <c r="A28" s="133" t="s">
        <v>184</v>
      </c>
      <c r="B28" s="134" t="s">
        <v>189</v>
      </c>
      <c r="C28" s="135" t="s">
        <v>210</v>
      </c>
      <c r="D28" s="136" t="s">
        <v>267</v>
      </c>
      <c r="E28" s="137" t="s">
        <v>192</v>
      </c>
      <c r="F28" s="137">
        <v>1</v>
      </c>
      <c r="G28" s="138">
        <v>3</v>
      </c>
      <c r="H28" s="133" t="s">
        <v>186</v>
      </c>
      <c r="I28" s="133" t="s">
        <v>4</v>
      </c>
      <c r="J28" s="137" t="s">
        <v>211</v>
      </c>
      <c r="K28" s="133">
        <v>10</v>
      </c>
      <c r="L28" s="133" t="s">
        <v>187</v>
      </c>
      <c r="M28" s="133">
        <v>1</v>
      </c>
      <c r="N28" s="157" t="s">
        <v>188</v>
      </c>
      <c r="O28" s="163">
        <v>809582</v>
      </c>
      <c r="P28" s="132">
        <v>71.420871131687804</v>
      </c>
      <c r="Q28" s="164">
        <v>1133537</v>
      </c>
      <c r="R28" s="144">
        <v>4000000</v>
      </c>
      <c r="S28" s="140">
        <v>0.05</v>
      </c>
      <c r="T28" s="141">
        <f>R28*(100%-S28)</f>
        <v>3800000</v>
      </c>
      <c r="U28" s="142" t="s">
        <v>194</v>
      </c>
      <c r="V28" s="143">
        <f t="shared" si="1"/>
        <v>11400000</v>
      </c>
      <c r="W28" s="89"/>
      <c r="X28" s="112" t="s">
        <v>320</v>
      </c>
      <c r="Y28" s="131">
        <v>1115.7921737917306</v>
      </c>
      <c r="Z28" s="131">
        <v>562.81981246304179</v>
      </c>
      <c r="AA28" s="131">
        <v>1548.899065491466</v>
      </c>
      <c r="AB28" s="131">
        <v>1044.164540534814</v>
      </c>
      <c r="AC28" s="131">
        <v>374.49424035761359</v>
      </c>
      <c r="AD28" s="131">
        <v>451.18385286195149</v>
      </c>
      <c r="AE28" s="131">
        <v>356.31000633690826</v>
      </c>
      <c r="AF28" s="131">
        <v>373.29509504552834</v>
      </c>
    </row>
    <row r="29" spans="1:32" s="88" customFormat="1" ht="15" customHeight="1">
      <c r="A29" s="133" t="s">
        <v>184</v>
      </c>
      <c r="B29" s="199"/>
      <c r="C29" s="133" t="s">
        <v>226</v>
      </c>
      <c r="D29" s="137" t="s">
        <v>231</v>
      </c>
      <c r="E29" s="137" t="s">
        <v>192</v>
      </c>
      <c r="F29" s="137">
        <v>1</v>
      </c>
      <c r="G29" s="138">
        <v>3</v>
      </c>
      <c r="H29" s="133" t="s">
        <v>186</v>
      </c>
      <c r="I29" s="133" t="s">
        <v>4</v>
      </c>
      <c r="J29" s="137" t="s">
        <v>219</v>
      </c>
      <c r="K29" s="133">
        <v>10</v>
      </c>
      <c r="L29" s="133" t="s">
        <v>187</v>
      </c>
      <c r="M29" s="133">
        <v>1</v>
      </c>
      <c r="N29" s="157" t="s">
        <v>188</v>
      </c>
      <c r="O29" s="163">
        <v>153206</v>
      </c>
      <c r="P29" s="132">
        <v>67.626883723393931</v>
      </c>
      <c r="Q29" s="164">
        <v>226546</v>
      </c>
      <c r="R29" s="144">
        <v>3500000</v>
      </c>
      <c r="S29" s="140">
        <v>0.1</v>
      </c>
      <c r="T29" s="141">
        <f t="shared" si="0"/>
        <v>3150000</v>
      </c>
      <c r="U29" s="142" t="s">
        <v>194</v>
      </c>
      <c r="V29" s="143">
        <f t="shared" si="1"/>
        <v>9450000</v>
      </c>
      <c r="W29" s="89"/>
      <c r="X29" s="112" t="s">
        <v>321</v>
      </c>
      <c r="Y29" s="131">
        <v>2021362</v>
      </c>
      <c r="Z29" s="131">
        <v>887825</v>
      </c>
      <c r="AA29" s="131">
        <v>1133537</v>
      </c>
      <c r="AB29" s="131">
        <v>226546</v>
      </c>
      <c r="AC29" s="131">
        <v>104694</v>
      </c>
      <c r="AD29" s="131">
        <v>243907</v>
      </c>
      <c r="AE29" s="131">
        <v>167274</v>
      </c>
      <c r="AF29" s="131">
        <v>145404</v>
      </c>
    </row>
    <row r="30" spans="1:32" s="88" customFormat="1" ht="15" customHeight="1">
      <c r="A30" s="133" t="s">
        <v>184</v>
      </c>
      <c r="B30" s="200"/>
      <c r="C30" s="133" t="s">
        <v>226</v>
      </c>
      <c r="D30" s="137" t="s">
        <v>232</v>
      </c>
      <c r="E30" s="137" t="s">
        <v>233</v>
      </c>
      <c r="F30" s="137">
        <v>1</v>
      </c>
      <c r="G30" s="138">
        <v>3</v>
      </c>
      <c r="H30" s="133" t="s">
        <v>186</v>
      </c>
      <c r="I30" s="133" t="s">
        <v>4</v>
      </c>
      <c r="J30" s="137" t="s">
        <v>219</v>
      </c>
      <c r="K30" s="133">
        <v>10</v>
      </c>
      <c r="L30" s="133" t="s">
        <v>187</v>
      </c>
      <c r="M30" s="133">
        <v>1</v>
      </c>
      <c r="N30" s="157" t="s">
        <v>188</v>
      </c>
      <c r="O30" s="163">
        <v>555664</v>
      </c>
      <c r="P30" s="132">
        <v>245.27645599569183</v>
      </c>
      <c r="Q30" s="164">
        <v>226546</v>
      </c>
      <c r="R30" s="144">
        <v>5500000</v>
      </c>
      <c r="S30" s="140">
        <v>0.1</v>
      </c>
      <c r="T30" s="141">
        <f t="shared" si="0"/>
        <v>4950000</v>
      </c>
      <c r="U30" s="142" t="s">
        <v>194</v>
      </c>
      <c r="V30" s="143">
        <f t="shared" si="1"/>
        <v>14850000</v>
      </c>
      <c r="X30" s="112" t="s">
        <v>341</v>
      </c>
      <c r="Y30" s="131">
        <v>696471</v>
      </c>
      <c r="Z30" s="131">
        <v>215475</v>
      </c>
      <c r="AA30" s="131">
        <v>480995</v>
      </c>
      <c r="AB30" s="131">
        <v>78899</v>
      </c>
      <c r="AC30" s="131">
        <v>18324</v>
      </c>
      <c r="AD30" s="131">
        <v>50131</v>
      </c>
      <c r="AE30" s="131">
        <v>34198</v>
      </c>
      <c r="AF30" s="131">
        <v>33923</v>
      </c>
    </row>
    <row r="31" spans="1:32" s="88" customFormat="1" ht="15" customHeight="1">
      <c r="A31" s="133" t="s">
        <v>184</v>
      </c>
      <c r="B31" s="200"/>
      <c r="C31" s="133" t="s">
        <v>226</v>
      </c>
      <c r="D31" s="137" t="s">
        <v>234</v>
      </c>
      <c r="E31" s="137" t="s">
        <v>192</v>
      </c>
      <c r="F31" s="137">
        <v>1</v>
      </c>
      <c r="G31" s="138">
        <v>3</v>
      </c>
      <c r="H31" s="133" t="s">
        <v>186</v>
      </c>
      <c r="I31" s="133" t="s">
        <v>4</v>
      </c>
      <c r="J31" s="137" t="s">
        <v>219</v>
      </c>
      <c r="K31" s="133">
        <v>10</v>
      </c>
      <c r="L31" s="133" t="s">
        <v>187</v>
      </c>
      <c r="M31" s="133">
        <v>1</v>
      </c>
      <c r="N31" s="157" t="s">
        <v>188</v>
      </c>
      <c r="O31" s="163">
        <v>179406</v>
      </c>
      <c r="P31" s="132">
        <v>79.191863904019485</v>
      </c>
      <c r="Q31" s="164">
        <v>226546</v>
      </c>
      <c r="R31" s="144">
        <v>3500000</v>
      </c>
      <c r="S31" s="140">
        <v>0.1</v>
      </c>
      <c r="T31" s="141">
        <f t="shared" si="0"/>
        <v>3150000</v>
      </c>
      <c r="U31" s="142" t="s">
        <v>194</v>
      </c>
      <c r="V31" s="143">
        <f t="shared" si="1"/>
        <v>9450000</v>
      </c>
    </row>
    <row r="32" spans="1:32" s="88" customFormat="1" ht="15" customHeight="1">
      <c r="A32" s="133" t="s">
        <v>184</v>
      </c>
      <c r="B32" s="200"/>
      <c r="C32" s="133" t="s">
        <v>226</v>
      </c>
      <c r="D32" s="137" t="s">
        <v>235</v>
      </c>
      <c r="E32" s="137" t="s">
        <v>236</v>
      </c>
      <c r="F32" s="137">
        <v>1</v>
      </c>
      <c r="G32" s="138">
        <v>3</v>
      </c>
      <c r="H32" s="133" t="s">
        <v>186</v>
      </c>
      <c r="I32" s="133" t="s">
        <v>4</v>
      </c>
      <c r="J32" s="137" t="s">
        <v>219</v>
      </c>
      <c r="K32" s="133">
        <v>10</v>
      </c>
      <c r="L32" s="133" t="s">
        <v>187</v>
      </c>
      <c r="M32" s="133">
        <v>1</v>
      </c>
      <c r="N32" s="157" t="s">
        <v>188</v>
      </c>
      <c r="O32" s="163">
        <v>290490</v>
      </c>
      <c r="P32" s="132">
        <v>128.2256142240428</v>
      </c>
      <c r="Q32" s="164">
        <v>226546</v>
      </c>
      <c r="R32" s="144">
        <v>3500000</v>
      </c>
      <c r="S32" s="140">
        <v>0.1</v>
      </c>
      <c r="T32" s="141">
        <f t="shared" si="0"/>
        <v>3150000</v>
      </c>
      <c r="U32" s="142" t="s">
        <v>194</v>
      </c>
      <c r="V32" s="143">
        <f t="shared" si="1"/>
        <v>9450000</v>
      </c>
    </row>
    <row r="33" spans="1:24" s="88" customFormat="1" ht="15" customHeight="1">
      <c r="A33" s="133" t="s">
        <v>184</v>
      </c>
      <c r="B33" s="200"/>
      <c r="C33" s="133" t="s">
        <v>226</v>
      </c>
      <c r="D33" s="137" t="s">
        <v>237</v>
      </c>
      <c r="E33" s="137" t="s">
        <v>236</v>
      </c>
      <c r="F33" s="137">
        <v>1</v>
      </c>
      <c r="G33" s="138">
        <v>3</v>
      </c>
      <c r="H33" s="133" t="s">
        <v>186</v>
      </c>
      <c r="I33" s="133" t="s">
        <v>4</v>
      </c>
      <c r="J33" s="137" t="s">
        <v>219</v>
      </c>
      <c r="K33" s="133">
        <v>10</v>
      </c>
      <c r="L33" s="133" t="s">
        <v>187</v>
      </c>
      <c r="M33" s="133">
        <v>1</v>
      </c>
      <c r="N33" s="157" t="s">
        <v>188</v>
      </c>
      <c r="O33" s="163">
        <v>199870</v>
      </c>
      <c r="P33" s="132">
        <v>88.224907965711168</v>
      </c>
      <c r="Q33" s="164">
        <v>226546</v>
      </c>
      <c r="R33" s="144">
        <v>3500000</v>
      </c>
      <c r="S33" s="140">
        <v>0.1</v>
      </c>
      <c r="T33" s="141">
        <f t="shared" si="0"/>
        <v>3150000</v>
      </c>
      <c r="U33" s="142" t="s">
        <v>194</v>
      </c>
      <c r="V33" s="143">
        <f t="shared" si="1"/>
        <v>9450000</v>
      </c>
    </row>
    <row r="34" spans="1:24" s="88" customFormat="1" ht="15" customHeight="1">
      <c r="A34" s="133" t="s">
        <v>184</v>
      </c>
      <c r="B34" s="200"/>
      <c r="C34" s="133" t="s">
        <v>226</v>
      </c>
      <c r="D34" s="137" t="s">
        <v>238</v>
      </c>
      <c r="E34" s="137" t="s">
        <v>236</v>
      </c>
      <c r="F34" s="137">
        <v>1</v>
      </c>
      <c r="G34" s="138">
        <v>3</v>
      </c>
      <c r="H34" s="133" t="s">
        <v>186</v>
      </c>
      <c r="I34" s="133" t="s">
        <v>4</v>
      </c>
      <c r="J34" s="137" t="s">
        <v>219</v>
      </c>
      <c r="K34" s="133">
        <v>10</v>
      </c>
      <c r="L34" s="133" t="s">
        <v>187</v>
      </c>
      <c r="M34" s="133">
        <v>1</v>
      </c>
      <c r="N34" s="157" t="s">
        <v>188</v>
      </c>
      <c r="O34" s="163">
        <v>598302</v>
      </c>
      <c r="P34" s="132">
        <v>264.09735771101674</v>
      </c>
      <c r="Q34" s="164">
        <v>226546</v>
      </c>
      <c r="R34" s="144">
        <v>3500000</v>
      </c>
      <c r="S34" s="140">
        <v>0.1</v>
      </c>
      <c r="T34" s="141">
        <f t="shared" si="0"/>
        <v>3150000</v>
      </c>
      <c r="U34" s="142" t="s">
        <v>194</v>
      </c>
      <c r="V34" s="143">
        <f t="shared" si="1"/>
        <v>9450000</v>
      </c>
    </row>
    <row r="35" spans="1:24" s="88" customFormat="1" ht="15" customHeight="1">
      <c r="A35" s="133" t="s">
        <v>184</v>
      </c>
      <c r="B35" s="200"/>
      <c r="C35" s="133" t="s">
        <v>226</v>
      </c>
      <c r="D35" s="137" t="s">
        <v>239</v>
      </c>
      <c r="E35" s="137" t="s">
        <v>236</v>
      </c>
      <c r="F35" s="137">
        <v>1</v>
      </c>
      <c r="G35" s="138">
        <v>3</v>
      </c>
      <c r="H35" s="133" t="s">
        <v>186</v>
      </c>
      <c r="I35" s="133" t="s">
        <v>4</v>
      </c>
      <c r="J35" s="137" t="s">
        <v>219</v>
      </c>
      <c r="K35" s="133">
        <v>10</v>
      </c>
      <c r="L35" s="133" t="s">
        <v>187</v>
      </c>
      <c r="M35" s="133">
        <v>1</v>
      </c>
      <c r="N35" s="157" t="s">
        <v>188</v>
      </c>
      <c r="O35" s="163">
        <v>170144</v>
      </c>
      <c r="P35" s="132">
        <v>75.103510986731166</v>
      </c>
      <c r="Q35" s="164">
        <v>226546</v>
      </c>
      <c r="R35" s="144">
        <v>3500000</v>
      </c>
      <c r="S35" s="140">
        <v>0.1</v>
      </c>
      <c r="T35" s="141">
        <f t="shared" si="0"/>
        <v>3150000</v>
      </c>
      <c r="U35" s="142" t="s">
        <v>194</v>
      </c>
      <c r="V35" s="143">
        <f t="shared" si="1"/>
        <v>9450000</v>
      </c>
    </row>
    <row r="36" spans="1:24" s="88" customFormat="1" ht="15" customHeight="1">
      <c r="A36" s="133" t="s">
        <v>184</v>
      </c>
      <c r="B36" s="200"/>
      <c r="C36" s="133" t="s">
        <v>226</v>
      </c>
      <c r="D36" s="137" t="s">
        <v>240</v>
      </c>
      <c r="E36" s="137" t="s">
        <v>236</v>
      </c>
      <c r="F36" s="137">
        <v>1</v>
      </c>
      <c r="G36" s="138">
        <v>3</v>
      </c>
      <c r="H36" s="133" t="s">
        <v>186</v>
      </c>
      <c r="I36" s="133" t="s">
        <v>4</v>
      </c>
      <c r="J36" s="137" t="s">
        <v>219</v>
      </c>
      <c r="K36" s="133">
        <v>10</v>
      </c>
      <c r="L36" s="133" t="s">
        <v>187</v>
      </c>
      <c r="M36" s="133">
        <v>1</v>
      </c>
      <c r="N36" s="157" t="s">
        <v>188</v>
      </c>
      <c r="O36" s="163">
        <v>218431</v>
      </c>
      <c r="P36" s="132">
        <v>96.417946024206998</v>
      </c>
      <c r="Q36" s="164">
        <v>226546</v>
      </c>
      <c r="R36" s="144">
        <v>3500000</v>
      </c>
      <c r="S36" s="140">
        <v>0.1</v>
      </c>
      <c r="T36" s="141">
        <f t="shared" si="0"/>
        <v>3150000</v>
      </c>
      <c r="U36" s="142" t="s">
        <v>194</v>
      </c>
      <c r="V36" s="143">
        <f t="shared" si="1"/>
        <v>9450000</v>
      </c>
    </row>
    <row r="37" spans="1:24" s="88" customFormat="1" ht="15" customHeight="1">
      <c r="A37" s="133" t="s">
        <v>184</v>
      </c>
      <c r="B37" s="200"/>
      <c r="C37" s="133" t="s">
        <v>227</v>
      </c>
      <c r="D37" s="137" t="s">
        <v>241</v>
      </c>
      <c r="E37" s="137" t="s">
        <v>236</v>
      </c>
      <c r="F37" s="137">
        <v>1</v>
      </c>
      <c r="G37" s="138">
        <v>3</v>
      </c>
      <c r="H37" s="133" t="s">
        <v>186</v>
      </c>
      <c r="I37" s="133" t="s">
        <v>4</v>
      </c>
      <c r="J37" s="137" t="s">
        <v>219</v>
      </c>
      <c r="K37" s="133">
        <v>10</v>
      </c>
      <c r="L37" s="133" t="s">
        <v>187</v>
      </c>
      <c r="M37" s="133">
        <v>1</v>
      </c>
      <c r="N37" s="157" t="s">
        <v>188</v>
      </c>
      <c r="O37" s="163">
        <v>166324</v>
      </c>
      <c r="P37" s="132">
        <v>158.86679274839054</v>
      </c>
      <c r="Q37" s="164">
        <v>104694</v>
      </c>
      <c r="R37" s="144">
        <v>3500000</v>
      </c>
      <c r="S37" s="140">
        <v>0.1</v>
      </c>
      <c r="T37" s="141">
        <f t="shared" si="0"/>
        <v>3150000</v>
      </c>
      <c r="U37" s="142" t="s">
        <v>194</v>
      </c>
      <c r="V37" s="143">
        <f t="shared" si="1"/>
        <v>9450000</v>
      </c>
    </row>
    <row r="38" spans="1:24" s="88" customFormat="1" ht="15" customHeight="1">
      <c r="A38" s="133" t="s">
        <v>184</v>
      </c>
      <c r="B38" s="200"/>
      <c r="C38" s="133" t="s">
        <v>227</v>
      </c>
      <c r="D38" s="137" t="s">
        <v>242</v>
      </c>
      <c r="E38" s="137" t="s">
        <v>243</v>
      </c>
      <c r="F38" s="137">
        <v>1</v>
      </c>
      <c r="G38" s="138">
        <v>3</v>
      </c>
      <c r="H38" s="133" t="s">
        <v>186</v>
      </c>
      <c r="I38" s="133" t="s">
        <v>4</v>
      </c>
      <c r="J38" s="137" t="s">
        <v>219</v>
      </c>
      <c r="K38" s="133">
        <v>10</v>
      </c>
      <c r="L38" s="133" t="s">
        <v>187</v>
      </c>
      <c r="M38" s="133">
        <v>1</v>
      </c>
      <c r="N38" s="157" t="s">
        <v>188</v>
      </c>
      <c r="O38" s="163">
        <v>47291</v>
      </c>
      <c r="P38" s="132">
        <v>45.170687909526812</v>
      </c>
      <c r="Q38" s="164">
        <v>104694</v>
      </c>
      <c r="R38" s="144">
        <v>5500000</v>
      </c>
      <c r="S38" s="140">
        <v>0.1</v>
      </c>
      <c r="T38" s="141">
        <f t="shared" si="0"/>
        <v>4950000</v>
      </c>
      <c r="U38" s="142" t="s">
        <v>194</v>
      </c>
      <c r="V38" s="143">
        <f t="shared" si="1"/>
        <v>14850000</v>
      </c>
    </row>
    <row r="39" spans="1:24" s="88" customFormat="1" ht="15" customHeight="1">
      <c r="A39" s="133" t="s">
        <v>184</v>
      </c>
      <c r="B39" s="200"/>
      <c r="C39" s="133" t="s">
        <v>227</v>
      </c>
      <c r="D39" s="137" t="s">
        <v>244</v>
      </c>
      <c r="E39" s="137" t="s">
        <v>190</v>
      </c>
      <c r="F39" s="137">
        <v>1</v>
      </c>
      <c r="G39" s="138">
        <v>3</v>
      </c>
      <c r="H39" s="133" t="s">
        <v>186</v>
      </c>
      <c r="I39" s="133" t="s">
        <v>4</v>
      </c>
      <c r="J39" s="137" t="s">
        <v>219</v>
      </c>
      <c r="K39" s="133">
        <v>10</v>
      </c>
      <c r="L39" s="133" t="s">
        <v>187</v>
      </c>
      <c r="M39" s="133">
        <v>1</v>
      </c>
      <c r="N39" s="157" t="s">
        <v>188</v>
      </c>
      <c r="O39" s="163">
        <v>37874</v>
      </c>
      <c r="P39" s="132">
        <v>36.17590310810553</v>
      </c>
      <c r="Q39" s="164">
        <v>104694</v>
      </c>
      <c r="R39" s="144">
        <v>3500000</v>
      </c>
      <c r="S39" s="140">
        <v>0.1</v>
      </c>
      <c r="T39" s="141">
        <f t="shared" si="0"/>
        <v>3150000</v>
      </c>
      <c r="U39" s="142" t="s">
        <v>194</v>
      </c>
      <c r="V39" s="143">
        <f t="shared" si="1"/>
        <v>9450000</v>
      </c>
    </row>
    <row r="40" spans="1:24" s="88" customFormat="1" ht="15" customHeight="1">
      <c r="A40" s="133" t="s">
        <v>184</v>
      </c>
      <c r="B40" s="200"/>
      <c r="C40" s="133" t="s">
        <v>227</v>
      </c>
      <c r="D40" s="137" t="s">
        <v>245</v>
      </c>
      <c r="E40" s="137" t="s">
        <v>190</v>
      </c>
      <c r="F40" s="137">
        <v>1</v>
      </c>
      <c r="G40" s="138">
        <v>3</v>
      </c>
      <c r="H40" s="133" t="s">
        <v>186</v>
      </c>
      <c r="I40" s="133" t="s">
        <v>4</v>
      </c>
      <c r="J40" s="137" t="s">
        <v>219</v>
      </c>
      <c r="K40" s="133">
        <v>10</v>
      </c>
      <c r="L40" s="133" t="s">
        <v>187</v>
      </c>
      <c r="M40" s="133">
        <v>1</v>
      </c>
      <c r="N40" s="157" t="s">
        <v>188</v>
      </c>
      <c r="O40" s="163">
        <v>89521</v>
      </c>
      <c r="P40" s="132">
        <v>85.50728790570615</v>
      </c>
      <c r="Q40" s="164">
        <v>104694</v>
      </c>
      <c r="R40" s="144">
        <v>3500000</v>
      </c>
      <c r="S40" s="140">
        <v>0.1</v>
      </c>
      <c r="T40" s="141">
        <f t="shared" si="0"/>
        <v>3150000</v>
      </c>
      <c r="U40" s="142" t="s">
        <v>194</v>
      </c>
      <c r="V40" s="143">
        <f t="shared" si="1"/>
        <v>9450000</v>
      </c>
    </row>
    <row r="41" spans="1:24" s="88" customFormat="1" ht="15" customHeight="1">
      <c r="A41" s="133" t="s">
        <v>184</v>
      </c>
      <c r="B41" s="200"/>
      <c r="C41" s="133" t="s">
        <v>227</v>
      </c>
      <c r="D41" s="137" t="s">
        <v>246</v>
      </c>
      <c r="E41" s="137" t="s">
        <v>192</v>
      </c>
      <c r="F41" s="137">
        <v>1</v>
      </c>
      <c r="G41" s="138">
        <v>3</v>
      </c>
      <c r="H41" s="133" t="s">
        <v>186</v>
      </c>
      <c r="I41" s="133" t="s">
        <v>4</v>
      </c>
      <c r="J41" s="137" t="s">
        <v>219</v>
      </c>
      <c r="K41" s="133">
        <v>10</v>
      </c>
      <c r="L41" s="133" t="s">
        <v>187</v>
      </c>
      <c r="M41" s="133">
        <v>1</v>
      </c>
      <c r="N41" s="157" t="s">
        <v>188</v>
      </c>
      <c r="O41" s="163">
        <v>51063</v>
      </c>
      <c r="P41" s="132">
        <v>48.773568685884577</v>
      </c>
      <c r="Q41" s="164">
        <v>104694</v>
      </c>
      <c r="R41" s="144">
        <v>3500000</v>
      </c>
      <c r="S41" s="140">
        <v>0.1</v>
      </c>
      <c r="T41" s="141">
        <f t="shared" si="0"/>
        <v>3150000</v>
      </c>
      <c r="U41" s="142" t="s">
        <v>194</v>
      </c>
      <c r="V41" s="143">
        <f t="shared" si="1"/>
        <v>9450000</v>
      </c>
    </row>
    <row r="42" spans="1:24" s="88" customFormat="1" ht="15" customHeight="1">
      <c r="A42" s="133" t="s">
        <v>184</v>
      </c>
      <c r="B42" s="200"/>
      <c r="C42" s="133" t="s">
        <v>230</v>
      </c>
      <c r="D42" s="137" t="s">
        <v>247</v>
      </c>
      <c r="E42" s="137" t="s">
        <v>236</v>
      </c>
      <c r="F42" s="137">
        <v>1</v>
      </c>
      <c r="G42" s="138">
        <v>3</v>
      </c>
      <c r="H42" s="133" t="s">
        <v>186</v>
      </c>
      <c r="I42" s="133" t="s">
        <v>4</v>
      </c>
      <c r="J42" s="137" t="s">
        <v>219</v>
      </c>
      <c r="K42" s="133">
        <v>10</v>
      </c>
      <c r="L42" s="133" t="s">
        <v>187</v>
      </c>
      <c r="M42" s="133">
        <v>1</v>
      </c>
      <c r="N42" s="157" t="s">
        <v>188</v>
      </c>
      <c r="O42" s="163">
        <v>186849</v>
      </c>
      <c r="P42" s="132">
        <v>76.606657455505584</v>
      </c>
      <c r="Q42" s="164">
        <v>243907</v>
      </c>
      <c r="R42" s="144">
        <v>3500000</v>
      </c>
      <c r="S42" s="140">
        <v>0.1</v>
      </c>
      <c r="T42" s="141">
        <f t="shared" si="0"/>
        <v>3150000</v>
      </c>
      <c r="U42" s="142" t="s">
        <v>194</v>
      </c>
      <c r="V42" s="143">
        <f t="shared" si="1"/>
        <v>9450000</v>
      </c>
    </row>
    <row r="43" spans="1:24" s="88" customFormat="1" ht="15" customHeight="1">
      <c r="A43" s="133" t="s">
        <v>184</v>
      </c>
      <c r="B43" s="200"/>
      <c r="C43" s="133" t="s">
        <v>230</v>
      </c>
      <c r="D43" s="137" t="s">
        <v>248</v>
      </c>
      <c r="E43" s="137" t="s">
        <v>236</v>
      </c>
      <c r="F43" s="137">
        <v>1</v>
      </c>
      <c r="G43" s="138">
        <v>3</v>
      </c>
      <c r="H43" s="133" t="s">
        <v>186</v>
      </c>
      <c r="I43" s="133" t="s">
        <v>4</v>
      </c>
      <c r="J43" s="137" t="s">
        <v>219</v>
      </c>
      <c r="K43" s="133">
        <v>10</v>
      </c>
      <c r="L43" s="133" t="s">
        <v>187</v>
      </c>
      <c r="M43" s="133">
        <v>1</v>
      </c>
      <c r="N43" s="157" t="s">
        <v>188</v>
      </c>
      <c r="O43" s="163">
        <v>256434</v>
      </c>
      <c r="P43" s="132">
        <v>105.13597395728699</v>
      </c>
      <c r="Q43" s="164">
        <v>243907</v>
      </c>
      <c r="R43" s="144">
        <v>3500000</v>
      </c>
      <c r="S43" s="140">
        <v>0.1</v>
      </c>
      <c r="T43" s="141">
        <f t="shared" si="0"/>
        <v>3150000</v>
      </c>
      <c r="U43" s="142" t="s">
        <v>194</v>
      </c>
      <c r="V43" s="143">
        <f t="shared" si="1"/>
        <v>9450000</v>
      </c>
    </row>
    <row r="44" spans="1:24" s="88" customFormat="1" ht="15" customHeight="1">
      <c r="A44" s="133" t="s">
        <v>184</v>
      </c>
      <c r="B44" s="200"/>
      <c r="C44" s="133" t="s">
        <v>230</v>
      </c>
      <c r="D44" s="137" t="s">
        <v>249</v>
      </c>
      <c r="E44" s="137" t="s">
        <v>236</v>
      </c>
      <c r="F44" s="137">
        <v>1</v>
      </c>
      <c r="G44" s="138">
        <v>3</v>
      </c>
      <c r="H44" s="133" t="s">
        <v>186</v>
      </c>
      <c r="I44" s="133" t="s">
        <v>4</v>
      </c>
      <c r="J44" s="137" t="s">
        <v>219</v>
      </c>
      <c r="K44" s="133">
        <v>10</v>
      </c>
      <c r="L44" s="133" t="s">
        <v>187</v>
      </c>
      <c r="M44" s="133">
        <v>1</v>
      </c>
      <c r="N44" s="157" t="s">
        <v>188</v>
      </c>
      <c r="O44" s="163">
        <v>179375</v>
      </c>
      <c r="P44" s="132">
        <v>73.542374757592029</v>
      </c>
      <c r="Q44" s="164">
        <v>243907</v>
      </c>
      <c r="R44" s="144">
        <v>3500000</v>
      </c>
      <c r="S44" s="140">
        <v>0.1</v>
      </c>
      <c r="T44" s="141">
        <f t="shared" si="0"/>
        <v>3150000</v>
      </c>
      <c r="U44" s="142" t="s">
        <v>194</v>
      </c>
      <c r="V44" s="143">
        <f t="shared" si="1"/>
        <v>9450000</v>
      </c>
    </row>
    <row r="45" spans="1:24" s="88" customFormat="1" ht="15" customHeight="1">
      <c r="A45" s="133" t="s">
        <v>184</v>
      </c>
      <c r="B45" s="200"/>
      <c r="C45" s="133" t="s">
        <v>230</v>
      </c>
      <c r="D45" s="137" t="s">
        <v>250</v>
      </c>
      <c r="E45" s="137" t="s">
        <v>236</v>
      </c>
      <c r="F45" s="137">
        <v>1</v>
      </c>
      <c r="G45" s="138">
        <v>3</v>
      </c>
      <c r="H45" s="133" t="s">
        <v>186</v>
      </c>
      <c r="I45" s="133" t="s">
        <v>4</v>
      </c>
      <c r="J45" s="137" t="s">
        <v>219</v>
      </c>
      <c r="K45" s="133">
        <v>10</v>
      </c>
      <c r="L45" s="133" t="s">
        <v>187</v>
      </c>
      <c r="M45" s="133">
        <v>1</v>
      </c>
      <c r="N45" s="157" t="s">
        <v>188</v>
      </c>
      <c r="O45" s="163">
        <v>204595</v>
      </c>
      <c r="P45" s="132">
        <v>83.882381399467832</v>
      </c>
      <c r="Q45" s="164">
        <v>243907</v>
      </c>
      <c r="R45" s="144">
        <v>3500000</v>
      </c>
      <c r="S45" s="140">
        <v>0.1</v>
      </c>
      <c r="T45" s="141">
        <f t="shared" si="0"/>
        <v>3150000</v>
      </c>
      <c r="U45" s="142" t="s">
        <v>194</v>
      </c>
      <c r="V45" s="143">
        <f t="shared" si="1"/>
        <v>9450000</v>
      </c>
    </row>
    <row r="46" spans="1:24" s="88" customFormat="1" ht="15" customHeight="1">
      <c r="A46" s="133" t="s">
        <v>184</v>
      </c>
      <c r="B46" s="200"/>
      <c r="C46" s="133" t="s">
        <v>230</v>
      </c>
      <c r="D46" s="137" t="s">
        <v>251</v>
      </c>
      <c r="E46" s="137" t="s">
        <v>192</v>
      </c>
      <c r="F46" s="137">
        <v>1</v>
      </c>
      <c r="G46" s="138">
        <v>3</v>
      </c>
      <c r="H46" s="133" t="s">
        <v>186</v>
      </c>
      <c r="I46" s="133" t="s">
        <v>4</v>
      </c>
      <c r="J46" s="137" t="s">
        <v>219</v>
      </c>
      <c r="K46" s="133">
        <v>10</v>
      </c>
      <c r="L46" s="133" t="s">
        <v>187</v>
      </c>
      <c r="M46" s="133">
        <v>1</v>
      </c>
      <c r="N46" s="157" t="s">
        <v>188</v>
      </c>
      <c r="O46" s="163">
        <v>273216</v>
      </c>
      <c r="P46" s="132">
        <v>112.01646529209903</v>
      </c>
      <c r="Q46" s="164">
        <v>243907</v>
      </c>
      <c r="R46" s="144">
        <v>3500000</v>
      </c>
      <c r="S46" s="140">
        <v>0.1</v>
      </c>
      <c r="T46" s="141">
        <f t="shared" si="0"/>
        <v>3150000</v>
      </c>
      <c r="U46" s="142" t="s">
        <v>194</v>
      </c>
      <c r="V46" s="143">
        <f t="shared" si="1"/>
        <v>9450000</v>
      </c>
      <c r="X46" s="89"/>
    </row>
    <row r="47" spans="1:24" s="88" customFormat="1" ht="15" customHeight="1">
      <c r="A47" s="133" t="s">
        <v>184</v>
      </c>
      <c r="B47" s="200"/>
      <c r="C47" s="133" t="s">
        <v>228</v>
      </c>
      <c r="D47" s="137" t="s">
        <v>252</v>
      </c>
      <c r="E47" s="137" t="s">
        <v>236</v>
      </c>
      <c r="F47" s="137">
        <v>1</v>
      </c>
      <c r="G47" s="138">
        <v>3</v>
      </c>
      <c r="H47" s="133" t="s">
        <v>186</v>
      </c>
      <c r="I47" s="133" t="s">
        <v>4</v>
      </c>
      <c r="J47" s="137" t="s">
        <v>219</v>
      </c>
      <c r="K47" s="133">
        <v>10</v>
      </c>
      <c r="L47" s="133" t="s">
        <v>187</v>
      </c>
      <c r="M47" s="133">
        <v>1</v>
      </c>
      <c r="N47" s="157" t="s">
        <v>188</v>
      </c>
      <c r="O47" s="163">
        <v>193622</v>
      </c>
      <c r="P47" s="132">
        <v>115.75140189150734</v>
      </c>
      <c r="Q47" s="164">
        <v>167274</v>
      </c>
      <c r="R47" s="144">
        <v>3500000</v>
      </c>
      <c r="S47" s="140">
        <v>0.1</v>
      </c>
      <c r="T47" s="141">
        <f t="shared" si="0"/>
        <v>3150000</v>
      </c>
      <c r="U47" s="142" t="s">
        <v>194</v>
      </c>
      <c r="V47" s="143">
        <f t="shared" si="1"/>
        <v>9450000</v>
      </c>
    </row>
    <row r="48" spans="1:24" s="88" customFormat="1" ht="15" customHeight="1">
      <c r="A48" s="133" t="s">
        <v>184</v>
      </c>
      <c r="B48" s="200"/>
      <c r="C48" s="133" t="s">
        <v>228</v>
      </c>
      <c r="D48" s="137" t="s">
        <v>253</v>
      </c>
      <c r="E48" s="137" t="s">
        <v>236</v>
      </c>
      <c r="F48" s="137">
        <v>1</v>
      </c>
      <c r="G48" s="138">
        <v>3</v>
      </c>
      <c r="H48" s="133" t="s">
        <v>186</v>
      </c>
      <c r="I48" s="133" t="s">
        <v>4</v>
      </c>
      <c r="J48" s="137" t="s">
        <v>219</v>
      </c>
      <c r="K48" s="133">
        <v>10</v>
      </c>
      <c r="L48" s="133" t="s">
        <v>187</v>
      </c>
      <c r="M48" s="133">
        <v>1</v>
      </c>
      <c r="N48" s="157" t="s">
        <v>188</v>
      </c>
      <c r="O48" s="163">
        <v>108531</v>
      </c>
      <c r="P48" s="132">
        <v>64.882169374798238</v>
      </c>
      <c r="Q48" s="164">
        <v>167274</v>
      </c>
      <c r="R48" s="144">
        <v>3500000</v>
      </c>
      <c r="S48" s="140">
        <v>0.1</v>
      </c>
      <c r="T48" s="141">
        <f t="shared" si="0"/>
        <v>3150000</v>
      </c>
      <c r="U48" s="142" t="s">
        <v>194</v>
      </c>
      <c r="V48" s="143">
        <f t="shared" si="1"/>
        <v>9450000</v>
      </c>
    </row>
    <row r="49" spans="1:24" s="88" customFormat="1" ht="15" customHeight="1">
      <c r="A49" s="133" t="s">
        <v>184</v>
      </c>
      <c r="B49" s="200"/>
      <c r="C49" s="133" t="s">
        <v>228</v>
      </c>
      <c r="D49" s="137" t="s">
        <v>254</v>
      </c>
      <c r="E49" s="137" t="s">
        <v>236</v>
      </c>
      <c r="F49" s="137">
        <v>1</v>
      </c>
      <c r="G49" s="138">
        <v>3</v>
      </c>
      <c r="H49" s="133" t="s">
        <v>186</v>
      </c>
      <c r="I49" s="133" t="s">
        <v>4</v>
      </c>
      <c r="J49" s="137" t="s">
        <v>219</v>
      </c>
      <c r="K49" s="133">
        <v>10</v>
      </c>
      <c r="L49" s="133" t="s">
        <v>187</v>
      </c>
      <c r="M49" s="133">
        <v>1</v>
      </c>
      <c r="N49" s="157" t="s">
        <v>188</v>
      </c>
      <c r="O49" s="163">
        <v>83177</v>
      </c>
      <c r="P49" s="132">
        <v>49.725002092375384</v>
      </c>
      <c r="Q49" s="164">
        <v>167274</v>
      </c>
      <c r="R49" s="144">
        <v>3500000</v>
      </c>
      <c r="S49" s="140">
        <v>0.1</v>
      </c>
      <c r="T49" s="141">
        <f t="shared" si="0"/>
        <v>3150000</v>
      </c>
      <c r="U49" s="142" t="s">
        <v>194</v>
      </c>
      <c r="V49" s="143">
        <f t="shared" si="1"/>
        <v>9450000</v>
      </c>
    </row>
    <row r="50" spans="1:24" s="88" customFormat="1" ht="15" customHeight="1">
      <c r="A50" s="133" t="s">
        <v>184</v>
      </c>
      <c r="B50" s="200"/>
      <c r="C50" s="133" t="s">
        <v>228</v>
      </c>
      <c r="D50" s="137" t="s">
        <v>255</v>
      </c>
      <c r="E50" s="137" t="s">
        <v>236</v>
      </c>
      <c r="F50" s="137">
        <v>1</v>
      </c>
      <c r="G50" s="138">
        <v>3</v>
      </c>
      <c r="H50" s="133" t="s">
        <v>186</v>
      </c>
      <c r="I50" s="133" t="s">
        <v>4</v>
      </c>
      <c r="J50" s="137" t="s">
        <v>219</v>
      </c>
      <c r="K50" s="133">
        <v>10</v>
      </c>
      <c r="L50" s="133" t="s">
        <v>187</v>
      </c>
      <c r="M50" s="133">
        <v>1</v>
      </c>
      <c r="N50" s="157" t="s">
        <v>188</v>
      </c>
      <c r="O50" s="163">
        <v>98767</v>
      </c>
      <c r="P50" s="132">
        <v>59.045039874696606</v>
      </c>
      <c r="Q50" s="164">
        <v>167274</v>
      </c>
      <c r="R50" s="144">
        <v>3500000</v>
      </c>
      <c r="S50" s="140">
        <v>0.1</v>
      </c>
      <c r="T50" s="141">
        <f t="shared" si="0"/>
        <v>3150000</v>
      </c>
      <c r="U50" s="142" t="s">
        <v>194</v>
      </c>
      <c r="V50" s="143">
        <f t="shared" si="1"/>
        <v>9450000</v>
      </c>
    </row>
    <row r="51" spans="1:24" s="88" customFormat="1" ht="15" customHeight="1">
      <c r="A51" s="133" t="s">
        <v>184</v>
      </c>
      <c r="B51" s="200"/>
      <c r="C51" s="133" t="s">
        <v>228</v>
      </c>
      <c r="D51" s="137" t="s">
        <v>256</v>
      </c>
      <c r="E51" s="137" t="s">
        <v>192</v>
      </c>
      <c r="F51" s="137">
        <v>1</v>
      </c>
      <c r="G51" s="138">
        <v>3</v>
      </c>
      <c r="H51" s="133" t="s">
        <v>186</v>
      </c>
      <c r="I51" s="133" t="s">
        <v>4</v>
      </c>
      <c r="J51" s="137" t="s">
        <v>219</v>
      </c>
      <c r="K51" s="133">
        <v>10</v>
      </c>
      <c r="L51" s="133" t="s">
        <v>187</v>
      </c>
      <c r="M51" s="133">
        <v>1</v>
      </c>
      <c r="N51" s="157" t="s">
        <v>188</v>
      </c>
      <c r="O51" s="163">
        <v>111917</v>
      </c>
      <c r="P51" s="132">
        <v>66.906393103530732</v>
      </c>
      <c r="Q51" s="164">
        <v>167274</v>
      </c>
      <c r="R51" s="144">
        <v>3500000</v>
      </c>
      <c r="S51" s="140">
        <v>0.1</v>
      </c>
      <c r="T51" s="141">
        <f t="shared" si="0"/>
        <v>3150000</v>
      </c>
      <c r="U51" s="142" t="s">
        <v>194</v>
      </c>
      <c r="V51" s="143">
        <f t="shared" si="1"/>
        <v>9450000</v>
      </c>
    </row>
    <row r="52" spans="1:24" s="88" customFormat="1" ht="15" customHeight="1">
      <c r="A52" s="133" t="s">
        <v>184</v>
      </c>
      <c r="B52" s="200"/>
      <c r="C52" s="133" t="s">
        <v>229</v>
      </c>
      <c r="D52" s="137" t="s">
        <v>257</v>
      </c>
      <c r="E52" s="137" t="s">
        <v>192</v>
      </c>
      <c r="F52" s="137">
        <v>1</v>
      </c>
      <c r="G52" s="138">
        <v>3</v>
      </c>
      <c r="H52" s="133" t="s">
        <v>186</v>
      </c>
      <c r="I52" s="133" t="s">
        <v>4</v>
      </c>
      <c r="J52" s="137" t="s">
        <v>219</v>
      </c>
      <c r="K52" s="133">
        <v>10</v>
      </c>
      <c r="L52" s="133" t="s">
        <v>187</v>
      </c>
      <c r="M52" s="133">
        <v>1</v>
      </c>
      <c r="N52" s="157" t="s">
        <v>188</v>
      </c>
      <c r="O52" s="163">
        <v>97806</v>
      </c>
      <c r="P52" s="132">
        <v>67.264999587356613</v>
      </c>
      <c r="Q52" s="164">
        <v>145404</v>
      </c>
      <c r="R52" s="144">
        <v>3500000</v>
      </c>
      <c r="S52" s="140">
        <v>0.1</v>
      </c>
      <c r="T52" s="141">
        <f t="shared" si="0"/>
        <v>3150000</v>
      </c>
      <c r="U52" s="142" t="s">
        <v>194</v>
      </c>
      <c r="V52" s="143">
        <f t="shared" si="1"/>
        <v>9450000</v>
      </c>
    </row>
    <row r="53" spans="1:24" s="88" customFormat="1" ht="15" customHeight="1">
      <c r="A53" s="133" t="s">
        <v>184</v>
      </c>
      <c r="B53" s="200"/>
      <c r="C53" s="133" t="s">
        <v>229</v>
      </c>
      <c r="D53" s="137" t="s">
        <v>258</v>
      </c>
      <c r="E53" s="137" t="s">
        <v>192</v>
      </c>
      <c r="F53" s="137">
        <v>1</v>
      </c>
      <c r="G53" s="138">
        <v>3</v>
      </c>
      <c r="H53" s="133" t="s">
        <v>186</v>
      </c>
      <c r="I53" s="133" t="s">
        <v>4</v>
      </c>
      <c r="J53" s="137" t="s">
        <v>219</v>
      </c>
      <c r="K53" s="133">
        <v>10</v>
      </c>
      <c r="L53" s="133" t="s">
        <v>187</v>
      </c>
      <c r="M53" s="133">
        <v>1</v>
      </c>
      <c r="N53" s="157" t="s">
        <v>188</v>
      </c>
      <c r="O53" s="163">
        <v>127628</v>
      </c>
      <c r="P53" s="132">
        <v>87.774751726224864</v>
      </c>
      <c r="Q53" s="164">
        <v>145404</v>
      </c>
      <c r="R53" s="144">
        <v>3500000</v>
      </c>
      <c r="S53" s="140">
        <v>0.1</v>
      </c>
      <c r="T53" s="141">
        <f t="shared" si="0"/>
        <v>3150000</v>
      </c>
      <c r="U53" s="142" t="s">
        <v>194</v>
      </c>
      <c r="V53" s="143">
        <f t="shared" si="1"/>
        <v>9450000</v>
      </c>
    </row>
    <row r="54" spans="1:24" s="88" customFormat="1" ht="15" customHeight="1">
      <c r="A54" s="133" t="s">
        <v>184</v>
      </c>
      <c r="B54" s="200"/>
      <c r="C54" s="133" t="s">
        <v>229</v>
      </c>
      <c r="D54" s="137" t="s">
        <v>259</v>
      </c>
      <c r="E54" s="137" t="s">
        <v>192</v>
      </c>
      <c r="F54" s="137">
        <v>1</v>
      </c>
      <c r="G54" s="138">
        <v>3</v>
      </c>
      <c r="H54" s="133" t="s">
        <v>186</v>
      </c>
      <c r="I54" s="133" t="s">
        <v>4</v>
      </c>
      <c r="J54" s="137" t="s">
        <v>219</v>
      </c>
      <c r="K54" s="133">
        <v>10</v>
      </c>
      <c r="L54" s="133" t="s">
        <v>187</v>
      </c>
      <c r="M54" s="133">
        <v>1</v>
      </c>
      <c r="N54" s="157" t="s">
        <v>188</v>
      </c>
      <c r="O54" s="163">
        <v>191029</v>
      </c>
      <c r="P54" s="132">
        <v>131.37809138675689</v>
      </c>
      <c r="Q54" s="164">
        <v>145404</v>
      </c>
      <c r="R54" s="144">
        <v>3500000</v>
      </c>
      <c r="S54" s="140">
        <v>0.1</v>
      </c>
      <c r="T54" s="141">
        <f t="shared" si="0"/>
        <v>3150000</v>
      </c>
      <c r="U54" s="142" t="s">
        <v>194</v>
      </c>
      <c r="V54" s="143">
        <f t="shared" si="1"/>
        <v>9450000</v>
      </c>
    </row>
    <row r="55" spans="1:24" s="88" customFormat="1" ht="15" customHeight="1">
      <c r="A55" s="133" t="s">
        <v>184</v>
      </c>
      <c r="B55" s="201"/>
      <c r="C55" s="133" t="s">
        <v>229</v>
      </c>
      <c r="D55" s="137" t="s">
        <v>260</v>
      </c>
      <c r="E55" s="137" t="s">
        <v>192</v>
      </c>
      <c r="F55" s="137">
        <v>1</v>
      </c>
      <c r="G55" s="138">
        <v>3</v>
      </c>
      <c r="H55" s="133" t="s">
        <v>186</v>
      </c>
      <c r="I55" s="133" t="s">
        <v>4</v>
      </c>
      <c r="J55" s="137" t="s">
        <v>219</v>
      </c>
      <c r="K55" s="133">
        <v>10</v>
      </c>
      <c r="L55" s="133" t="s">
        <v>187</v>
      </c>
      <c r="M55" s="133">
        <v>1</v>
      </c>
      <c r="N55" s="157" t="s">
        <v>188</v>
      </c>
      <c r="O55" s="163">
        <v>126323</v>
      </c>
      <c r="P55" s="132">
        <v>86.877252345189945</v>
      </c>
      <c r="Q55" s="164">
        <v>145404</v>
      </c>
      <c r="R55" s="144">
        <v>3500000</v>
      </c>
      <c r="S55" s="140">
        <v>0.1</v>
      </c>
      <c r="T55" s="141">
        <f t="shared" si="0"/>
        <v>3150000</v>
      </c>
      <c r="U55" s="142" t="s">
        <v>194</v>
      </c>
      <c r="V55" s="143">
        <f t="shared" si="1"/>
        <v>9450000</v>
      </c>
      <c r="W55" s="89"/>
      <c r="X55" s="89"/>
    </row>
    <row r="56" spans="1:24" ht="15" customHeight="1" thickBot="1">
      <c r="A56" s="81"/>
      <c r="B56" s="82"/>
      <c r="C56" s="83"/>
      <c r="D56" s="84"/>
      <c r="E56" s="85"/>
      <c r="F56" s="85"/>
      <c r="G56" s="85"/>
      <c r="H56" s="85"/>
      <c r="I56" s="85"/>
      <c r="J56" s="85"/>
      <c r="K56" s="77"/>
      <c r="L56" s="85"/>
      <c r="M56" s="85"/>
      <c r="N56" s="158"/>
      <c r="O56" s="165"/>
      <c r="P56" s="166"/>
      <c r="Q56" s="167"/>
      <c r="R56" s="159">
        <f>SUM(R9:R55)</f>
        <v>220000000</v>
      </c>
      <c r="S56" s="86"/>
      <c r="T56" s="87">
        <f>SUM(T9:T55)</f>
        <v>197875000</v>
      </c>
      <c r="U56" s="87"/>
      <c r="V56" s="87">
        <f>SUM(V9:V55)</f>
        <v>593625000</v>
      </c>
    </row>
    <row r="57" spans="1:24">
      <c r="R57" s="13"/>
      <c r="V57" s="109"/>
    </row>
    <row r="58" spans="1:24" ht="17" thickBot="1">
      <c r="R58" s="13"/>
      <c r="S58" s="13"/>
      <c r="W58" s="6"/>
    </row>
    <row r="59" spans="1:24" ht="25" customHeight="1">
      <c r="R59" s="13"/>
      <c r="S59" s="13"/>
      <c r="U59" s="14" t="s">
        <v>172</v>
      </c>
      <c r="V59" s="15">
        <f>V56</f>
        <v>593625000</v>
      </c>
    </row>
    <row r="60" spans="1:24" ht="25" customHeight="1">
      <c r="R60" s="13"/>
      <c r="S60" s="13"/>
      <c r="U60" s="16" t="s">
        <v>166</v>
      </c>
      <c r="V60" s="17">
        <f>V59*5%</f>
        <v>29681250</v>
      </c>
    </row>
    <row r="61" spans="1:24" ht="25" customHeight="1" thickBot="1">
      <c r="R61" s="13"/>
      <c r="S61" s="13"/>
      <c r="U61" s="18" t="s">
        <v>173</v>
      </c>
      <c r="V61" s="19">
        <f>(V60+V59)*1.12</f>
        <v>698103000.00000012</v>
      </c>
      <c r="W61" s="6"/>
    </row>
    <row r="62" spans="1:24">
      <c r="R62" s="13"/>
      <c r="S62" s="13"/>
      <c r="W62" s="6"/>
    </row>
    <row r="63" spans="1:24">
      <c r="R63" s="13"/>
    </row>
    <row r="64" spans="1:24">
      <c r="R64" s="13"/>
    </row>
    <row r="65" spans="18:18">
      <c r="R65" s="13"/>
    </row>
    <row r="66" spans="18:18">
      <c r="R66" s="13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K56 N56:Q56" name="Диапазон1"/>
    <protectedRange algorithmName="SHA-512" hashValue="20tZejZtY/ZGRcGLZm0ZbWfCu51ejQGMqdRYwv0b9rb/5Q/ejFDHQOXySZDQbnMuPhvZC4Bfbq/BWdBxp9Ls4w==" saltValue="Q+V8rXhHsE4u/j5xUQJeAg==" spinCount="100000" sqref="U9:U55" name="Диапазон1_10"/>
    <protectedRange algorithmName="SHA-512" hashValue="20tZejZtY/ZGRcGLZm0ZbWfCu51ejQGMqdRYwv0b9rb/5Q/ejFDHQOXySZDQbnMuPhvZC4Bfbq/BWdBxp9Ls4w==" saltValue="Q+V8rXhHsE4u/j5xUQJeAg==" spinCount="100000" sqref="T9:T55 N9:Q13 L9:L13" name="Диапазон1_12"/>
    <protectedRange algorithmName="SHA-512" hashValue="20tZejZtY/ZGRcGLZm0ZbWfCu51ejQGMqdRYwv0b9rb/5Q/ejFDHQOXySZDQbnMuPhvZC4Bfbq/BWdBxp9Ls4w==" saltValue="Q+V8rXhHsE4u/j5xUQJeAg==" spinCount="100000" sqref="M9:M13" name="Диапазон1_1_6"/>
    <protectedRange algorithmName="SHA-512" hashValue="20tZejZtY/ZGRcGLZm0ZbWfCu51ejQGMqdRYwv0b9rb/5Q/ejFDHQOXySZDQbnMuPhvZC4Bfbq/BWdBxp9Ls4w==" saltValue="Q+V8rXhHsE4u/j5xUQJeAg==" spinCount="100000" sqref="S14:S55 R9:S13" name="Диапазон1_14_5"/>
    <protectedRange algorithmName="SHA-512" hashValue="20tZejZtY/ZGRcGLZm0ZbWfCu51ejQGMqdRYwv0b9rb/5Q/ejFDHQOXySZDQbnMuPhvZC4Bfbq/BWdBxp9Ls4w==" saltValue="Q+V8rXhHsE4u/j5xUQJeAg==" spinCount="100000" sqref="D9:D10" name="Диапазон1_17_4"/>
    <protectedRange algorithmName="SHA-512" hashValue="20tZejZtY/ZGRcGLZm0ZbWfCu51ejQGMqdRYwv0b9rb/5Q/ejFDHQOXySZDQbnMuPhvZC4Bfbq/BWdBxp9Ls4w==" saltValue="Q+V8rXhHsE4u/j5xUQJeAg==" spinCount="100000" sqref="C9:C13" name="Диапазон1_2_6"/>
    <protectedRange algorithmName="SHA-512" hashValue="20tZejZtY/ZGRcGLZm0ZbWfCu51ejQGMqdRYwv0b9rb/5Q/ejFDHQOXySZDQbnMuPhvZC4Bfbq/BWdBxp9Ls4w==" saltValue="Q+V8rXhHsE4u/j5xUQJeAg==" spinCount="100000" sqref="K9:K13" name="Диапазон1_7_5"/>
    <protectedRange algorithmName="SHA-512" hashValue="20tZejZtY/ZGRcGLZm0ZbWfCu51ejQGMqdRYwv0b9rb/5Q/ejFDHQOXySZDQbnMuPhvZC4Bfbq/BWdBxp9Ls4w==" saltValue="Q+V8rXhHsE4u/j5xUQJeAg==" spinCount="100000" sqref="I9:I13" name="Диапазон1_1_2_5"/>
    <protectedRange algorithmName="SHA-512" hashValue="20tZejZtY/ZGRcGLZm0ZbWfCu51ejQGMqdRYwv0b9rb/5Q/ejFDHQOXySZDQbnMuPhvZC4Bfbq/BWdBxp9Ls4w==" saltValue="Q+V8rXhHsE4u/j5xUQJeAg==" spinCount="100000" sqref="F9:F55 J9:J13 H9:H13" name="Диапазон1_5_2_5"/>
    <protectedRange algorithmName="SHA-512" hashValue="20tZejZtY/ZGRcGLZm0ZbWfCu51ejQGMqdRYwv0b9rb/5Q/ejFDHQOXySZDQbnMuPhvZC4Bfbq/BWdBxp9Ls4w==" saltValue="Q+V8rXhHsE4u/j5xUQJeAg==" spinCount="100000" sqref="E11:E55" name="Диапазон1_8_3"/>
    <protectedRange algorithmName="SHA-512" hashValue="20tZejZtY/ZGRcGLZm0ZbWfCu51ejQGMqdRYwv0b9rb/5Q/ejFDHQOXySZDQbnMuPhvZC4Bfbq/BWdBxp9Ls4w==" saltValue="Q+V8rXhHsE4u/j5xUQJeAg==" spinCount="100000" sqref="D11:D13" name="Диапазон1_2_3_3"/>
    <protectedRange algorithmName="SHA-512" hashValue="20tZejZtY/ZGRcGLZm0ZbWfCu51ejQGMqdRYwv0b9rb/5Q/ejFDHQOXySZDQbnMuPhvZC4Bfbq/BWdBxp9Ls4w==" saltValue="Q+V8rXhHsE4u/j5xUQJeAg==" spinCount="100000" sqref="B9:B13" name="Диапазон1_2_1_1_5"/>
    <protectedRange algorithmName="SHA-512" hashValue="20tZejZtY/ZGRcGLZm0ZbWfCu51ejQGMqdRYwv0b9rb/5Q/ejFDHQOXySZDQbnMuPhvZC4Bfbq/BWdBxp9Ls4w==" saltValue="Q+V8rXhHsE4u/j5xUQJeAg==" spinCount="100000" sqref="L14:L55 N14:Q55" name="Диапазон1_4_4"/>
    <protectedRange algorithmName="SHA-512" hashValue="20tZejZtY/ZGRcGLZm0ZbWfCu51ejQGMqdRYwv0b9rb/5Q/ejFDHQOXySZDQbnMuPhvZC4Bfbq/BWdBxp9Ls4w==" saltValue="Q+V8rXhHsE4u/j5xUQJeAg==" spinCount="100000" sqref="M14:M55" name="Диапазон1_1_1_2"/>
    <protectedRange algorithmName="SHA-512" hashValue="20tZejZtY/ZGRcGLZm0ZbWfCu51ejQGMqdRYwv0b9rb/5Q/ejFDHQOXySZDQbnMuPhvZC4Bfbq/BWdBxp9Ls4w==" saltValue="Q+V8rXhHsE4u/j5xUQJeAg==" spinCount="100000" sqref="R14:R55" name="Диапазон1_14_1_2"/>
    <protectedRange algorithmName="SHA-512" hashValue="20tZejZtY/ZGRcGLZm0ZbWfCu51ejQGMqdRYwv0b9rb/5Q/ejFDHQOXySZDQbnMuPhvZC4Bfbq/BWdBxp9Ls4w==" saltValue="Q+V8rXhHsE4u/j5xUQJeAg==" spinCount="100000" sqref="C14:C55" name="Диапазон1_2_1_3"/>
    <protectedRange algorithmName="SHA-512" hashValue="20tZejZtY/ZGRcGLZm0ZbWfCu51ejQGMqdRYwv0b9rb/5Q/ejFDHQOXySZDQbnMuPhvZC4Bfbq/BWdBxp9Ls4w==" saltValue="Q+V8rXhHsE4u/j5xUQJeAg==" spinCount="100000" sqref="K14:K55" name="Диапазон1_7_1_2"/>
    <protectedRange algorithmName="SHA-512" hashValue="20tZejZtY/ZGRcGLZm0ZbWfCu51ejQGMqdRYwv0b9rb/5Q/ejFDHQOXySZDQbnMuPhvZC4Bfbq/BWdBxp9Ls4w==" saltValue="Q+V8rXhHsE4u/j5xUQJeAg==" spinCount="100000" sqref="I14:I55" name="Диапазон1_1_2_1_2"/>
    <protectedRange algorithmName="SHA-512" hashValue="20tZejZtY/ZGRcGLZm0ZbWfCu51ejQGMqdRYwv0b9rb/5Q/ejFDHQOXySZDQbnMuPhvZC4Bfbq/BWdBxp9Ls4w==" saltValue="Q+V8rXhHsE4u/j5xUQJeAg==" spinCount="100000" sqref="J14:J55 H14:H55" name="Диапазон1_5_2_1_2"/>
    <protectedRange algorithmName="SHA-512" hashValue="20tZejZtY/ZGRcGLZm0ZbWfCu51ejQGMqdRYwv0b9rb/5Q/ejFDHQOXySZDQbnMuPhvZC4Bfbq/BWdBxp9Ls4w==" saltValue="Q+V8rXhHsE4u/j5xUQJeAg==" spinCount="100000" sqref="D14:D55" name="Диапазон1_2_3_1_2"/>
    <protectedRange algorithmName="SHA-512" hashValue="20tZejZtY/ZGRcGLZm0ZbWfCu51ejQGMqdRYwv0b9rb/5Q/ejFDHQOXySZDQbnMuPhvZC4Bfbq/BWdBxp9Ls4w==" saltValue="Q+V8rXhHsE4u/j5xUQJeAg==" spinCount="100000" sqref="B14:B55" name="Диапазон1_2_1_1_1_2"/>
  </protectedRanges>
  <mergeCells count="1">
    <mergeCell ref="B29:B55"/>
  </mergeCells>
  <hyperlinks>
    <hyperlink ref="B28" r:id="rId1" xr:uid="{8DD4B839-70B6-408C-BE54-4371B3710024}"/>
    <hyperlink ref="B26" r:id="rId2" xr:uid="{99F295F5-FC96-4956-80CB-EC0E97E4A129}"/>
    <hyperlink ref="B25" r:id="rId3" xr:uid="{B3096AAC-BCCE-44B6-8259-480313FE0B1C}"/>
    <hyperlink ref="B24" r:id="rId4" xr:uid="{77022EB3-431B-4466-8082-35158F6B5663}"/>
    <hyperlink ref="B22" r:id="rId5" xr:uid="{E7D34000-96A9-47CE-A656-198C93D7992D}"/>
    <hyperlink ref="B21" r:id="rId6" xr:uid="{47DB5B73-3E1F-4E56-AB16-6882D1223D70}"/>
    <hyperlink ref="B20" r:id="rId7" xr:uid="{6A5B3D12-6477-40F2-A891-822CF5A35CF0}"/>
    <hyperlink ref="B18" r:id="rId8" xr:uid="{832D1727-4C05-4F2D-BB70-56E678538C94}"/>
    <hyperlink ref="B17" r:id="rId9" xr:uid="{FAF12BA0-30BA-422E-8A1A-459FC11CC5D4}"/>
    <hyperlink ref="B16" r:id="rId10" xr:uid="{DBB19CA8-B933-47F1-B823-168F8521EB14}"/>
    <hyperlink ref="B14" r:id="rId11" xr:uid="{97FF295B-BF4B-45B9-BEC8-397DF3F4143D}"/>
    <hyperlink ref="B12" r:id="rId12" xr:uid="{252BD154-A8DF-474E-A5DA-71890778AB7C}"/>
    <hyperlink ref="B11" r:id="rId13" xr:uid="{BDB6EA9F-2CB5-4361-B7A6-22F2F8E968C3}"/>
    <hyperlink ref="B10" r:id="rId14" xr:uid="{5111A745-E59E-48A3-AF6B-34B634661E53}"/>
    <hyperlink ref="B9" r:id="rId15" xr:uid="{41F6C42C-E286-4C1D-8464-311FE5B66A6F}"/>
    <hyperlink ref="B19" r:id="rId16" xr:uid="{178B128F-53F6-42B4-BB3E-9FB1FE18E063}"/>
    <hyperlink ref="B13" r:id="rId17" xr:uid="{01BF32A5-8FD2-431E-B308-9AC307EC7FA3}"/>
    <hyperlink ref="B27" r:id="rId18" xr:uid="{A8E52C17-2902-40D0-B0D9-66C52C50499C}"/>
    <hyperlink ref="B23" r:id="rId19" xr:uid="{0BAA74D2-75F8-41C2-B597-1FAE1DA8A7EE}"/>
    <hyperlink ref="B15" r:id="rId20" xr:uid="{55FC6920-93F1-284C-A771-CC41DA57FCB5}"/>
  </hyperlinks>
  <pageMargins left="0.7" right="0.7" top="0.75" bottom="0.75" header="0.3" footer="0.3"/>
  <pageSetup paperSize="9" orientation="portrait" verticalDpi="1200" r:id="rId21"/>
  <ignoredErrors>
    <ignoredError sqref="V59 R56" unlockedFormula="1"/>
  </ignoredError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8CE3-F4E2-4AD0-BEA2-14DF8235D119}">
  <dimension ref="A1:P22"/>
  <sheetViews>
    <sheetView topLeftCell="K1" zoomScale="82" zoomScaleNormal="55" workbookViewId="0">
      <selection activeCell="D11" sqref="D11"/>
    </sheetView>
  </sheetViews>
  <sheetFormatPr baseColWidth="10" defaultColWidth="19.1640625" defaultRowHeight="16"/>
  <cols>
    <col min="1" max="1" width="15.6640625" style="6" customWidth="1"/>
    <col min="2" max="2" width="20.33203125" style="6" customWidth="1"/>
    <col min="3" max="3" width="25.5" style="6" customWidth="1"/>
    <col min="4" max="4" width="53.33203125" style="6" customWidth="1"/>
    <col min="5" max="5" width="14.1640625" style="6" customWidth="1"/>
    <col min="6" max="6" width="12.83203125" style="6" customWidth="1"/>
    <col min="7" max="7" width="15.1640625" style="6" customWidth="1"/>
    <col min="8" max="8" width="25.1640625" style="6" bestFit="1" customWidth="1"/>
    <col min="9" max="9" width="22.83203125" style="6" customWidth="1"/>
    <col min="10" max="10" width="13.83203125" style="6" hidden="1" customWidth="1"/>
    <col min="11" max="11" width="24" style="6" customWidth="1"/>
    <col min="12" max="12" width="24" style="6" hidden="1" customWidth="1"/>
    <col min="13" max="13" width="22.6640625" style="6" customWidth="1"/>
    <col min="14" max="14" width="21.1640625" style="6" customWidth="1"/>
    <col min="15" max="15" width="21.83203125" style="6" customWidth="1"/>
    <col min="16" max="16384" width="19.1640625" style="4"/>
  </cols>
  <sheetData>
    <row r="1" spans="1:16">
      <c r="D1" s="9"/>
    </row>
    <row r="2" spans="1:16" ht="17">
      <c r="C2" s="12" t="s">
        <v>179</v>
      </c>
      <c r="D2" s="20" t="s">
        <v>196</v>
      </c>
      <c r="F2" s="7"/>
    </row>
    <row r="3" spans="1:16">
      <c r="C3" s="12" t="s">
        <v>180</v>
      </c>
      <c r="D3" s="10" t="s">
        <v>185</v>
      </c>
      <c r="F3" s="7"/>
    </row>
    <row r="4" spans="1:16">
      <c r="C4" s="12" t="s">
        <v>181</v>
      </c>
      <c r="D4" s="10"/>
      <c r="F4" s="7"/>
    </row>
    <row r="5" spans="1:16">
      <c r="C5" s="12" t="s">
        <v>182</v>
      </c>
      <c r="D5" s="11">
        <v>46045</v>
      </c>
      <c r="F5" s="8"/>
    </row>
    <row r="8" spans="1:16" s="5" customFormat="1" ht="121" customHeight="1">
      <c r="A8" s="65" t="s">
        <v>183</v>
      </c>
      <c r="B8" s="66" t="s">
        <v>174</v>
      </c>
      <c r="C8" s="66" t="s">
        <v>161</v>
      </c>
      <c r="D8" s="66" t="s">
        <v>175</v>
      </c>
      <c r="E8" s="66" t="s">
        <v>177</v>
      </c>
      <c r="F8" s="66" t="s">
        <v>162</v>
      </c>
      <c r="G8" s="66" t="s">
        <v>170</v>
      </c>
      <c r="H8" s="66" t="s">
        <v>176</v>
      </c>
      <c r="I8" s="66" t="s">
        <v>158</v>
      </c>
      <c r="J8" s="66" t="s">
        <v>163</v>
      </c>
      <c r="K8" s="67" t="s">
        <v>169</v>
      </c>
      <c r="L8" s="67" t="s">
        <v>208</v>
      </c>
      <c r="M8" s="67" t="s">
        <v>197</v>
      </c>
      <c r="N8" s="67" t="s">
        <v>207</v>
      </c>
      <c r="O8" s="68" t="s">
        <v>171</v>
      </c>
    </row>
    <row r="9" spans="1:16" s="31" customFormat="1" ht="30" customHeight="1">
      <c r="A9" s="22" t="s">
        <v>199</v>
      </c>
      <c r="B9" s="69" t="s">
        <v>189</v>
      </c>
      <c r="C9" s="22" t="s">
        <v>167</v>
      </c>
      <c r="D9" s="21" t="s">
        <v>201</v>
      </c>
      <c r="E9" s="21" t="s">
        <v>205</v>
      </c>
      <c r="F9" s="22">
        <v>23</v>
      </c>
      <c r="G9" s="22">
        <v>3</v>
      </c>
      <c r="H9" s="22" t="s">
        <v>202</v>
      </c>
      <c r="I9" s="22" t="s">
        <v>3</v>
      </c>
      <c r="J9" s="70" t="s">
        <v>204</v>
      </c>
      <c r="K9" s="26">
        <v>3600000</v>
      </c>
      <c r="L9" s="29">
        <v>0.1</v>
      </c>
      <c r="M9" s="30">
        <f>K9*(100%-L9)</f>
        <v>3240000</v>
      </c>
      <c r="N9" s="30">
        <f>1600000*F9</f>
        <v>36800000</v>
      </c>
      <c r="O9" s="23">
        <f>M9*F9*G9+N9</f>
        <v>260360000</v>
      </c>
      <c r="P9" s="107"/>
    </row>
    <row r="10" spans="1:16" s="31" customFormat="1" ht="30" customHeight="1">
      <c r="A10" s="22" t="s">
        <v>268</v>
      </c>
      <c r="B10" s="32" t="s">
        <v>189</v>
      </c>
      <c r="C10" s="22" t="s">
        <v>167</v>
      </c>
      <c r="D10" s="32" t="s">
        <v>195</v>
      </c>
      <c r="E10" s="21" t="s">
        <v>194</v>
      </c>
      <c r="F10" s="22">
        <v>16</v>
      </c>
      <c r="G10" s="22">
        <v>3</v>
      </c>
      <c r="H10" s="22" t="s">
        <v>269</v>
      </c>
      <c r="I10" s="22" t="s">
        <v>3</v>
      </c>
      <c r="J10" s="70" t="s">
        <v>204</v>
      </c>
      <c r="K10" s="102">
        <v>55000000</v>
      </c>
      <c r="L10" s="29">
        <v>0.1</v>
      </c>
      <c r="M10" s="30">
        <f t="shared" ref="M10:M11" si="0">K10*(100%-L10)</f>
        <v>49500000</v>
      </c>
      <c r="N10" s="30">
        <v>40000000</v>
      </c>
      <c r="O10" s="23">
        <f>M10*G10+N10</f>
        <v>188500000</v>
      </c>
      <c r="P10" s="107"/>
    </row>
    <row r="11" spans="1:16" s="31" customFormat="1" ht="31.25" customHeight="1">
      <c r="A11" s="22" t="s">
        <v>199</v>
      </c>
      <c r="B11" s="69" t="s">
        <v>189</v>
      </c>
      <c r="C11" s="22" t="s">
        <v>200</v>
      </c>
      <c r="D11" s="25" t="s">
        <v>299</v>
      </c>
      <c r="E11" s="28" t="s">
        <v>206</v>
      </c>
      <c r="F11" s="22">
        <v>25</v>
      </c>
      <c r="G11" s="22">
        <v>3</v>
      </c>
      <c r="H11" s="22" t="s">
        <v>203</v>
      </c>
      <c r="I11" s="22" t="s">
        <v>3</v>
      </c>
      <c r="J11" s="70" t="s">
        <v>204</v>
      </c>
      <c r="K11" s="27">
        <v>1920000</v>
      </c>
      <c r="L11" s="29">
        <v>0.1</v>
      </c>
      <c r="M11" s="30">
        <f t="shared" si="0"/>
        <v>1728000</v>
      </c>
      <c r="N11" s="30">
        <f>F11*1300000</f>
        <v>32500000</v>
      </c>
      <c r="O11" s="23">
        <f>M11*F11*G11+N11</f>
        <v>162100000</v>
      </c>
      <c r="P11" s="58"/>
    </row>
    <row r="12" spans="1:16" ht="15" customHeight="1">
      <c r="A12" s="71"/>
      <c r="B12" s="75"/>
      <c r="C12" s="72"/>
      <c r="D12" s="98"/>
      <c r="E12" s="72"/>
      <c r="F12" s="72"/>
      <c r="G12" s="72"/>
      <c r="H12" s="72"/>
      <c r="I12" s="72"/>
      <c r="J12" s="72"/>
      <c r="K12" s="73">
        <f>SUM(K9:K11)</f>
        <v>60520000</v>
      </c>
      <c r="L12" s="73"/>
      <c r="M12" s="74">
        <f>SUM(M9:M11)</f>
        <v>54468000</v>
      </c>
      <c r="N12" s="74">
        <f>SUM(N9:N11)</f>
        <v>109300000</v>
      </c>
      <c r="O12" s="74">
        <f>SUM(O9:O11)</f>
        <v>610960000</v>
      </c>
    </row>
    <row r="13" spans="1:16">
      <c r="K13" s="13"/>
      <c r="P13" s="59"/>
    </row>
    <row r="14" spans="1:16" ht="17" thickBot="1">
      <c r="K14" s="13"/>
      <c r="L14" s="13"/>
      <c r="P14" s="59"/>
    </row>
    <row r="15" spans="1:16" ht="25" customHeight="1">
      <c r="K15" s="13"/>
      <c r="L15" s="13"/>
      <c r="N15" s="14" t="s">
        <v>172</v>
      </c>
      <c r="O15" s="15">
        <f>O12</f>
        <v>610960000</v>
      </c>
      <c r="P15" s="59"/>
    </row>
    <row r="16" spans="1:16" ht="25" customHeight="1">
      <c r="K16" s="13"/>
      <c r="L16" s="13"/>
      <c r="N16" s="16" t="s">
        <v>166</v>
      </c>
      <c r="O16" s="17">
        <f>O15*5%</f>
        <v>30548000</v>
      </c>
    </row>
    <row r="17" spans="11:15" ht="25" customHeight="1" thickBot="1">
      <c r="K17" s="13"/>
      <c r="L17" s="13"/>
      <c r="N17" s="18" t="s">
        <v>173</v>
      </c>
      <c r="O17" s="19">
        <f>(O15+O16)*1.12</f>
        <v>718488960.00000012</v>
      </c>
    </row>
    <row r="18" spans="11:15">
      <c r="K18" s="13"/>
      <c r="L18" s="13"/>
    </row>
    <row r="19" spans="11:15">
      <c r="K19" s="13"/>
      <c r="L19" s="13"/>
    </row>
    <row r="20" spans="11:15">
      <c r="K20" s="13"/>
    </row>
    <row r="21" spans="11:15">
      <c r="K21" s="13"/>
    </row>
    <row r="22" spans="11:15">
      <c r="K22" s="13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G9" name="Диапазон1_1_2"/>
    <protectedRange algorithmName="SHA-512" hashValue="20tZejZtY/ZGRcGLZm0ZbWfCu51ejQGMqdRYwv0b9rb/5Q/ejFDHQOXySZDQbnMuPhvZC4Bfbq/BWdBxp9Ls4w==" saltValue="Q+V8rXhHsE4u/j5xUQJeAg==" spinCount="100000" sqref="M9:N9" name="Диапазон1_3"/>
    <protectedRange algorithmName="SHA-512" hashValue="20tZejZtY/ZGRcGLZm0ZbWfCu51ejQGMqdRYwv0b9rb/5Q/ejFDHQOXySZDQbnMuPhvZC4Bfbq/BWdBxp9Ls4w==" saltValue="Q+V8rXhHsE4u/j5xUQJeAg==" spinCount="100000" sqref="K9:L9" name="Диапазон1_14_2"/>
    <protectedRange algorithmName="SHA-512" hashValue="20tZejZtY/ZGRcGLZm0ZbWfCu51ejQGMqdRYwv0b9rb/5Q/ejFDHQOXySZDQbnMuPhvZC4Bfbq/BWdBxp9Ls4w==" saltValue="Q+V8rXhHsE4u/j5xUQJeAg==" spinCount="100000" sqref="D9" name="Диапазон1_17_1"/>
    <protectedRange algorithmName="SHA-512" hashValue="20tZejZtY/ZGRcGLZm0ZbWfCu51ejQGMqdRYwv0b9rb/5Q/ejFDHQOXySZDQbnMuPhvZC4Bfbq/BWdBxp9Ls4w==" saltValue="Q+V8rXhHsE4u/j5xUQJeAg==" spinCount="100000" sqref="C9" name="Диапазон1_2_2"/>
    <protectedRange algorithmName="SHA-512" hashValue="20tZejZtY/ZGRcGLZm0ZbWfCu51ejQGMqdRYwv0b9rb/5Q/ejFDHQOXySZDQbnMuPhvZC4Bfbq/BWdBxp9Ls4w==" saltValue="Q+V8rXhHsE4u/j5xUQJeAg==" spinCount="100000" sqref="J9" name="Диапазон1_6_2"/>
    <protectedRange algorithmName="SHA-512" hashValue="20tZejZtY/ZGRcGLZm0ZbWfCu51ejQGMqdRYwv0b9rb/5Q/ejFDHQOXySZDQbnMuPhvZC4Bfbq/BWdBxp9Ls4w==" saltValue="Q+V8rXhHsE4u/j5xUQJeAg==" spinCount="100000" sqref="I9" name="Диапазон1_1_2_2"/>
    <protectedRange algorithmName="SHA-512" hashValue="20tZejZtY/ZGRcGLZm0ZbWfCu51ejQGMqdRYwv0b9rb/5Q/ejFDHQOXySZDQbnMuPhvZC4Bfbq/BWdBxp9Ls4w==" saltValue="Q+V8rXhHsE4u/j5xUQJeAg==" spinCount="100000" sqref="H9 F9" name="Диапазон1_5_2_2"/>
    <protectedRange algorithmName="SHA-512" hashValue="20tZejZtY/ZGRcGLZm0ZbWfCu51ejQGMqdRYwv0b9rb/5Q/ejFDHQOXySZDQbnMuPhvZC4Bfbq/BWdBxp9Ls4w==" saltValue="Q+V8rXhHsE4u/j5xUQJeAg==" spinCount="100000" sqref="B9" name="Диапазон1_2_1_1_2"/>
    <protectedRange algorithmName="SHA-512" hashValue="20tZejZtY/ZGRcGLZm0ZbWfCu51ejQGMqdRYwv0b9rb/5Q/ejFDHQOXySZDQbnMuPhvZC4Bfbq/BWdBxp9Ls4w==" saltValue="Q+V8rXhHsE4u/j5xUQJeAg==" spinCount="100000" sqref="M10:N10" name="Диапазон1_1"/>
    <protectedRange algorithmName="SHA-512" hashValue="20tZejZtY/ZGRcGLZm0ZbWfCu51ejQGMqdRYwv0b9rb/5Q/ejFDHQOXySZDQbnMuPhvZC4Bfbq/BWdBxp9Ls4w==" saltValue="Q+V8rXhHsE4u/j5xUQJeAg==" spinCount="100000" sqref="K10" name="Диапазон1_14"/>
    <protectedRange algorithmName="SHA-512" hashValue="20tZejZtY/ZGRcGLZm0ZbWfCu51ejQGMqdRYwv0b9rb/5Q/ejFDHQOXySZDQbnMuPhvZC4Bfbq/BWdBxp9Ls4w==" saltValue="Q+V8rXhHsE4u/j5xUQJeAg==" spinCount="100000" sqref="L10" name="Диапазон1_14_2_1"/>
    <protectedRange algorithmName="SHA-512" hashValue="20tZejZtY/ZGRcGLZm0ZbWfCu51ejQGMqdRYwv0b9rb/5Q/ejFDHQOXySZDQbnMuPhvZC4Bfbq/BWdBxp9Ls4w==" saltValue="Q+V8rXhHsE4u/j5xUQJeAg==" spinCount="100000" sqref="J10" name="Диапазон1_6_2_2"/>
    <protectedRange algorithmName="SHA-512" hashValue="20tZejZtY/ZGRcGLZm0ZbWfCu51ejQGMqdRYwv0b9rb/5Q/ejFDHQOXySZDQbnMuPhvZC4Bfbq/BWdBxp9Ls4w==" saltValue="Q+V8rXhHsE4u/j5xUQJeAg==" spinCount="100000" sqref="I10" name="Диапазон1_1_2_2_2"/>
    <protectedRange algorithmName="SHA-512" hashValue="20tZejZtY/ZGRcGLZm0ZbWfCu51ejQGMqdRYwv0b9rb/5Q/ejFDHQOXySZDQbnMuPhvZC4Bfbq/BWdBxp9Ls4w==" saltValue="Q+V8rXhHsE4u/j5xUQJeAg==" spinCount="100000" sqref="F10:G10" name="Диапазон1_5_1"/>
    <protectedRange algorithmName="SHA-512" hashValue="20tZejZtY/ZGRcGLZm0ZbWfCu51ejQGMqdRYwv0b9rb/5Q/ejFDHQOXySZDQbnMuPhvZC4Bfbq/BWdBxp9Ls4w==" saltValue="Q+V8rXhHsE4u/j5xUQJeAg==" spinCount="100000" sqref="C10" name="Диапазон1_2_6"/>
    <protectedRange algorithmName="SHA-512" hashValue="20tZejZtY/ZGRcGLZm0ZbWfCu51ejQGMqdRYwv0b9rb/5Q/ejFDHQOXySZDQbnMuPhvZC4Bfbq/BWdBxp9Ls4w==" saltValue="Q+V8rXhHsE4u/j5xUQJeAg==" spinCount="100000" sqref="H10" name="Диапазон1_5_3"/>
    <protectedRange algorithmName="SHA-512" hashValue="20tZejZtY/ZGRcGLZm0ZbWfCu51ejQGMqdRYwv0b9rb/5Q/ejFDHQOXySZDQbnMuPhvZC4Bfbq/BWdBxp9Ls4w==" saltValue="Q+V8rXhHsE4u/j5xUQJeAg==" spinCount="100000" sqref="N11" name="Диапазон1_3_2_1"/>
    <protectedRange algorithmName="SHA-512" hashValue="20tZejZtY/ZGRcGLZm0ZbWfCu51ejQGMqdRYwv0b9rb/5Q/ejFDHQOXySZDQbnMuPhvZC4Bfbq/BWdBxp9Ls4w==" saltValue="Q+V8rXhHsE4u/j5xUQJeAg==" spinCount="100000" sqref="M11" name="Диапазон1_3_3_1"/>
    <protectedRange algorithmName="SHA-512" hashValue="20tZejZtY/ZGRcGLZm0ZbWfCu51ejQGMqdRYwv0b9rb/5Q/ejFDHQOXySZDQbnMuPhvZC4Bfbq/BWdBxp9Ls4w==" saltValue="Q+V8rXhHsE4u/j5xUQJeAg==" spinCount="100000" sqref="K11:L11" name="Диапазон1_14_2_2_1"/>
    <protectedRange algorithmName="SHA-512" hashValue="20tZejZtY/ZGRcGLZm0ZbWfCu51ejQGMqdRYwv0b9rb/5Q/ejFDHQOXySZDQbnMuPhvZC4Bfbq/BWdBxp9Ls4w==" saltValue="Q+V8rXhHsE4u/j5xUQJeAg==" spinCount="100000" sqref="D11" name="Диапазон1_17_1_2_1"/>
    <protectedRange algorithmName="SHA-512" hashValue="20tZejZtY/ZGRcGLZm0ZbWfCu51ejQGMqdRYwv0b9rb/5Q/ejFDHQOXySZDQbnMuPhvZC4Bfbq/BWdBxp9Ls4w==" saltValue="Q+V8rXhHsE4u/j5xUQJeAg==" spinCount="100000" sqref="C11" name="Диапазон1_2_2_2_1"/>
    <protectedRange algorithmName="SHA-512" hashValue="20tZejZtY/ZGRcGLZm0ZbWfCu51ejQGMqdRYwv0b9rb/5Q/ejFDHQOXySZDQbnMuPhvZC4Bfbq/BWdBxp9Ls4w==" saltValue="Q+V8rXhHsE4u/j5xUQJeAg==" spinCount="100000" sqref="J11" name="Диапазон1_6_2_4_1"/>
    <protectedRange algorithmName="SHA-512" hashValue="20tZejZtY/ZGRcGLZm0ZbWfCu51ejQGMqdRYwv0b9rb/5Q/ejFDHQOXySZDQbnMuPhvZC4Bfbq/BWdBxp9Ls4w==" saltValue="Q+V8rXhHsE4u/j5xUQJeAg==" spinCount="100000" sqref="I11 G11" name="Диапазон1_1_2_2_3_1"/>
    <protectedRange algorithmName="SHA-512" hashValue="20tZejZtY/ZGRcGLZm0ZbWfCu51ejQGMqdRYwv0b9rb/5Q/ejFDHQOXySZDQbnMuPhvZC4Bfbq/BWdBxp9Ls4w==" saltValue="Q+V8rXhHsE4u/j5xUQJeAg==" spinCount="100000" sqref="H11 F11" name="Диапазон1_5_2_2_1_1"/>
    <protectedRange algorithmName="SHA-512" hashValue="20tZejZtY/ZGRcGLZm0ZbWfCu51ejQGMqdRYwv0b9rb/5Q/ejFDHQOXySZDQbnMuPhvZC4Bfbq/BWdBxp9Ls4w==" saltValue="Q+V8rXhHsE4u/j5xUQJeAg==" spinCount="100000" sqref="B11" name="Диапазон1_2_1_1_2_1_1"/>
  </protectedRanges>
  <hyperlinks>
    <hyperlink ref="B9" r:id="rId1" xr:uid="{BCF3F290-A34C-430D-BEA9-FB8FDCF80B72}"/>
    <hyperlink ref="B10" r:id="rId2" xr:uid="{94882A12-00ED-45BB-A36A-34E48B87465A}"/>
    <hyperlink ref="D10" r:id="rId3" xr:uid="{D1E4755D-9A53-4789-B05D-D0CB27CD5EB4}"/>
    <hyperlink ref="B11" r:id="rId4" xr:uid="{81AF8B6F-5F57-4FD0-A434-B7FD171314E2}"/>
  </hyperlinks>
  <pageMargins left="0.7" right="0.7" top="0.75" bottom="0.75" header="0.3" footer="0.3"/>
  <pageSetup paperSize="9" orientation="portrait" verticalDpi="1200" r:id="rId5"/>
  <ignoredErrors>
    <ignoredError sqref="O10" formula="1"/>
    <ignoredError sqref="K12 O15" unlockedFormula="1"/>
  </ignoredError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7508-BA9B-0349-9EDF-89FE970065E9}">
  <dimension ref="A1:AC48"/>
  <sheetViews>
    <sheetView zoomScale="55" zoomScaleNormal="55" workbookViewId="0">
      <pane xSplit="4" ySplit="8" topLeftCell="U9" activePane="bottomRight" state="frozen"/>
      <selection activeCell="T27" sqref="T27"/>
      <selection pane="topRight" activeCell="T27" sqref="T27"/>
      <selection pane="bottomLeft" activeCell="T27" sqref="T27"/>
      <selection pane="bottomRight" activeCell="Y9" sqref="Y9"/>
    </sheetView>
  </sheetViews>
  <sheetFormatPr baseColWidth="10" defaultColWidth="19.1640625" defaultRowHeight="16"/>
  <cols>
    <col min="1" max="1" width="15.6640625" style="6" customWidth="1"/>
    <col min="2" max="2" width="20.33203125" style="6" customWidth="1"/>
    <col min="3" max="3" width="25.5" style="6" customWidth="1"/>
    <col min="4" max="4" width="53.33203125" style="6" customWidth="1"/>
    <col min="5" max="5" width="14.1640625" style="6" customWidth="1"/>
    <col min="6" max="6" width="12.83203125" style="6" customWidth="1"/>
    <col min="7" max="7" width="15.1640625" style="6" customWidth="1"/>
    <col min="8" max="8" width="21.1640625" style="6" customWidth="1"/>
    <col min="9" max="9" width="22.83203125" style="6" customWidth="1"/>
    <col min="10" max="10" width="15.33203125" style="6" hidden="1" customWidth="1"/>
    <col min="11" max="11" width="14.83203125" style="6" customWidth="1"/>
    <col min="12" max="12" width="15.83203125" style="6" customWidth="1"/>
    <col min="13" max="13" width="16" style="6" customWidth="1"/>
    <col min="14" max="14" width="19.6640625" style="6" customWidth="1"/>
    <col min="15" max="17" width="15.83203125" style="6" customWidth="1"/>
    <col min="18" max="18" width="24" style="6" customWidth="1"/>
    <col min="19" max="19" width="21.33203125" style="6" hidden="1" customWidth="1"/>
    <col min="20" max="20" width="23.5" style="6" customWidth="1"/>
    <col min="21" max="21" width="21.1640625" style="6" customWidth="1"/>
    <col min="22" max="22" width="21.83203125" style="6" customWidth="1"/>
    <col min="23" max="16384" width="19.1640625" style="4"/>
  </cols>
  <sheetData>
    <row r="1" spans="1:29">
      <c r="D1" s="9"/>
    </row>
    <row r="2" spans="1:29" ht="17">
      <c r="C2" s="12" t="s">
        <v>179</v>
      </c>
      <c r="D2" s="20" t="s">
        <v>196</v>
      </c>
      <c r="F2" s="7"/>
    </row>
    <row r="3" spans="1:29">
      <c r="C3" s="12" t="s">
        <v>180</v>
      </c>
      <c r="D3" s="10" t="s">
        <v>185</v>
      </c>
      <c r="F3" s="7"/>
    </row>
    <row r="4" spans="1:29">
      <c r="C4" s="12" t="s">
        <v>181</v>
      </c>
      <c r="D4" s="10"/>
      <c r="F4" s="7"/>
    </row>
    <row r="5" spans="1:29">
      <c r="C5" s="12" t="s">
        <v>182</v>
      </c>
      <c r="D5" s="11">
        <v>46045</v>
      </c>
      <c r="F5" s="8"/>
    </row>
    <row r="7" spans="1:29" ht="17" thickBot="1"/>
    <row r="8" spans="1:29" s="5" customFormat="1" ht="80" customHeight="1">
      <c r="A8" s="78" t="s">
        <v>183</v>
      </c>
      <c r="B8" s="78" t="s">
        <v>174</v>
      </c>
      <c r="C8" s="78" t="s">
        <v>161</v>
      </c>
      <c r="D8" s="78" t="s">
        <v>175</v>
      </c>
      <c r="E8" s="78" t="s">
        <v>177</v>
      </c>
      <c r="F8" s="78" t="s">
        <v>162</v>
      </c>
      <c r="G8" s="78" t="s">
        <v>209</v>
      </c>
      <c r="H8" s="78" t="s">
        <v>176</v>
      </c>
      <c r="I8" s="78" t="s">
        <v>158</v>
      </c>
      <c r="J8" s="78" t="s">
        <v>163</v>
      </c>
      <c r="K8" s="78" t="s">
        <v>178</v>
      </c>
      <c r="L8" s="78" t="s">
        <v>168</v>
      </c>
      <c r="M8" s="78" t="s">
        <v>164</v>
      </c>
      <c r="N8" s="156" t="s">
        <v>165</v>
      </c>
      <c r="O8" s="160" t="s">
        <v>319</v>
      </c>
      <c r="P8" s="161" t="s">
        <v>320</v>
      </c>
      <c r="Q8" s="162" t="s">
        <v>321</v>
      </c>
      <c r="R8" s="110" t="s">
        <v>169</v>
      </c>
      <c r="S8" s="79" t="s">
        <v>208</v>
      </c>
      <c r="T8" s="185" t="s">
        <v>197</v>
      </c>
      <c r="U8" s="185" t="s">
        <v>207</v>
      </c>
      <c r="V8" s="186" t="s">
        <v>171</v>
      </c>
      <c r="X8" s="111" t="s">
        <v>343</v>
      </c>
      <c r="Y8" s="168" t="s">
        <v>344</v>
      </c>
      <c r="Z8" s="168" t="s">
        <v>302</v>
      </c>
      <c r="AA8" s="168" t="s">
        <v>230</v>
      </c>
      <c r="AB8" s="168" t="s">
        <v>228</v>
      </c>
      <c r="AC8" s="168" t="s">
        <v>229</v>
      </c>
    </row>
    <row r="9" spans="1:29" s="31" customFormat="1" ht="15" customHeight="1">
      <c r="A9" s="133" t="s">
        <v>199</v>
      </c>
      <c r="B9" s="169" t="s">
        <v>189</v>
      </c>
      <c r="C9" s="133" t="s">
        <v>200</v>
      </c>
      <c r="D9" s="170" t="s">
        <v>299</v>
      </c>
      <c r="E9" s="171" t="s">
        <v>206</v>
      </c>
      <c r="F9" s="133">
        <v>24</v>
      </c>
      <c r="G9" s="133">
        <v>3</v>
      </c>
      <c r="H9" s="133" t="s">
        <v>203</v>
      </c>
      <c r="I9" s="133" t="s">
        <v>3</v>
      </c>
      <c r="J9" s="172" t="s">
        <v>204</v>
      </c>
      <c r="K9" s="173" t="s">
        <v>300</v>
      </c>
      <c r="L9" s="140" t="s">
        <v>300</v>
      </c>
      <c r="M9" s="141" t="s">
        <v>300</v>
      </c>
      <c r="N9" s="174" t="s">
        <v>300</v>
      </c>
      <c r="O9" s="175" t="s">
        <v>342</v>
      </c>
      <c r="P9" s="176" t="s">
        <v>342</v>
      </c>
      <c r="Q9" s="177" t="s">
        <v>342</v>
      </c>
      <c r="R9" s="178">
        <v>1920000</v>
      </c>
      <c r="S9" s="140">
        <v>0.1</v>
      </c>
      <c r="T9" s="141">
        <f t="shared" ref="T9" si="0">R9*(100%-S9)</f>
        <v>1728000</v>
      </c>
      <c r="U9" s="141">
        <v>32500000</v>
      </c>
      <c r="V9" s="143">
        <f>T9*F9*G9+U9</f>
        <v>156916000</v>
      </c>
      <c r="W9" s="58"/>
      <c r="X9" s="112" t="s">
        <v>323</v>
      </c>
      <c r="Y9" s="113">
        <v>30.112303716044575</v>
      </c>
      <c r="Z9" s="113">
        <v>33.042656103405001</v>
      </c>
      <c r="AA9" s="113">
        <v>29.269520061950999</v>
      </c>
      <c r="AB9" s="113">
        <v>25.178876490300002</v>
      </c>
      <c r="AC9" s="113">
        <v>35.256519555543001</v>
      </c>
    </row>
    <row r="10" spans="1:29" s="24" customFormat="1" ht="15" customHeight="1">
      <c r="A10" s="133" t="s">
        <v>184</v>
      </c>
      <c r="B10" s="203"/>
      <c r="C10" s="187" t="s">
        <v>302</v>
      </c>
      <c r="D10" s="188" t="s">
        <v>303</v>
      </c>
      <c r="E10" s="189" t="s">
        <v>192</v>
      </c>
      <c r="F10" s="137">
        <v>1</v>
      </c>
      <c r="G10" s="138">
        <v>3</v>
      </c>
      <c r="H10" s="133" t="s">
        <v>186</v>
      </c>
      <c r="I10" s="133" t="s">
        <v>4</v>
      </c>
      <c r="J10" s="137" t="s">
        <v>219</v>
      </c>
      <c r="K10" s="133">
        <v>10</v>
      </c>
      <c r="L10" s="133" t="s">
        <v>187</v>
      </c>
      <c r="M10" s="133">
        <v>1</v>
      </c>
      <c r="N10" s="157" t="s">
        <v>188</v>
      </c>
      <c r="O10" s="163">
        <v>67345</v>
      </c>
      <c r="P10" s="132">
        <v>69.781056689013468</v>
      </c>
      <c r="Q10" s="179">
        <v>96509</v>
      </c>
      <c r="R10" s="144">
        <v>3500000</v>
      </c>
      <c r="S10" s="180">
        <v>0.1</v>
      </c>
      <c r="T10" s="181">
        <f t="shared" ref="T10:T21" si="1">R10*(100%-S10)</f>
        <v>3150000</v>
      </c>
      <c r="U10" s="182" t="s">
        <v>194</v>
      </c>
      <c r="V10" s="183">
        <f t="shared" ref="V10:V21" si="2">T10*G10</f>
        <v>9450000</v>
      </c>
      <c r="W10" s="104"/>
      <c r="X10" s="112" t="s">
        <v>324</v>
      </c>
      <c r="Y10" s="114">
        <v>29.485169810196602</v>
      </c>
      <c r="Z10" s="114">
        <v>32.130783265814998</v>
      </c>
      <c r="AA10" s="114">
        <v>28.832759939412</v>
      </c>
      <c r="AB10" s="114">
        <v>24.509703652199999</v>
      </c>
      <c r="AC10" s="114">
        <v>34.547396100242999</v>
      </c>
    </row>
    <row r="11" spans="1:29" s="24" customFormat="1" ht="15" customHeight="1">
      <c r="A11" s="133" t="s">
        <v>184</v>
      </c>
      <c r="B11" s="204"/>
      <c r="C11" s="187" t="s">
        <v>302</v>
      </c>
      <c r="D11" s="188" t="s">
        <v>304</v>
      </c>
      <c r="E11" s="189" t="s">
        <v>305</v>
      </c>
      <c r="F11" s="137">
        <v>1</v>
      </c>
      <c r="G11" s="138">
        <v>3</v>
      </c>
      <c r="H11" s="133" t="s">
        <v>186</v>
      </c>
      <c r="I11" s="133" t="s">
        <v>4</v>
      </c>
      <c r="J11" s="137" t="s">
        <v>219</v>
      </c>
      <c r="K11" s="133">
        <v>10</v>
      </c>
      <c r="L11" s="133" t="s">
        <v>187</v>
      </c>
      <c r="M11" s="133">
        <v>1</v>
      </c>
      <c r="N11" s="157" t="s">
        <v>188</v>
      </c>
      <c r="O11" s="163">
        <v>56701</v>
      </c>
      <c r="P11" s="132">
        <v>58.75203348910464</v>
      </c>
      <c r="Q11" s="179">
        <v>96509</v>
      </c>
      <c r="R11" s="144">
        <v>3500000</v>
      </c>
      <c r="S11" s="180">
        <v>0.1</v>
      </c>
      <c r="T11" s="181">
        <f t="shared" si="1"/>
        <v>3150000</v>
      </c>
      <c r="U11" s="182" t="s">
        <v>194</v>
      </c>
      <c r="V11" s="184">
        <f t="shared" si="2"/>
        <v>9450000</v>
      </c>
      <c r="X11" s="112" t="s">
        <v>325</v>
      </c>
      <c r="Y11" s="115">
        <v>28.854448101652778</v>
      </c>
      <c r="Z11" s="115">
        <v>31.212218699844001</v>
      </c>
      <c r="AA11" s="115">
        <v>28.394301915641996</v>
      </c>
      <c r="AB11" s="115">
        <v>23.837634394353</v>
      </c>
      <c r="AC11" s="115">
        <v>33.832779435077995</v>
      </c>
    </row>
    <row r="12" spans="1:29" s="24" customFormat="1" ht="15" customHeight="1">
      <c r="A12" s="133" t="s">
        <v>184</v>
      </c>
      <c r="B12" s="204"/>
      <c r="C12" s="187" t="s">
        <v>302</v>
      </c>
      <c r="D12" s="188" t="s">
        <v>306</v>
      </c>
      <c r="E12" s="189" t="s">
        <v>192</v>
      </c>
      <c r="F12" s="137">
        <v>1</v>
      </c>
      <c r="G12" s="138">
        <v>3</v>
      </c>
      <c r="H12" s="133" t="s">
        <v>186</v>
      </c>
      <c r="I12" s="133" t="s">
        <v>4</v>
      </c>
      <c r="J12" s="137" t="s">
        <v>219</v>
      </c>
      <c r="K12" s="133">
        <v>10</v>
      </c>
      <c r="L12" s="133" t="s">
        <v>187</v>
      </c>
      <c r="M12" s="133">
        <v>1</v>
      </c>
      <c r="N12" s="157" t="s">
        <v>188</v>
      </c>
      <c r="O12" s="163">
        <v>67117</v>
      </c>
      <c r="P12" s="132">
        <v>69.544809292397602</v>
      </c>
      <c r="Q12" s="179">
        <v>96509</v>
      </c>
      <c r="R12" s="144">
        <v>3500000</v>
      </c>
      <c r="S12" s="180">
        <v>0.1</v>
      </c>
      <c r="T12" s="181">
        <f t="shared" si="1"/>
        <v>3150000</v>
      </c>
      <c r="U12" s="182" t="s">
        <v>194</v>
      </c>
      <c r="V12" s="184">
        <f t="shared" si="2"/>
        <v>9450000</v>
      </c>
      <c r="X12" s="112" t="s">
        <v>326</v>
      </c>
      <c r="Y12" s="116">
        <v>28.218809323874886</v>
      </c>
      <c r="Z12" s="116">
        <v>30.282068454884996</v>
      </c>
      <c r="AA12" s="116">
        <v>27.954145990640999</v>
      </c>
      <c r="AB12" s="116">
        <v>23.161170568613997</v>
      </c>
      <c r="AC12" s="116">
        <v>33.111670794618</v>
      </c>
    </row>
    <row r="13" spans="1:29" s="24" customFormat="1" ht="15" customHeight="1">
      <c r="A13" s="133" t="s">
        <v>184</v>
      </c>
      <c r="B13" s="204"/>
      <c r="C13" s="187" t="s">
        <v>302</v>
      </c>
      <c r="D13" s="188" t="s">
        <v>307</v>
      </c>
      <c r="E13" s="189" t="s">
        <v>190</v>
      </c>
      <c r="F13" s="137">
        <v>1</v>
      </c>
      <c r="G13" s="138">
        <v>3</v>
      </c>
      <c r="H13" s="133" t="s">
        <v>186</v>
      </c>
      <c r="I13" s="133" t="s">
        <v>4</v>
      </c>
      <c r="J13" s="137" t="s">
        <v>219</v>
      </c>
      <c r="K13" s="133">
        <v>10</v>
      </c>
      <c r="L13" s="133" t="s">
        <v>187</v>
      </c>
      <c r="M13" s="133">
        <v>1</v>
      </c>
      <c r="N13" s="157" t="s">
        <v>188</v>
      </c>
      <c r="O13" s="163">
        <v>109283</v>
      </c>
      <c r="P13" s="132">
        <v>113.2360712472412</v>
      </c>
      <c r="Q13" s="179">
        <v>96509</v>
      </c>
      <c r="R13" s="144">
        <v>3500000</v>
      </c>
      <c r="S13" s="180">
        <v>0.1</v>
      </c>
      <c r="T13" s="181">
        <f t="shared" si="1"/>
        <v>3150000</v>
      </c>
      <c r="U13" s="182" t="s">
        <v>194</v>
      </c>
      <c r="V13" s="184">
        <f t="shared" si="2"/>
        <v>9450000</v>
      </c>
      <c r="X13" s="112" t="s">
        <v>327</v>
      </c>
      <c r="Y13" s="117">
        <v>27.574718876081015</v>
      </c>
      <c r="Z13" s="117">
        <v>29.329146358121999</v>
      </c>
      <c r="AA13" s="117">
        <v>27.512292164409004</v>
      </c>
      <c r="AB13" s="117">
        <v>22.475917607090999</v>
      </c>
      <c r="AC13" s="117">
        <v>32.380674376401004</v>
      </c>
    </row>
    <row r="14" spans="1:29" s="24" customFormat="1" ht="15" customHeight="1">
      <c r="A14" s="133" t="s">
        <v>184</v>
      </c>
      <c r="B14" s="204"/>
      <c r="C14" s="187" t="s">
        <v>302</v>
      </c>
      <c r="D14" s="188" t="s">
        <v>308</v>
      </c>
      <c r="E14" s="189" t="s">
        <v>192</v>
      </c>
      <c r="F14" s="137">
        <v>1</v>
      </c>
      <c r="G14" s="138">
        <v>3</v>
      </c>
      <c r="H14" s="133" t="s">
        <v>186</v>
      </c>
      <c r="I14" s="133" t="s">
        <v>4</v>
      </c>
      <c r="J14" s="137" t="s">
        <v>219</v>
      </c>
      <c r="K14" s="133">
        <v>10</v>
      </c>
      <c r="L14" s="133" t="s">
        <v>187</v>
      </c>
      <c r="M14" s="133">
        <v>1</v>
      </c>
      <c r="N14" s="157" t="s">
        <v>188</v>
      </c>
      <c r="O14" s="163">
        <v>64411</v>
      </c>
      <c r="P14" s="132">
        <v>66.740925716772523</v>
      </c>
      <c r="Q14" s="179">
        <v>96509</v>
      </c>
      <c r="R14" s="144">
        <v>3500000</v>
      </c>
      <c r="S14" s="180">
        <v>0.1</v>
      </c>
      <c r="T14" s="181">
        <f t="shared" si="1"/>
        <v>3150000</v>
      </c>
      <c r="U14" s="182" t="s">
        <v>194</v>
      </c>
      <c r="V14" s="184">
        <f t="shared" si="2"/>
        <v>9450000</v>
      </c>
      <c r="X14" s="112" t="s">
        <v>328</v>
      </c>
      <c r="Y14" s="118">
        <v>25.490387676127472</v>
      </c>
      <c r="Z14" s="118">
        <v>26.043707476137001</v>
      </c>
      <c r="AA14" s="118">
        <v>26.172648093149999</v>
      </c>
      <c r="AB14" s="118">
        <v>20.23398884637</v>
      </c>
      <c r="AC14" s="118">
        <v>30.025685369004002</v>
      </c>
    </row>
    <row r="15" spans="1:29" s="24" customFormat="1" ht="15" customHeight="1">
      <c r="A15" s="133" t="s">
        <v>184</v>
      </c>
      <c r="B15" s="204"/>
      <c r="C15" s="187" t="s">
        <v>302</v>
      </c>
      <c r="D15" s="188" t="s">
        <v>309</v>
      </c>
      <c r="E15" s="189" t="s">
        <v>192</v>
      </c>
      <c r="F15" s="137">
        <v>1</v>
      </c>
      <c r="G15" s="138">
        <v>3</v>
      </c>
      <c r="H15" s="133" t="s">
        <v>186</v>
      </c>
      <c r="I15" s="133" t="s">
        <v>4</v>
      </c>
      <c r="J15" s="137" t="s">
        <v>219</v>
      </c>
      <c r="K15" s="133">
        <v>10</v>
      </c>
      <c r="L15" s="133" t="s">
        <v>187</v>
      </c>
      <c r="M15" s="133">
        <v>1</v>
      </c>
      <c r="N15" s="157" t="s">
        <v>188</v>
      </c>
      <c r="O15" s="163">
        <v>71884</v>
      </c>
      <c r="P15" s="132">
        <v>74.484244992694983</v>
      </c>
      <c r="Q15" s="179">
        <v>96509</v>
      </c>
      <c r="R15" s="144">
        <v>3500000</v>
      </c>
      <c r="S15" s="180">
        <v>0.1</v>
      </c>
      <c r="T15" s="181">
        <f t="shared" si="1"/>
        <v>3150000</v>
      </c>
      <c r="U15" s="182" t="s">
        <v>194</v>
      </c>
      <c r="V15" s="184">
        <f t="shared" si="2"/>
        <v>9450000</v>
      </c>
      <c r="X15" s="112" t="s">
        <v>329</v>
      </c>
      <c r="Y15" s="119">
        <v>23.798015243085761</v>
      </c>
      <c r="Z15" s="119">
        <v>23.085564025562999</v>
      </c>
      <c r="AA15" s="119">
        <v>25.253284514834995</v>
      </c>
      <c r="AB15" s="119">
        <v>18.330841319505002</v>
      </c>
      <c r="AC15" s="119">
        <v>28.119241916220002</v>
      </c>
    </row>
    <row r="16" spans="1:29" s="24" customFormat="1" ht="15" customHeight="1">
      <c r="A16" s="133" t="s">
        <v>184</v>
      </c>
      <c r="B16" s="204"/>
      <c r="C16" s="133" t="s">
        <v>230</v>
      </c>
      <c r="D16" s="137" t="s">
        <v>247</v>
      </c>
      <c r="E16" s="137" t="s">
        <v>236</v>
      </c>
      <c r="F16" s="137">
        <v>1</v>
      </c>
      <c r="G16" s="138">
        <v>3</v>
      </c>
      <c r="H16" s="133" t="s">
        <v>186</v>
      </c>
      <c r="I16" s="133" t="s">
        <v>4</v>
      </c>
      <c r="J16" s="137" t="s">
        <v>219</v>
      </c>
      <c r="K16" s="133">
        <v>10</v>
      </c>
      <c r="L16" s="133" t="s">
        <v>187</v>
      </c>
      <c r="M16" s="133">
        <v>1</v>
      </c>
      <c r="N16" s="157" t="s">
        <v>188</v>
      </c>
      <c r="O16" s="163">
        <v>191854</v>
      </c>
      <c r="P16" s="132">
        <v>78.658669082888153</v>
      </c>
      <c r="Q16" s="179">
        <v>243907</v>
      </c>
      <c r="R16" s="144">
        <v>3500000</v>
      </c>
      <c r="S16" s="180">
        <v>0.1</v>
      </c>
      <c r="T16" s="181">
        <f t="shared" si="1"/>
        <v>3150000</v>
      </c>
      <c r="U16" s="182" t="s">
        <v>194</v>
      </c>
      <c r="V16" s="184">
        <f t="shared" si="2"/>
        <v>9450000</v>
      </c>
      <c r="X16" s="112" t="s">
        <v>330</v>
      </c>
      <c r="Y16" s="120">
        <v>21.732223951896206</v>
      </c>
      <c r="Z16" s="120">
        <v>19.361467366722</v>
      </c>
      <c r="AA16" s="120">
        <v>24.273995010719997</v>
      </c>
      <c r="AB16" s="120">
        <v>15.893454164132997</v>
      </c>
      <c r="AC16" s="120">
        <v>25.759059328586996</v>
      </c>
    </row>
    <row r="17" spans="1:29" s="24" customFormat="1" ht="15" customHeight="1">
      <c r="A17" s="133" t="s">
        <v>184</v>
      </c>
      <c r="B17" s="204"/>
      <c r="C17" s="133" t="s">
        <v>230</v>
      </c>
      <c r="D17" s="137" t="s">
        <v>248</v>
      </c>
      <c r="E17" s="137" t="s">
        <v>236</v>
      </c>
      <c r="F17" s="137">
        <v>1</v>
      </c>
      <c r="G17" s="138">
        <v>3</v>
      </c>
      <c r="H17" s="133" t="s">
        <v>186</v>
      </c>
      <c r="I17" s="133" t="s">
        <v>4</v>
      </c>
      <c r="J17" s="137" t="s">
        <v>219</v>
      </c>
      <c r="K17" s="133">
        <v>10</v>
      </c>
      <c r="L17" s="133" t="s">
        <v>187</v>
      </c>
      <c r="M17" s="133">
        <v>1</v>
      </c>
      <c r="N17" s="157" t="s">
        <v>188</v>
      </c>
      <c r="O17" s="163">
        <v>264857</v>
      </c>
      <c r="P17" s="132">
        <v>108.5893393793536</v>
      </c>
      <c r="Q17" s="179">
        <v>243907</v>
      </c>
      <c r="R17" s="144">
        <v>3500000</v>
      </c>
      <c r="S17" s="180">
        <v>0.1</v>
      </c>
      <c r="T17" s="181">
        <f t="shared" si="1"/>
        <v>3150000</v>
      </c>
      <c r="U17" s="182" t="s">
        <v>194</v>
      </c>
      <c r="V17" s="184">
        <f t="shared" si="2"/>
        <v>9450000</v>
      </c>
      <c r="X17" s="112" t="s">
        <v>331</v>
      </c>
      <c r="Y17" s="121">
        <v>19.352024416962468</v>
      </c>
      <c r="Z17" s="121">
        <v>15.233170338359997</v>
      </c>
      <c r="AA17" s="121">
        <v>23.175353037719997</v>
      </c>
      <c r="AB17" s="121">
        <v>13.016010960302998</v>
      </c>
      <c r="AC17" s="121">
        <v>22.961417482613999</v>
      </c>
    </row>
    <row r="18" spans="1:29" s="24" customFormat="1" ht="15" customHeight="1">
      <c r="A18" s="133" t="s">
        <v>184</v>
      </c>
      <c r="B18" s="204"/>
      <c r="C18" s="133" t="s">
        <v>230</v>
      </c>
      <c r="D18" s="137" t="s">
        <v>249</v>
      </c>
      <c r="E18" s="137" t="s">
        <v>236</v>
      </c>
      <c r="F18" s="137">
        <v>1</v>
      </c>
      <c r="G18" s="138">
        <v>3</v>
      </c>
      <c r="H18" s="133" t="s">
        <v>186</v>
      </c>
      <c r="I18" s="133" t="s">
        <v>4</v>
      </c>
      <c r="J18" s="137" t="s">
        <v>219</v>
      </c>
      <c r="K18" s="133">
        <v>10</v>
      </c>
      <c r="L18" s="133" t="s">
        <v>187</v>
      </c>
      <c r="M18" s="133">
        <v>1</v>
      </c>
      <c r="N18" s="157" t="s">
        <v>188</v>
      </c>
      <c r="O18" s="163">
        <v>185189</v>
      </c>
      <c r="P18" s="132">
        <v>75.926070182487592</v>
      </c>
      <c r="Q18" s="179">
        <v>243907</v>
      </c>
      <c r="R18" s="144">
        <v>3500000</v>
      </c>
      <c r="S18" s="180">
        <v>0.1</v>
      </c>
      <c r="T18" s="181">
        <f t="shared" si="1"/>
        <v>3150000</v>
      </c>
      <c r="U18" s="182" t="s">
        <v>194</v>
      </c>
      <c r="V18" s="184">
        <f t="shared" si="2"/>
        <v>9450000</v>
      </c>
      <c r="X18" s="112" t="s">
        <v>332</v>
      </c>
      <c r="Y18" s="122">
        <v>18.110682981875943</v>
      </c>
      <c r="Z18" s="122">
        <v>13.248223922777999</v>
      </c>
      <c r="AA18" s="122">
        <v>22.563009952586999</v>
      </c>
      <c r="AB18" s="122">
        <v>11.521658123937</v>
      </c>
      <c r="AC18" s="122">
        <v>21.449586251223</v>
      </c>
    </row>
    <row r="19" spans="1:29" s="24" customFormat="1" ht="15" customHeight="1">
      <c r="A19" s="133" t="s">
        <v>184</v>
      </c>
      <c r="B19" s="204"/>
      <c r="C19" s="133" t="s">
        <v>230</v>
      </c>
      <c r="D19" s="137" t="s">
        <v>250</v>
      </c>
      <c r="E19" s="137" t="s">
        <v>236</v>
      </c>
      <c r="F19" s="137">
        <v>1</v>
      </c>
      <c r="G19" s="138">
        <v>3</v>
      </c>
      <c r="H19" s="133" t="s">
        <v>186</v>
      </c>
      <c r="I19" s="133" t="s">
        <v>4</v>
      </c>
      <c r="J19" s="137" t="s">
        <v>219</v>
      </c>
      <c r="K19" s="133">
        <v>10</v>
      </c>
      <c r="L19" s="133" t="s">
        <v>187</v>
      </c>
      <c r="M19" s="133">
        <v>1</v>
      </c>
      <c r="N19" s="157" t="s">
        <v>188</v>
      </c>
      <c r="O19" s="163">
        <v>213712</v>
      </c>
      <c r="P19" s="132">
        <v>87.620281500735942</v>
      </c>
      <c r="Q19" s="179">
        <v>243907</v>
      </c>
      <c r="R19" s="144">
        <v>3500000</v>
      </c>
      <c r="S19" s="180">
        <v>0.1</v>
      </c>
      <c r="T19" s="181">
        <f t="shared" si="1"/>
        <v>3150000</v>
      </c>
      <c r="U19" s="182" t="s">
        <v>194</v>
      </c>
      <c r="V19" s="184">
        <f t="shared" si="2"/>
        <v>9450000</v>
      </c>
      <c r="X19" s="112" t="s">
        <v>333</v>
      </c>
      <c r="Y19" s="123">
        <v>16.888877170675901</v>
      </c>
      <c r="Z19" s="123">
        <v>11.447849358659999</v>
      </c>
      <c r="AA19" s="123">
        <v>21.903325386071998</v>
      </c>
      <c r="AB19" s="123">
        <v>10.083136275108</v>
      </c>
      <c r="AC19" s="123">
        <v>19.918179217403996</v>
      </c>
    </row>
    <row r="20" spans="1:29" s="24" customFormat="1" ht="15" customHeight="1">
      <c r="A20" s="133" t="s">
        <v>184</v>
      </c>
      <c r="B20" s="204"/>
      <c r="C20" s="133" t="s">
        <v>230</v>
      </c>
      <c r="D20" s="137" t="s">
        <v>251</v>
      </c>
      <c r="E20" s="137" t="s">
        <v>192</v>
      </c>
      <c r="F20" s="137">
        <v>1</v>
      </c>
      <c r="G20" s="138">
        <v>3</v>
      </c>
      <c r="H20" s="133" t="s">
        <v>186</v>
      </c>
      <c r="I20" s="133" t="s">
        <v>4</v>
      </c>
      <c r="J20" s="137" t="s">
        <v>219</v>
      </c>
      <c r="K20" s="133">
        <v>10</v>
      </c>
      <c r="L20" s="133" t="s">
        <v>187</v>
      </c>
      <c r="M20" s="133">
        <v>1</v>
      </c>
      <c r="N20" s="157" t="s">
        <v>188</v>
      </c>
      <c r="O20" s="163">
        <v>279105</v>
      </c>
      <c r="P20" s="132">
        <v>114.43091014198035</v>
      </c>
      <c r="Q20" s="179">
        <v>243907</v>
      </c>
      <c r="R20" s="144">
        <v>3500000</v>
      </c>
      <c r="S20" s="180">
        <v>0.1</v>
      </c>
      <c r="T20" s="181">
        <f t="shared" si="1"/>
        <v>3150000</v>
      </c>
      <c r="U20" s="182" t="s">
        <v>194</v>
      </c>
      <c r="V20" s="184">
        <f t="shared" si="2"/>
        <v>9450000</v>
      </c>
      <c r="X20" s="112" t="s">
        <v>334</v>
      </c>
      <c r="Y20" s="124">
        <v>14.619911164343266</v>
      </c>
      <c r="Z20" s="124">
        <v>8.5489326980850002</v>
      </c>
      <c r="AA20" s="124">
        <v>20.446526129874002</v>
      </c>
      <c r="AB20" s="124">
        <v>7.6165851691799986</v>
      </c>
      <c r="AC20" s="124">
        <v>16.932270087875999</v>
      </c>
    </row>
    <row r="21" spans="1:29" s="24" customFormat="1" ht="15" customHeight="1">
      <c r="A21" s="133" t="s">
        <v>184</v>
      </c>
      <c r="B21" s="204"/>
      <c r="C21" s="187" t="s">
        <v>310</v>
      </c>
      <c r="D21" s="190" t="s">
        <v>311</v>
      </c>
      <c r="E21" s="191" t="s">
        <v>192</v>
      </c>
      <c r="F21" s="137">
        <v>1</v>
      </c>
      <c r="G21" s="138">
        <v>3</v>
      </c>
      <c r="H21" s="133" t="s">
        <v>186</v>
      </c>
      <c r="I21" s="133" t="s">
        <v>4</v>
      </c>
      <c r="J21" s="137" t="s">
        <v>219</v>
      </c>
      <c r="K21" s="133">
        <v>10</v>
      </c>
      <c r="L21" s="133" t="s">
        <v>187</v>
      </c>
      <c r="M21" s="133">
        <v>1</v>
      </c>
      <c r="N21" s="157" t="s">
        <v>188</v>
      </c>
      <c r="O21" s="163">
        <v>175153</v>
      </c>
      <c r="P21" s="132">
        <v>71.811387127060726</v>
      </c>
      <c r="Q21" s="179">
        <v>243907</v>
      </c>
      <c r="R21" s="144">
        <v>3500000</v>
      </c>
      <c r="S21" s="180">
        <v>0.1</v>
      </c>
      <c r="T21" s="181">
        <f t="shared" si="1"/>
        <v>3150000</v>
      </c>
      <c r="U21" s="182" t="s">
        <v>194</v>
      </c>
      <c r="V21" s="184">
        <f t="shared" si="2"/>
        <v>9450000</v>
      </c>
      <c r="X21" s="112" t="s">
        <v>335</v>
      </c>
      <c r="Y21" s="125">
        <v>12.627011808303598</v>
      </c>
      <c r="Z21" s="125">
        <v>6.4868815913070001</v>
      </c>
      <c r="AA21" s="125">
        <v>18.835916997456</v>
      </c>
      <c r="AB21" s="125">
        <v>5.8240009754160003</v>
      </c>
      <c r="AC21" s="125">
        <v>14.113554291329999</v>
      </c>
    </row>
    <row r="22" spans="1:29" s="24" customFormat="1" ht="15" customHeight="1">
      <c r="A22" s="133" t="s">
        <v>184</v>
      </c>
      <c r="B22" s="204"/>
      <c r="C22" s="187" t="s">
        <v>310</v>
      </c>
      <c r="D22" s="188" t="s">
        <v>312</v>
      </c>
      <c r="E22" s="191" t="s">
        <v>192</v>
      </c>
      <c r="F22" s="137">
        <v>1</v>
      </c>
      <c r="G22" s="138">
        <v>3</v>
      </c>
      <c r="H22" s="133" t="s">
        <v>186</v>
      </c>
      <c r="I22" s="133" t="s">
        <v>4</v>
      </c>
      <c r="J22" s="137" t="s">
        <v>219</v>
      </c>
      <c r="K22" s="133">
        <v>10</v>
      </c>
      <c r="L22" s="133" t="s">
        <v>187</v>
      </c>
      <c r="M22" s="133">
        <v>1</v>
      </c>
      <c r="N22" s="157" t="s">
        <v>188</v>
      </c>
      <c r="O22" s="163">
        <v>218720</v>
      </c>
      <c r="P22" s="132">
        <v>89.673523105117937</v>
      </c>
      <c r="Q22" s="179">
        <v>243907</v>
      </c>
      <c r="R22" s="144">
        <v>3500000</v>
      </c>
      <c r="S22" s="180">
        <v>0.1</v>
      </c>
      <c r="T22" s="181">
        <f t="shared" ref="T22:T37" si="3">R22*(100%-S22)</f>
        <v>3150000</v>
      </c>
      <c r="U22" s="182" t="s">
        <v>194</v>
      </c>
      <c r="V22" s="184">
        <f t="shared" ref="V22:V37" si="4">T22*G22</f>
        <v>9450000</v>
      </c>
      <c r="X22" s="112" t="s">
        <v>336</v>
      </c>
      <c r="Y22" s="126">
        <v>8.3992542038550209</v>
      </c>
      <c r="Z22" s="126">
        <v>3.1876597463879994</v>
      </c>
      <c r="AA22" s="126">
        <v>14.432559969671999</v>
      </c>
      <c r="AB22" s="126">
        <v>3.2191208574329999</v>
      </c>
      <c r="AC22" s="126">
        <v>7.6970856628379991</v>
      </c>
    </row>
    <row r="23" spans="1:29" s="24" customFormat="1" ht="15" customHeight="1">
      <c r="A23" s="133" t="s">
        <v>184</v>
      </c>
      <c r="B23" s="204"/>
      <c r="C23" s="192" t="s">
        <v>310</v>
      </c>
      <c r="D23" s="193" t="s">
        <v>313</v>
      </c>
      <c r="E23" s="189" t="s">
        <v>192</v>
      </c>
      <c r="F23" s="137">
        <v>1</v>
      </c>
      <c r="G23" s="138">
        <v>3</v>
      </c>
      <c r="H23" s="133" t="s">
        <v>186</v>
      </c>
      <c r="I23" s="133" t="s">
        <v>4</v>
      </c>
      <c r="J23" s="137" t="s">
        <v>219</v>
      </c>
      <c r="K23" s="133">
        <v>10</v>
      </c>
      <c r="L23" s="133" t="s">
        <v>187</v>
      </c>
      <c r="M23" s="133">
        <v>1</v>
      </c>
      <c r="N23" s="157" t="s">
        <v>188</v>
      </c>
      <c r="O23" s="163">
        <v>167252</v>
      </c>
      <c r="P23" s="132">
        <v>68.57203770289496</v>
      </c>
      <c r="Q23" s="179">
        <v>243907</v>
      </c>
      <c r="R23" s="144">
        <v>3500000</v>
      </c>
      <c r="S23" s="180">
        <v>0.1</v>
      </c>
      <c r="T23" s="181">
        <f t="shared" si="3"/>
        <v>3150000</v>
      </c>
      <c r="U23" s="182" t="s">
        <v>194</v>
      </c>
      <c r="V23" s="184">
        <f t="shared" si="4"/>
        <v>9450000</v>
      </c>
      <c r="X23" s="112" t="s">
        <v>337</v>
      </c>
      <c r="Y23" s="127">
        <v>4.8634224566513788</v>
      </c>
      <c r="Z23" s="127">
        <v>1.30538641701</v>
      </c>
      <c r="AA23" s="127">
        <v>9.3867970173120003</v>
      </c>
      <c r="AB23" s="127">
        <v>1.6075129595850002</v>
      </c>
      <c r="AC23" s="127">
        <v>3.3829183879529996</v>
      </c>
    </row>
    <row r="24" spans="1:29" s="24" customFormat="1" ht="15" customHeight="1">
      <c r="A24" s="133" t="s">
        <v>184</v>
      </c>
      <c r="B24" s="204"/>
      <c r="C24" s="133" t="s">
        <v>228</v>
      </c>
      <c r="D24" s="137" t="s">
        <v>252</v>
      </c>
      <c r="E24" s="137" t="s">
        <v>236</v>
      </c>
      <c r="F24" s="137">
        <v>1</v>
      </c>
      <c r="G24" s="138">
        <v>3</v>
      </c>
      <c r="H24" s="133" t="s">
        <v>186</v>
      </c>
      <c r="I24" s="133" t="s">
        <v>4</v>
      </c>
      <c r="J24" s="137" t="s">
        <v>219</v>
      </c>
      <c r="K24" s="133">
        <v>10</v>
      </c>
      <c r="L24" s="133" t="s">
        <v>187</v>
      </c>
      <c r="M24" s="133">
        <v>1</v>
      </c>
      <c r="N24" s="157" t="s">
        <v>188</v>
      </c>
      <c r="O24" s="163">
        <v>190431</v>
      </c>
      <c r="P24" s="132">
        <v>113.84375336274614</v>
      </c>
      <c r="Q24" s="179">
        <v>167274</v>
      </c>
      <c r="R24" s="144">
        <v>3500000</v>
      </c>
      <c r="S24" s="180">
        <v>0.1</v>
      </c>
      <c r="T24" s="181">
        <f t="shared" si="3"/>
        <v>3150000</v>
      </c>
      <c r="U24" s="182" t="s">
        <v>194</v>
      </c>
      <c r="V24" s="184">
        <f t="shared" si="4"/>
        <v>9450000</v>
      </c>
      <c r="X24" s="112" t="s">
        <v>338</v>
      </c>
      <c r="Y24" s="128">
        <v>1.0307443811330648</v>
      </c>
      <c r="Z24" s="128">
        <v>8.4395678835000001E-2</v>
      </c>
      <c r="AA24" s="128">
        <v>2.1521397485640001</v>
      </c>
      <c r="AB24" s="128">
        <v>0.35496123382200001</v>
      </c>
      <c r="AC24" s="128">
        <v>0.55521370253699986</v>
      </c>
    </row>
    <row r="25" spans="1:29" s="24" customFormat="1" ht="15" customHeight="1">
      <c r="A25" s="133" t="s">
        <v>184</v>
      </c>
      <c r="B25" s="204"/>
      <c r="C25" s="133" t="s">
        <v>228</v>
      </c>
      <c r="D25" s="137" t="s">
        <v>253</v>
      </c>
      <c r="E25" s="137" t="s">
        <v>236</v>
      </c>
      <c r="F25" s="137">
        <v>1</v>
      </c>
      <c r="G25" s="138">
        <v>3</v>
      </c>
      <c r="H25" s="133" t="s">
        <v>186</v>
      </c>
      <c r="I25" s="133" t="s">
        <v>4</v>
      </c>
      <c r="J25" s="137" t="s">
        <v>219</v>
      </c>
      <c r="K25" s="133">
        <v>10</v>
      </c>
      <c r="L25" s="133" t="s">
        <v>187</v>
      </c>
      <c r="M25" s="133">
        <v>1</v>
      </c>
      <c r="N25" s="157" t="s">
        <v>188</v>
      </c>
      <c r="O25" s="163">
        <v>111598</v>
      </c>
      <c r="P25" s="132">
        <v>66.715688032808458</v>
      </c>
      <c r="Q25" s="179">
        <v>167274</v>
      </c>
      <c r="R25" s="144">
        <v>3500000</v>
      </c>
      <c r="S25" s="180">
        <v>0.1</v>
      </c>
      <c r="T25" s="181">
        <f t="shared" si="3"/>
        <v>3150000</v>
      </c>
      <c r="U25" s="182" t="s">
        <v>194</v>
      </c>
      <c r="V25" s="184">
        <f t="shared" si="4"/>
        <v>9450000</v>
      </c>
      <c r="X25" s="112" t="s">
        <v>339</v>
      </c>
      <c r="Y25" s="129">
        <v>0.27649964882909311</v>
      </c>
      <c r="Z25" s="129">
        <v>0</v>
      </c>
      <c r="AA25" s="129">
        <v>0.6969385170539999</v>
      </c>
      <c r="AB25" s="129">
        <v>6.3321728261999999E-2</v>
      </c>
      <c r="AC25" s="129">
        <v>0</v>
      </c>
    </row>
    <row r="26" spans="1:29" s="24" customFormat="1" ht="15" customHeight="1">
      <c r="A26" s="133" t="s">
        <v>184</v>
      </c>
      <c r="B26" s="204"/>
      <c r="C26" s="133" t="s">
        <v>228</v>
      </c>
      <c r="D26" s="137" t="s">
        <v>254</v>
      </c>
      <c r="E26" s="137" t="s">
        <v>236</v>
      </c>
      <c r="F26" s="137">
        <v>1</v>
      </c>
      <c r="G26" s="138">
        <v>3</v>
      </c>
      <c r="H26" s="133" t="s">
        <v>186</v>
      </c>
      <c r="I26" s="133" t="s">
        <v>4</v>
      </c>
      <c r="J26" s="137" t="s">
        <v>219</v>
      </c>
      <c r="K26" s="133">
        <v>10</v>
      </c>
      <c r="L26" s="133" t="s">
        <v>187</v>
      </c>
      <c r="M26" s="133">
        <v>1</v>
      </c>
      <c r="N26" s="157" t="s">
        <v>188</v>
      </c>
      <c r="O26" s="163">
        <v>85101</v>
      </c>
      <c r="P26" s="132">
        <v>50.875210732092256</v>
      </c>
      <c r="Q26" s="179">
        <v>167274</v>
      </c>
      <c r="R26" s="144">
        <v>3500000</v>
      </c>
      <c r="S26" s="180">
        <v>0.1</v>
      </c>
      <c r="T26" s="181">
        <f t="shared" si="3"/>
        <v>3150000</v>
      </c>
      <c r="U26" s="182" t="s">
        <v>194</v>
      </c>
      <c r="V26" s="184">
        <f t="shared" si="4"/>
        <v>9450000</v>
      </c>
      <c r="X26" s="112" t="s">
        <v>340</v>
      </c>
      <c r="Y26" s="130">
        <v>4.2679330441148154E-2</v>
      </c>
      <c r="Z26" s="130">
        <v>0</v>
      </c>
      <c r="AA26" s="130">
        <v>0.10756703681100001</v>
      </c>
      <c r="AB26" s="130">
        <v>9.7879012139999982E-3</v>
      </c>
      <c r="AC26" s="130">
        <v>0</v>
      </c>
    </row>
    <row r="27" spans="1:29" s="24" customFormat="1" ht="15" customHeight="1">
      <c r="A27" s="133" t="s">
        <v>184</v>
      </c>
      <c r="B27" s="204"/>
      <c r="C27" s="133" t="s">
        <v>228</v>
      </c>
      <c r="D27" s="137" t="s">
        <v>255</v>
      </c>
      <c r="E27" s="137" t="s">
        <v>236</v>
      </c>
      <c r="F27" s="137">
        <v>1</v>
      </c>
      <c r="G27" s="138">
        <v>3</v>
      </c>
      <c r="H27" s="133" t="s">
        <v>186</v>
      </c>
      <c r="I27" s="133" t="s">
        <v>4</v>
      </c>
      <c r="J27" s="137" t="s">
        <v>219</v>
      </c>
      <c r="K27" s="133">
        <v>10</v>
      </c>
      <c r="L27" s="133" t="s">
        <v>187</v>
      </c>
      <c r="M27" s="133">
        <v>1</v>
      </c>
      <c r="N27" s="157" t="s">
        <v>188</v>
      </c>
      <c r="O27" s="163">
        <v>102086</v>
      </c>
      <c r="P27" s="132">
        <v>61.029209560362041</v>
      </c>
      <c r="Q27" s="179">
        <v>167274</v>
      </c>
      <c r="R27" s="144">
        <v>3500000</v>
      </c>
      <c r="S27" s="180">
        <v>0.1</v>
      </c>
      <c r="T27" s="181">
        <f t="shared" si="3"/>
        <v>3150000</v>
      </c>
      <c r="U27" s="182" t="s">
        <v>194</v>
      </c>
      <c r="V27" s="184">
        <f t="shared" si="4"/>
        <v>9450000</v>
      </c>
      <c r="X27" s="112" t="s">
        <v>319</v>
      </c>
      <c r="Y27" s="131">
        <v>3803219</v>
      </c>
      <c r="Z27" s="131">
        <v>436741</v>
      </c>
      <c r="AA27" s="131">
        <v>1695842</v>
      </c>
      <c r="AB27" s="131">
        <v>772689</v>
      </c>
      <c r="AC27" s="131">
        <v>897947</v>
      </c>
    </row>
    <row r="28" spans="1:29" s="24" customFormat="1" ht="15" customHeight="1">
      <c r="A28" s="133" t="s">
        <v>184</v>
      </c>
      <c r="B28" s="204"/>
      <c r="C28" s="133" t="s">
        <v>228</v>
      </c>
      <c r="D28" s="137" t="s">
        <v>256</v>
      </c>
      <c r="E28" s="137" t="s">
        <v>192</v>
      </c>
      <c r="F28" s="137">
        <v>1</v>
      </c>
      <c r="G28" s="138">
        <v>3</v>
      </c>
      <c r="H28" s="133" t="s">
        <v>186</v>
      </c>
      <c r="I28" s="133" t="s">
        <v>4</v>
      </c>
      <c r="J28" s="137" t="s">
        <v>219</v>
      </c>
      <c r="K28" s="133">
        <v>10</v>
      </c>
      <c r="L28" s="133" t="s">
        <v>187</v>
      </c>
      <c r="M28" s="133">
        <v>1</v>
      </c>
      <c r="N28" s="157" t="s">
        <v>188</v>
      </c>
      <c r="O28" s="163">
        <v>114469</v>
      </c>
      <c r="P28" s="132">
        <v>68.432033669309035</v>
      </c>
      <c r="Q28" s="179">
        <v>167274</v>
      </c>
      <c r="R28" s="144">
        <v>3500000</v>
      </c>
      <c r="S28" s="180">
        <v>0.1</v>
      </c>
      <c r="T28" s="181">
        <f t="shared" si="3"/>
        <v>3150000</v>
      </c>
      <c r="U28" s="182" t="s">
        <v>194</v>
      </c>
      <c r="V28" s="184">
        <f t="shared" si="4"/>
        <v>9450000</v>
      </c>
      <c r="X28" s="112" t="s">
        <v>320</v>
      </c>
      <c r="Y28" s="131">
        <v>582.33868325233425</v>
      </c>
      <c r="Z28" s="131">
        <v>452.53914142722437</v>
      </c>
      <c r="AA28" s="131">
        <v>695.28221822251919</v>
      </c>
      <c r="AB28" s="131">
        <v>461.93012661860178</v>
      </c>
      <c r="AC28" s="131">
        <v>617.55316222387273</v>
      </c>
    </row>
    <row r="29" spans="1:29" s="24" customFormat="1" ht="15" customHeight="1">
      <c r="A29" s="133" t="s">
        <v>184</v>
      </c>
      <c r="B29" s="204"/>
      <c r="C29" s="192" t="s">
        <v>228</v>
      </c>
      <c r="D29" s="193" t="s">
        <v>314</v>
      </c>
      <c r="E29" s="189" t="s">
        <v>192</v>
      </c>
      <c r="F29" s="137">
        <v>1</v>
      </c>
      <c r="G29" s="138">
        <v>3</v>
      </c>
      <c r="H29" s="133" t="s">
        <v>186</v>
      </c>
      <c r="I29" s="133" t="s">
        <v>4</v>
      </c>
      <c r="J29" s="137" t="s">
        <v>219</v>
      </c>
      <c r="K29" s="133">
        <v>10</v>
      </c>
      <c r="L29" s="133" t="s">
        <v>187</v>
      </c>
      <c r="M29" s="133">
        <v>1</v>
      </c>
      <c r="N29" s="157" t="s">
        <v>188</v>
      </c>
      <c r="O29" s="163">
        <v>90893</v>
      </c>
      <c r="P29" s="132">
        <v>54.337793082009156</v>
      </c>
      <c r="Q29" s="179">
        <v>167274</v>
      </c>
      <c r="R29" s="144">
        <v>3500000</v>
      </c>
      <c r="S29" s="180">
        <v>0.1</v>
      </c>
      <c r="T29" s="181">
        <f t="shared" si="3"/>
        <v>3150000</v>
      </c>
      <c r="U29" s="182" t="s">
        <v>194</v>
      </c>
      <c r="V29" s="184">
        <f t="shared" si="4"/>
        <v>9450000</v>
      </c>
      <c r="X29" s="112" t="s">
        <v>321</v>
      </c>
      <c r="Y29" s="131">
        <v>653094</v>
      </c>
      <c r="Z29" s="131">
        <v>96509</v>
      </c>
      <c r="AA29" s="131">
        <v>243907</v>
      </c>
      <c r="AB29" s="131">
        <v>167274</v>
      </c>
      <c r="AC29" s="131">
        <v>145404</v>
      </c>
    </row>
    <row r="30" spans="1:29" s="24" customFormat="1" ht="15" customHeight="1">
      <c r="A30" s="133" t="s">
        <v>184</v>
      </c>
      <c r="B30" s="204"/>
      <c r="C30" s="192" t="s">
        <v>228</v>
      </c>
      <c r="D30" s="193" t="s">
        <v>315</v>
      </c>
      <c r="E30" s="189" t="s">
        <v>192</v>
      </c>
      <c r="F30" s="137">
        <v>1</v>
      </c>
      <c r="G30" s="138">
        <v>3</v>
      </c>
      <c r="H30" s="133" t="s">
        <v>186</v>
      </c>
      <c r="I30" s="133" t="s">
        <v>4</v>
      </c>
      <c r="J30" s="137" t="s">
        <v>219</v>
      </c>
      <c r="K30" s="133">
        <v>10</v>
      </c>
      <c r="L30" s="133" t="s">
        <v>187</v>
      </c>
      <c r="M30" s="133">
        <v>1</v>
      </c>
      <c r="N30" s="157" t="s">
        <v>188</v>
      </c>
      <c r="O30" s="163">
        <v>78111</v>
      </c>
      <c r="P30" s="132">
        <v>46.696438179274722</v>
      </c>
      <c r="Q30" s="179">
        <v>167274</v>
      </c>
      <c r="R30" s="144">
        <v>3500000</v>
      </c>
      <c r="S30" s="180">
        <v>0.1</v>
      </c>
      <c r="T30" s="181">
        <f t="shared" si="3"/>
        <v>3150000</v>
      </c>
      <c r="U30" s="182" t="s">
        <v>194</v>
      </c>
      <c r="V30" s="184">
        <f t="shared" si="4"/>
        <v>9450000</v>
      </c>
      <c r="X30" s="112" t="s">
        <v>341</v>
      </c>
      <c r="Y30" s="131">
        <v>196662</v>
      </c>
      <c r="Z30" s="131">
        <v>31889</v>
      </c>
      <c r="AA30" s="131">
        <v>71390</v>
      </c>
      <c r="AB30" s="131">
        <v>42118</v>
      </c>
      <c r="AC30" s="131">
        <v>51264</v>
      </c>
    </row>
    <row r="31" spans="1:29" s="24" customFormat="1" ht="15" customHeight="1">
      <c r="A31" s="133" t="s">
        <v>184</v>
      </c>
      <c r="B31" s="204"/>
      <c r="C31" s="133" t="s">
        <v>229</v>
      </c>
      <c r="D31" s="137" t="s">
        <v>257</v>
      </c>
      <c r="E31" s="137" t="s">
        <v>192</v>
      </c>
      <c r="F31" s="137">
        <v>1</v>
      </c>
      <c r="G31" s="138">
        <v>3</v>
      </c>
      <c r="H31" s="133" t="s">
        <v>186</v>
      </c>
      <c r="I31" s="133" t="s">
        <v>4</v>
      </c>
      <c r="J31" s="137" t="s">
        <v>219</v>
      </c>
      <c r="K31" s="133">
        <v>10</v>
      </c>
      <c r="L31" s="133" t="s">
        <v>187</v>
      </c>
      <c r="M31" s="133">
        <v>1</v>
      </c>
      <c r="N31" s="157" t="s">
        <v>188</v>
      </c>
      <c r="O31" s="163">
        <v>101026</v>
      </c>
      <c r="P31" s="132">
        <v>69.479519132898687</v>
      </c>
      <c r="Q31" s="179">
        <v>145404</v>
      </c>
      <c r="R31" s="144">
        <v>3500000</v>
      </c>
      <c r="S31" s="180">
        <v>0.1</v>
      </c>
      <c r="T31" s="181">
        <f t="shared" si="3"/>
        <v>3150000</v>
      </c>
      <c r="U31" s="182" t="s">
        <v>194</v>
      </c>
      <c r="V31" s="184">
        <f t="shared" si="4"/>
        <v>9450000</v>
      </c>
      <c r="X31" s="61"/>
    </row>
    <row r="32" spans="1:29" s="24" customFormat="1" ht="15" customHeight="1">
      <c r="A32" s="133" t="s">
        <v>184</v>
      </c>
      <c r="B32" s="204"/>
      <c r="C32" s="133" t="s">
        <v>229</v>
      </c>
      <c r="D32" s="137" t="s">
        <v>258</v>
      </c>
      <c r="E32" s="137" t="s">
        <v>192</v>
      </c>
      <c r="F32" s="137">
        <v>1</v>
      </c>
      <c r="G32" s="138">
        <v>3</v>
      </c>
      <c r="H32" s="133" t="s">
        <v>186</v>
      </c>
      <c r="I32" s="133" t="s">
        <v>4</v>
      </c>
      <c r="J32" s="137" t="s">
        <v>219</v>
      </c>
      <c r="K32" s="133">
        <v>10</v>
      </c>
      <c r="L32" s="133" t="s">
        <v>187</v>
      </c>
      <c r="M32" s="133">
        <v>1</v>
      </c>
      <c r="N32" s="157" t="s">
        <v>188</v>
      </c>
      <c r="O32" s="163">
        <v>129785</v>
      </c>
      <c r="P32" s="132">
        <v>89.258204726142338</v>
      </c>
      <c r="Q32" s="179">
        <v>145404</v>
      </c>
      <c r="R32" s="144">
        <v>3500000</v>
      </c>
      <c r="S32" s="180">
        <v>0.1</v>
      </c>
      <c r="T32" s="181">
        <f t="shared" si="3"/>
        <v>3150000</v>
      </c>
      <c r="U32" s="182" t="s">
        <v>194</v>
      </c>
      <c r="V32" s="184">
        <f t="shared" si="4"/>
        <v>9450000</v>
      </c>
      <c r="W32" s="61"/>
      <c r="X32" s="61"/>
    </row>
    <row r="33" spans="1:24" s="24" customFormat="1" ht="15" customHeight="1">
      <c r="A33" s="133" t="s">
        <v>184</v>
      </c>
      <c r="B33" s="204"/>
      <c r="C33" s="133" t="s">
        <v>229</v>
      </c>
      <c r="D33" s="137" t="s">
        <v>259</v>
      </c>
      <c r="E33" s="137" t="s">
        <v>192</v>
      </c>
      <c r="F33" s="137">
        <v>1</v>
      </c>
      <c r="G33" s="138">
        <v>3</v>
      </c>
      <c r="H33" s="133" t="s">
        <v>186</v>
      </c>
      <c r="I33" s="133" t="s">
        <v>4</v>
      </c>
      <c r="J33" s="137" t="s">
        <v>219</v>
      </c>
      <c r="K33" s="133">
        <v>10</v>
      </c>
      <c r="L33" s="133" t="s">
        <v>187</v>
      </c>
      <c r="M33" s="133">
        <v>1</v>
      </c>
      <c r="N33" s="157" t="s">
        <v>188</v>
      </c>
      <c r="O33" s="163">
        <v>194038</v>
      </c>
      <c r="P33" s="132">
        <v>133.44749800555692</v>
      </c>
      <c r="Q33" s="179">
        <v>145404</v>
      </c>
      <c r="R33" s="144">
        <v>3500000</v>
      </c>
      <c r="S33" s="180">
        <v>0.1</v>
      </c>
      <c r="T33" s="181">
        <f t="shared" si="3"/>
        <v>3150000</v>
      </c>
      <c r="U33" s="182" t="s">
        <v>194</v>
      </c>
      <c r="V33" s="184">
        <f t="shared" si="4"/>
        <v>9450000</v>
      </c>
      <c r="X33" s="61"/>
    </row>
    <row r="34" spans="1:24" s="24" customFormat="1" ht="15" customHeight="1">
      <c r="A34" s="133" t="s">
        <v>184</v>
      </c>
      <c r="B34" s="204"/>
      <c r="C34" s="133" t="s">
        <v>229</v>
      </c>
      <c r="D34" s="137" t="s">
        <v>260</v>
      </c>
      <c r="E34" s="137" t="s">
        <v>192</v>
      </c>
      <c r="F34" s="137">
        <v>1</v>
      </c>
      <c r="G34" s="138">
        <v>3</v>
      </c>
      <c r="H34" s="133" t="s">
        <v>186</v>
      </c>
      <c r="I34" s="133" t="s">
        <v>4</v>
      </c>
      <c r="J34" s="137" t="s">
        <v>219</v>
      </c>
      <c r="K34" s="133">
        <v>10</v>
      </c>
      <c r="L34" s="133" t="s">
        <v>187</v>
      </c>
      <c r="M34" s="133">
        <v>1</v>
      </c>
      <c r="N34" s="157" t="s">
        <v>188</v>
      </c>
      <c r="O34" s="163">
        <v>130241</v>
      </c>
      <c r="P34" s="132">
        <v>89.571813705262585</v>
      </c>
      <c r="Q34" s="179">
        <v>145404</v>
      </c>
      <c r="R34" s="144">
        <v>3500000</v>
      </c>
      <c r="S34" s="180">
        <v>0.1</v>
      </c>
      <c r="T34" s="181">
        <f t="shared" si="3"/>
        <v>3150000</v>
      </c>
      <c r="U34" s="182" t="s">
        <v>194</v>
      </c>
      <c r="V34" s="184">
        <f t="shared" si="4"/>
        <v>9450000</v>
      </c>
      <c r="X34" s="61"/>
    </row>
    <row r="35" spans="1:24" s="24" customFormat="1" ht="15" customHeight="1">
      <c r="A35" s="133" t="s">
        <v>184</v>
      </c>
      <c r="B35" s="204"/>
      <c r="C35" s="192" t="s">
        <v>229</v>
      </c>
      <c r="D35" s="189" t="s">
        <v>316</v>
      </c>
      <c r="E35" s="189" t="s">
        <v>236</v>
      </c>
      <c r="F35" s="137">
        <v>1</v>
      </c>
      <c r="G35" s="138">
        <v>3</v>
      </c>
      <c r="H35" s="133" t="s">
        <v>186</v>
      </c>
      <c r="I35" s="133" t="s">
        <v>4</v>
      </c>
      <c r="J35" s="137" t="s">
        <v>219</v>
      </c>
      <c r="K35" s="133">
        <v>10</v>
      </c>
      <c r="L35" s="133" t="s">
        <v>187</v>
      </c>
      <c r="M35" s="133">
        <v>1</v>
      </c>
      <c r="N35" s="157" t="s">
        <v>188</v>
      </c>
      <c r="O35" s="163">
        <v>101344</v>
      </c>
      <c r="P35" s="132">
        <v>69.698220131495688</v>
      </c>
      <c r="Q35" s="179">
        <v>145404</v>
      </c>
      <c r="R35" s="144">
        <v>3500000</v>
      </c>
      <c r="S35" s="180">
        <v>0.1</v>
      </c>
      <c r="T35" s="181">
        <f t="shared" si="3"/>
        <v>3150000</v>
      </c>
      <c r="U35" s="182" t="s">
        <v>194</v>
      </c>
      <c r="V35" s="184">
        <f t="shared" si="4"/>
        <v>9450000</v>
      </c>
      <c r="X35" s="61"/>
    </row>
    <row r="36" spans="1:24" s="24" customFormat="1" ht="15" customHeight="1">
      <c r="A36" s="133" t="s">
        <v>184</v>
      </c>
      <c r="B36" s="204"/>
      <c r="C36" s="192" t="s">
        <v>229</v>
      </c>
      <c r="D36" s="189" t="s">
        <v>317</v>
      </c>
      <c r="E36" s="189" t="s">
        <v>236</v>
      </c>
      <c r="F36" s="137">
        <v>1</v>
      </c>
      <c r="G36" s="138">
        <v>3</v>
      </c>
      <c r="H36" s="133" t="s">
        <v>186</v>
      </c>
      <c r="I36" s="133" t="s">
        <v>4</v>
      </c>
      <c r="J36" s="137" t="s">
        <v>219</v>
      </c>
      <c r="K36" s="133">
        <v>10</v>
      </c>
      <c r="L36" s="133" t="s">
        <v>187</v>
      </c>
      <c r="M36" s="133">
        <v>1</v>
      </c>
      <c r="N36" s="157" t="s">
        <v>188</v>
      </c>
      <c r="O36" s="163">
        <v>107113</v>
      </c>
      <c r="P36" s="132">
        <v>73.665786360760364</v>
      </c>
      <c r="Q36" s="179">
        <v>145404</v>
      </c>
      <c r="R36" s="144">
        <v>3500000</v>
      </c>
      <c r="S36" s="180">
        <v>0.1</v>
      </c>
      <c r="T36" s="181">
        <f t="shared" si="3"/>
        <v>3150000</v>
      </c>
      <c r="U36" s="182" t="s">
        <v>194</v>
      </c>
      <c r="V36" s="184">
        <f t="shared" si="4"/>
        <v>9450000</v>
      </c>
      <c r="X36" s="61"/>
    </row>
    <row r="37" spans="1:24" s="24" customFormat="1" ht="15" customHeight="1">
      <c r="A37" s="133" t="s">
        <v>184</v>
      </c>
      <c r="B37" s="205"/>
      <c r="C37" s="192" t="s">
        <v>229</v>
      </c>
      <c r="D37" s="189" t="s">
        <v>318</v>
      </c>
      <c r="E37" s="189" t="s">
        <v>236</v>
      </c>
      <c r="F37" s="137">
        <v>1</v>
      </c>
      <c r="G37" s="138">
        <v>3</v>
      </c>
      <c r="H37" s="133" t="s">
        <v>186</v>
      </c>
      <c r="I37" s="133" t="s">
        <v>4</v>
      </c>
      <c r="J37" s="137" t="s">
        <v>219</v>
      </c>
      <c r="K37" s="133">
        <v>10</v>
      </c>
      <c r="L37" s="133" t="s">
        <v>187</v>
      </c>
      <c r="M37" s="133">
        <v>1</v>
      </c>
      <c r="N37" s="157" t="s">
        <v>188</v>
      </c>
      <c r="O37" s="163">
        <v>134400</v>
      </c>
      <c r="P37" s="132">
        <v>92.432120161756217</v>
      </c>
      <c r="Q37" s="179">
        <v>145404</v>
      </c>
      <c r="R37" s="144">
        <v>3500000</v>
      </c>
      <c r="S37" s="180">
        <v>0.1</v>
      </c>
      <c r="T37" s="181">
        <f t="shared" si="3"/>
        <v>3150000</v>
      </c>
      <c r="U37" s="182" t="s">
        <v>194</v>
      </c>
      <c r="V37" s="184">
        <f t="shared" si="4"/>
        <v>9450000</v>
      </c>
      <c r="X37" s="61"/>
    </row>
    <row r="38" spans="1:24" ht="15" customHeight="1" thickBot="1">
      <c r="A38" s="81"/>
      <c r="B38" s="194"/>
      <c r="C38" s="83"/>
      <c r="D38" s="84"/>
      <c r="E38" s="85"/>
      <c r="F38" s="85"/>
      <c r="G38" s="85"/>
      <c r="H38" s="85"/>
      <c r="I38" s="85"/>
      <c r="J38" s="85"/>
      <c r="K38" s="77"/>
      <c r="L38" s="85"/>
      <c r="M38" s="85"/>
      <c r="N38" s="158"/>
      <c r="O38" s="165"/>
      <c r="P38" s="166"/>
      <c r="Q38" s="167"/>
      <c r="R38" s="159">
        <f>SUM(R9:R37)</f>
        <v>99920000</v>
      </c>
      <c r="S38" s="86"/>
      <c r="T38" s="195">
        <f>SUM(T9:T37)</f>
        <v>89928000</v>
      </c>
      <c r="U38" s="195">
        <f>SUM(U9:U37)</f>
        <v>32500000</v>
      </c>
      <c r="V38" s="195">
        <f>SUM(V9:V37)</f>
        <v>421516000</v>
      </c>
    </row>
    <row r="39" spans="1:24">
      <c r="R39" s="13"/>
    </row>
    <row r="40" spans="1:24" ht="17" thickBot="1">
      <c r="B40" s="202"/>
      <c r="C40" s="202"/>
      <c r="D40" s="202"/>
      <c r="R40" s="13"/>
      <c r="S40" s="13"/>
      <c r="W40" s="6"/>
    </row>
    <row r="41" spans="1:24" ht="25" customHeight="1">
      <c r="R41" s="13"/>
      <c r="S41" s="13"/>
      <c r="U41" s="14" t="s">
        <v>172</v>
      </c>
      <c r="V41" s="15">
        <f>V38</f>
        <v>421516000</v>
      </c>
      <c r="W41" s="59"/>
      <c r="X41" s="60"/>
    </row>
    <row r="42" spans="1:24" ht="25" customHeight="1">
      <c r="R42" s="13"/>
      <c r="S42" s="13"/>
      <c r="U42" s="16" t="s">
        <v>166</v>
      </c>
      <c r="V42" s="17">
        <f>V41*5%</f>
        <v>21075800</v>
      </c>
    </row>
    <row r="43" spans="1:24" ht="25" customHeight="1" thickBot="1">
      <c r="R43" s="13"/>
      <c r="S43" s="13"/>
      <c r="U43" s="18" t="s">
        <v>173</v>
      </c>
      <c r="V43" s="19">
        <f>(V41+V42)*1.12</f>
        <v>495702816.00000006</v>
      </c>
      <c r="W43" s="6"/>
    </row>
    <row r="44" spans="1:24">
      <c r="R44" s="13"/>
      <c r="S44" s="13"/>
      <c r="W44" s="6"/>
    </row>
    <row r="45" spans="1:24">
      <c r="R45" s="13"/>
      <c r="S45" s="13"/>
      <c r="W45" s="6"/>
    </row>
    <row r="46" spans="1:24">
      <c r="R46" s="13"/>
      <c r="S46" s="13"/>
    </row>
    <row r="47" spans="1:24">
      <c r="R47" s="13"/>
    </row>
    <row r="48" spans="1:24">
      <c r="R48" s="13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K38 N38:Q38" name="Диапазон1"/>
    <protectedRange algorithmName="SHA-512" hashValue="20tZejZtY/ZGRcGLZm0ZbWfCu51ejQGMqdRYwv0b9rb/5Q/ejFDHQOXySZDQbnMuPhvZC4Bfbq/BWdBxp9Ls4w==" saltValue="Q+V8rXhHsE4u/j5xUQJeAg==" spinCount="100000" sqref="U10:U37" name="Диапазон1_10"/>
    <protectedRange algorithmName="SHA-512" hashValue="20tZejZtY/ZGRcGLZm0ZbWfCu51ejQGMqdRYwv0b9rb/5Q/ejFDHQOXySZDQbnMuPhvZC4Bfbq/BWdBxp9Ls4w==" saltValue="Q+V8rXhHsE4u/j5xUQJeAg==" spinCount="100000" sqref="T10:T37" name="Диапазон1_12"/>
    <protectedRange algorithmName="SHA-512" hashValue="20tZejZtY/ZGRcGLZm0ZbWfCu51ejQGMqdRYwv0b9rb/5Q/ejFDHQOXySZDQbnMuPhvZC4Bfbq/BWdBxp9Ls4w==" saltValue="Q+V8rXhHsE4u/j5xUQJeAg==" spinCount="100000" sqref="S10:S37" name="Диапазон1_14_5"/>
    <protectedRange algorithmName="SHA-512" hashValue="20tZejZtY/ZGRcGLZm0ZbWfCu51ejQGMqdRYwv0b9rb/5Q/ejFDHQOXySZDQbnMuPhvZC4Bfbq/BWdBxp9Ls4w==" saltValue="Q+V8rXhHsE4u/j5xUQJeAg==" spinCount="100000" sqref="F10:F37" name="Диапазон1_5_2_5"/>
    <protectedRange algorithmName="SHA-512" hashValue="20tZejZtY/ZGRcGLZm0ZbWfCu51ejQGMqdRYwv0b9rb/5Q/ejFDHQOXySZDQbnMuPhvZC4Bfbq/BWdBxp9Ls4w==" saltValue="Q+V8rXhHsE4u/j5xUQJeAg==" spinCount="100000" sqref="E10:E37" name="Диапазон1_8_3"/>
    <protectedRange algorithmName="SHA-512" hashValue="20tZejZtY/ZGRcGLZm0ZbWfCu51ejQGMqdRYwv0b9rb/5Q/ejFDHQOXySZDQbnMuPhvZC4Bfbq/BWdBxp9Ls4w==" saltValue="Q+V8rXhHsE4u/j5xUQJeAg==" spinCount="100000" sqref="L10:L37 N10:Q37" name="Диапазон1_4_4"/>
    <protectedRange algorithmName="SHA-512" hashValue="20tZejZtY/ZGRcGLZm0ZbWfCu51ejQGMqdRYwv0b9rb/5Q/ejFDHQOXySZDQbnMuPhvZC4Bfbq/BWdBxp9Ls4w==" saltValue="Q+V8rXhHsE4u/j5xUQJeAg==" spinCount="100000" sqref="M10:M37" name="Диапазон1_1_1_2"/>
    <protectedRange algorithmName="SHA-512" hashValue="20tZejZtY/ZGRcGLZm0ZbWfCu51ejQGMqdRYwv0b9rb/5Q/ejFDHQOXySZDQbnMuPhvZC4Bfbq/BWdBxp9Ls4w==" saltValue="Q+V8rXhHsE4u/j5xUQJeAg==" spinCount="100000" sqref="R10:R37" name="Диапазон1_14_1_2"/>
    <protectedRange algorithmName="SHA-512" hashValue="20tZejZtY/ZGRcGLZm0ZbWfCu51ejQGMqdRYwv0b9rb/5Q/ejFDHQOXySZDQbnMuPhvZC4Bfbq/BWdBxp9Ls4w==" saltValue="Q+V8rXhHsE4u/j5xUQJeAg==" spinCount="100000" sqref="C10:C37" name="Диапазон1_2_1_3"/>
    <protectedRange algorithmName="SHA-512" hashValue="20tZejZtY/ZGRcGLZm0ZbWfCu51ejQGMqdRYwv0b9rb/5Q/ejFDHQOXySZDQbnMuPhvZC4Bfbq/BWdBxp9Ls4w==" saltValue="Q+V8rXhHsE4u/j5xUQJeAg==" spinCount="100000" sqref="K10:K37" name="Диапазон1_7_1_2"/>
    <protectedRange algorithmName="SHA-512" hashValue="20tZejZtY/ZGRcGLZm0ZbWfCu51ejQGMqdRYwv0b9rb/5Q/ejFDHQOXySZDQbnMuPhvZC4Bfbq/BWdBxp9Ls4w==" saltValue="Q+V8rXhHsE4u/j5xUQJeAg==" spinCount="100000" sqref="I10:I37" name="Диапазон1_1_2_1_2"/>
    <protectedRange algorithmName="SHA-512" hashValue="20tZejZtY/ZGRcGLZm0ZbWfCu51ejQGMqdRYwv0b9rb/5Q/ejFDHQOXySZDQbnMuPhvZC4Bfbq/BWdBxp9Ls4w==" saltValue="Q+V8rXhHsE4u/j5xUQJeAg==" spinCount="100000" sqref="H10:H37 J10:J37" name="Диапазон1_5_2_1_2"/>
    <protectedRange algorithmName="SHA-512" hashValue="20tZejZtY/ZGRcGLZm0ZbWfCu51ejQGMqdRYwv0b9rb/5Q/ejFDHQOXySZDQbnMuPhvZC4Bfbq/BWdBxp9Ls4w==" saltValue="Q+V8rXhHsE4u/j5xUQJeAg==" spinCount="100000" sqref="D10:D37" name="Диапазон1_2_3_1_2"/>
    <protectedRange algorithmName="SHA-512" hashValue="20tZejZtY/ZGRcGLZm0ZbWfCu51ejQGMqdRYwv0b9rb/5Q/ejFDHQOXySZDQbnMuPhvZC4Bfbq/BWdBxp9Ls4w==" saltValue="Q+V8rXhHsE4u/j5xUQJeAg==" spinCount="100000" sqref="B10:B37" name="Диапазон1_2_1_1_1_2"/>
    <protectedRange algorithmName="SHA-512" hashValue="20tZejZtY/ZGRcGLZm0ZbWfCu51ejQGMqdRYwv0b9rb/5Q/ejFDHQOXySZDQbnMuPhvZC4Bfbq/BWdBxp9Ls4w==" saltValue="Q+V8rXhHsE4u/j5xUQJeAg==" spinCount="100000" sqref="N9:Q9" name="Диапазон1_3_2_1"/>
    <protectedRange algorithmName="SHA-512" hashValue="20tZejZtY/ZGRcGLZm0ZbWfCu51ejQGMqdRYwv0b9rb/5Q/ejFDHQOXySZDQbnMuPhvZC4Bfbq/BWdBxp9Ls4w==" saltValue="Q+V8rXhHsE4u/j5xUQJeAg==" spinCount="100000" sqref="M9" name="Диапазон1_3_3_1_1"/>
    <protectedRange algorithmName="SHA-512" hashValue="20tZejZtY/ZGRcGLZm0ZbWfCu51ejQGMqdRYwv0b9rb/5Q/ejFDHQOXySZDQbnMuPhvZC4Bfbq/BWdBxp9Ls4w==" saltValue="Q+V8rXhHsE4u/j5xUQJeAg==" spinCount="100000" sqref="K9:L9" name="Диапазон1_14_2_2_1_1"/>
    <protectedRange algorithmName="SHA-512" hashValue="20tZejZtY/ZGRcGLZm0ZbWfCu51ejQGMqdRYwv0b9rb/5Q/ejFDHQOXySZDQbnMuPhvZC4Bfbq/BWdBxp9Ls4w==" saltValue="Q+V8rXhHsE4u/j5xUQJeAg==" spinCount="100000" sqref="D9" name="Диапазон1_17_1_2_1"/>
    <protectedRange algorithmName="SHA-512" hashValue="20tZejZtY/ZGRcGLZm0ZbWfCu51ejQGMqdRYwv0b9rb/5Q/ejFDHQOXySZDQbnMuPhvZC4Bfbq/BWdBxp9Ls4w==" saltValue="Q+V8rXhHsE4u/j5xUQJeAg==" spinCount="100000" sqref="C9" name="Диапазон1_2_2_2_1"/>
    <protectedRange algorithmName="SHA-512" hashValue="20tZejZtY/ZGRcGLZm0ZbWfCu51ejQGMqdRYwv0b9rb/5Q/ejFDHQOXySZDQbnMuPhvZC4Bfbq/BWdBxp9Ls4w==" saltValue="Q+V8rXhHsE4u/j5xUQJeAg==" spinCount="100000" sqref="J9" name="Диапазон1_6_2_4_1"/>
    <protectedRange algorithmName="SHA-512" hashValue="20tZejZtY/ZGRcGLZm0ZbWfCu51ejQGMqdRYwv0b9rb/5Q/ejFDHQOXySZDQbnMuPhvZC4Bfbq/BWdBxp9Ls4w==" saltValue="Q+V8rXhHsE4u/j5xUQJeAg==" spinCount="100000" sqref="I9 G9" name="Диапазон1_1_2_2_3_1"/>
    <protectedRange algorithmName="SHA-512" hashValue="20tZejZtY/ZGRcGLZm0ZbWfCu51ejQGMqdRYwv0b9rb/5Q/ejFDHQOXySZDQbnMuPhvZC4Bfbq/BWdBxp9Ls4w==" saltValue="Q+V8rXhHsE4u/j5xUQJeAg==" spinCount="100000" sqref="H9 F9" name="Диапазон1_5_2_2_1_1"/>
    <protectedRange algorithmName="SHA-512" hashValue="20tZejZtY/ZGRcGLZm0ZbWfCu51ejQGMqdRYwv0b9rb/5Q/ejFDHQOXySZDQbnMuPhvZC4Bfbq/BWdBxp9Ls4w==" saltValue="Q+V8rXhHsE4u/j5xUQJeAg==" spinCount="100000" sqref="B9" name="Диапазон1_2_1_1_2_1_1"/>
    <protectedRange algorithmName="SHA-512" hashValue="20tZejZtY/ZGRcGLZm0ZbWfCu51ejQGMqdRYwv0b9rb/5Q/ejFDHQOXySZDQbnMuPhvZC4Bfbq/BWdBxp9Ls4w==" saltValue="Q+V8rXhHsE4u/j5xUQJeAg==" spinCount="100000" sqref="U9" name="Диапазон1_3_2_1_1"/>
    <protectedRange algorithmName="SHA-512" hashValue="20tZejZtY/ZGRcGLZm0ZbWfCu51ejQGMqdRYwv0b9rb/5Q/ejFDHQOXySZDQbnMuPhvZC4Bfbq/BWdBxp9Ls4w==" saltValue="Q+V8rXhHsE4u/j5xUQJeAg==" spinCount="100000" sqref="T9" name="Диапазон1_3_3_1_2"/>
    <protectedRange algorithmName="SHA-512" hashValue="20tZejZtY/ZGRcGLZm0ZbWfCu51ejQGMqdRYwv0b9rb/5Q/ejFDHQOXySZDQbnMuPhvZC4Bfbq/BWdBxp9Ls4w==" saltValue="Q+V8rXhHsE4u/j5xUQJeAg==" spinCount="100000" sqref="R9:S9" name="Диапазон1_14_2_2_1_2"/>
  </protectedRanges>
  <mergeCells count="2">
    <mergeCell ref="B40:D40"/>
    <mergeCell ref="B10:B37"/>
  </mergeCells>
  <phoneticPr fontId="37" type="noConversion"/>
  <hyperlinks>
    <hyperlink ref="B9" r:id="rId1" xr:uid="{F27BF3BD-90E0-BB4D-9FB2-B887A77AB45B}"/>
  </hyperlinks>
  <pageMargins left="0.7" right="0.7" top="0.75" bottom="0.75" header="0.3" footer="0.3"/>
  <pageSetup paperSize="9" orientation="portrait" verticalDpi="1200" r:id="rId2"/>
  <ignoredErrors>
    <ignoredError sqref="V41 R39:V39 R38:S38 U38:V38" unlockedFormula="1"/>
  </ignoredError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zoomScale="80" zoomScaleNormal="80" workbookViewId="0">
      <selection activeCell="A2" sqref="A2:C154"/>
    </sheetView>
  </sheetViews>
  <sheetFormatPr baseColWidth="10" defaultColWidth="8.83203125" defaultRowHeight="15"/>
  <cols>
    <col min="1" max="1" width="11.5" customWidth="1"/>
    <col min="2" max="2" width="33.5" customWidth="1"/>
    <col min="3" max="3" width="16.5" bestFit="1" customWidth="1"/>
  </cols>
  <sheetData>
    <row r="1" spans="1:3">
      <c r="A1" s="1" t="s">
        <v>11</v>
      </c>
      <c r="B1" s="1" t="s">
        <v>0</v>
      </c>
      <c r="C1" s="1" t="s">
        <v>12</v>
      </c>
    </row>
    <row r="2" spans="1:3">
      <c r="A2" s="2" t="s">
        <v>1</v>
      </c>
      <c r="B2" s="2" t="s">
        <v>10</v>
      </c>
      <c r="C2" s="2" t="s">
        <v>9</v>
      </c>
    </row>
    <row r="3" spans="1:3">
      <c r="A3" s="2" t="s">
        <v>1</v>
      </c>
      <c r="B3" s="2" t="s">
        <v>13</v>
      </c>
      <c r="C3" s="2" t="s">
        <v>9</v>
      </c>
    </row>
    <row r="4" spans="1:3">
      <c r="A4" s="2" t="s">
        <v>1</v>
      </c>
      <c r="B4" s="2" t="s">
        <v>14</v>
      </c>
      <c r="C4" s="2" t="s">
        <v>9</v>
      </c>
    </row>
    <row r="5" spans="1:3">
      <c r="A5" s="2" t="s">
        <v>1</v>
      </c>
      <c r="B5" s="2" t="s">
        <v>15</v>
      </c>
      <c r="C5" s="2" t="s">
        <v>9</v>
      </c>
    </row>
    <row r="6" spans="1:3">
      <c r="A6" s="2" t="s">
        <v>1</v>
      </c>
      <c r="B6" s="2" t="s">
        <v>17</v>
      </c>
      <c r="C6" s="2" t="s">
        <v>9</v>
      </c>
    </row>
    <row r="7" spans="1:3">
      <c r="A7" s="2" t="s">
        <v>1</v>
      </c>
      <c r="B7" s="2" t="s">
        <v>18</v>
      </c>
      <c r="C7" s="2" t="s">
        <v>9</v>
      </c>
    </row>
    <row r="8" spans="1:3">
      <c r="A8" s="2" t="s">
        <v>1</v>
      </c>
      <c r="B8" s="2" t="s">
        <v>19</v>
      </c>
      <c r="C8" s="2" t="s">
        <v>9</v>
      </c>
    </row>
    <row r="9" spans="1:3">
      <c r="A9" s="2" t="s">
        <v>1</v>
      </c>
      <c r="B9" s="2" t="s">
        <v>20</v>
      </c>
      <c r="C9" s="2" t="s">
        <v>9</v>
      </c>
    </row>
    <row r="10" spans="1:3">
      <c r="A10" s="2" t="s">
        <v>1</v>
      </c>
      <c r="B10" s="2" t="s">
        <v>21</v>
      </c>
      <c r="C10" s="2" t="s">
        <v>9</v>
      </c>
    </row>
    <row r="11" spans="1:3">
      <c r="A11" s="2" t="s">
        <v>1</v>
      </c>
      <c r="B11" s="2" t="s">
        <v>22</v>
      </c>
      <c r="C11" s="2" t="s">
        <v>9</v>
      </c>
    </row>
    <row r="12" spans="1:3">
      <c r="A12" s="2" t="s">
        <v>1</v>
      </c>
      <c r="B12" s="2" t="s">
        <v>23</v>
      </c>
      <c r="C12" s="2" t="s">
        <v>9</v>
      </c>
    </row>
    <row r="13" spans="1:3">
      <c r="A13" s="2" t="s">
        <v>1</v>
      </c>
      <c r="B13" s="2" t="s">
        <v>24</v>
      </c>
      <c r="C13" s="2" t="s">
        <v>9</v>
      </c>
    </row>
    <row r="14" spans="1:3">
      <c r="A14" s="2" t="s">
        <v>1</v>
      </c>
      <c r="B14" s="2" t="s">
        <v>25</v>
      </c>
      <c r="C14" s="2" t="s">
        <v>9</v>
      </c>
    </row>
    <row r="15" spans="1:3">
      <c r="A15" s="2" t="s">
        <v>1</v>
      </c>
      <c r="B15" s="2" t="s">
        <v>26</v>
      </c>
      <c r="C15" s="2" t="s">
        <v>9</v>
      </c>
    </row>
    <row r="16" spans="1:3">
      <c r="A16" s="2" t="s">
        <v>1</v>
      </c>
      <c r="B16" s="2" t="s">
        <v>27</v>
      </c>
      <c r="C16" s="2" t="s">
        <v>9</v>
      </c>
    </row>
    <row r="17" spans="1:3">
      <c r="A17" s="2" t="s">
        <v>1</v>
      </c>
      <c r="B17" s="2" t="s">
        <v>28</v>
      </c>
      <c r="C17" s="2" t="s">
        <v>9</v>
      </c>
    </row>
    <row r="18" spans="1:3">
      <c r="A18" s="2" t="s">
        <v>1</v>
      </c>
      <c r="B18" s="2" t="s">
        <v>29</v>
      </c>
      <c r="C18" s="2" t="s">
        <v>9</v>
      </c>
    </row>
    <row r="19" spans="1:3">
      <c r="A19" s="2" t="s">
        <v>1</v>
      </c>
      <c r="B19" s="2" t="s">
        <v>30</v>
      </c>
      <c r="C19" s="2" t="s">
        <v>9</v>
      </c>
    </row>
    <row r="20" spans="1:3">
      <c r="A20" s="2" t="s">
        <v>1</v>
      </c>
      <c r="B20" s="2" t="s">
        <v>31</v>
      </c>
      <c r="C20" s="2" t="s">
        <v>9</v>
      </c>
    </row>
    <row r="21" spans="1:3">
      <c r="A21" s="2" t="s">
        <v>1</v>
      </c>
      <c r="B21" s="2" t="s">
        <v>32</v>
      </c>
      <c r="C21" s="2" t="s">
        <v>9</v>
      </c>
    </row>
    <row r="22" spans="1:3">
      <c r="A22" s="2" t="s">
        <v>1</v>
      </c>
      <c r="B22" s="2" t="s">
        <v>69</v>
      </c>
      <c r="C22" s="2" t="s">
        <v>94</v>
      </c>
    </row>
    <row r="23" spans="1:3">
      <c r="A23" s="2" t="s">
        <v>1</v>
      </c>
      <c r="B23" s="2" t="s">
        <v>95</v>
      </c>
      <c r="C23" s="2" t="s">
        <v>94</v>
      </c>
    </row>
    <row r="24" spans="1:3">
      <c r="A24" s="2" t="s">
        <v>1</v>
      </c>
      <c r="B24" s="2" t="s">
        <v>151</v>
      </c>
      <c r="C24" s="2" t="s">
        <v>94</v>
      </c>
    </row>
    <row r="25" spans="1:3">
      <c r="A25" s="2" t="s">
        <v>1</v>
      </c>
      <c r="B25" s="2" t="s">
        <v>96</v>
      </c>
      <c r="C25" s="2" t="s">
        <v>94</v>
      </c>
    </row>
    <row r="26" spans="1:3">
      <c r="A26" s="2" t="s">
        <v>1</v>
      </c>
      <c r="B26" s="2" t="s">
        <v>98</v>
      </c>
      <c r="C26" s="2" t="s">
        <v>94</v>
      </c>
    </row>
    <row r="27" spans="1:3">
      <c r="A27" s="2" t="s">
        <v>1</v>
      </c>
      <c r="B27" s="2" t="s">
        <v>99</v>
      </c>
      <c r="C27" s="2" t="s">
        <v>94</v>
      </c>
    </row>
    <row r="28" spans="1:3">
      <c r="A28" s="2" t="s">
        <v>1</v>
      </c>
      <c r="B28" s="2" t="s">
        <v>100</v>
      </c>
      <c r="C28" s="2" t="s">
        <v>94</v>
      </c>
    </row>
    <row r="29" spans="1:3">
      <c r="A29" s="2" t="s">
        <v>1</v>
      </c>
      <c r="B29" s="2" t="s">
        <v>101</v>
      </c>
      <c r="C29" s="2" t="s">
        <v>94</v>
      </c>
    </row>
    <row r="30" spans="1:3">
      <c r="A30" s="2" t="s">
        <v>1</v>
      </c>
      <c r="B30" s="2" t="s">
        <v>102</v>
      </c>
      <c r="C30" s="2" t="s">
        <v>94</v>
      </c>
    </row>
    <row r="31" spans="1:3">
      <c r="A31" s="2" t="s">
        <v>1</v>
      </c>
      <c r="B31" s="2" t="s">
        <v>103</v>
      </c>
      <c r="C31" s="2" t="s">
        <v>94</v>
      </c>
    </row>
    <row r="32" spans="1:3">
      <c r="A32" s="2" t="s">
        <v>1</v>
      </c>
      <c r="B32" s="2" t="s">
        <v>149</v>
      </c>
      <c r="C32" s="2" t="s">
        <v>94</v>
      </c>
    </row>
    <row r="33" spans="1:3">
      <c r="A33" s="2" t="s">
        <v>1</v>
      </c>
      <c r="B33" s="2" t="s">
        <v>104</v>
      </c>
      <c r="C33" s="2" t="s">
        <v>94</v>
      </c>
    </row>
    <row r="34" spans="1:3">
      <c r="A34" s="2" t="s">
        <v>1</v>
      </c>
      <c r="B34" s="2" t="s">
        <v>105</v>
      </c>
      <c r="C34" s="2" t="s">
        <v>94</v>
      </c>
    </row>
    <row r="35" spans="1:3">
      <c r="A35" s="2" t="s">
        <v>1</v>
      </c>
      <c r="B35" s="2" t="s">
        <v>144</v>
      </c>
      <c r="C35" s="2" t="s">
        <v>94</v>
      </c>
    </row>
    <row r="36" spans="1:3">
      <c r="A36" s="2" t="s">
        <v>1</v>
      </c>
      <c r="B36" s="2" t="s">
        <v>106</v>
      </c>
      <c r="C36" s="2" t="s">
        <v>94</v>
      </c>
    </row>
    <row r="37" spans="1:3">
      <c r="A37" s="2" t="s">
        <v>1</v>
      </c>
      <c r="B37" s="2" t="s">
        <v>150</v>
      </c>
      <c r="C37" s="2" t="s">
        <v>94</v>
      </c>
    </row>
    <row r="38" spans="1:3">
      <c r="A38" s="2" t="s">
        <v>1</v>
      </c>
      <c r="B38" s="2" t="s">
        <v>108</v>
      </c>
      <c r="C38" s="2" t="s">
        <v>94</v>
      </c>
    </row>
    <row r="39" spans="1:3">
      <c r="A39" s="2" t="s">
        <v>1</v>
      </c>
      <c r="B39" s="2" t="s">
        <v>109</v>
      </c>
      <c r="C39" s="2" t="s">
        <v>94</v>
      </c>
    </row>
    <row r="40" spans="1:3">
      <c r="A40" s="2" t="s">
        <v>1</v>
      </c>
      <c r="B40" s="2" t="s">
        <v>83</v>
      </c>
      <c r="C40" s="2" t="s">
        <v>82</v>
      </c>
    </row>
    <row r="41" spans="1:3">
      <c r="A41" s="2" t="s">
        <v>1</v>
      </c>
      <c r="B41" s="2" t="s">
        <v>84</v>
      </c>
      <c r="C41" s="2" t="s">
        <v>82</v>
      </c>
    </row>
    <row r="42" spans="1:3">
      <c r="A42" s="2" t="s">
        <v>1</v>
      </c>
      <c r="B42" s="2" t="s">
        <v>85</v>
      </c>
      <c r="C42" s="2" t="s">
        <v>82</v>
      </c>
    </row>
    <row r="43" spans="1:3">
      <c r="A43" s="2" t="s">
        <v>1</v>
      </c>
      <c r="B43" s="2" t="s">
        <v>86</v>
      </c>
      <c r="C43" s="2" t="s">
        <v>82</v>
      </c>
    </row>
    <row r="44" spans="1:3">
      <c r="A44" s="2" t="s">
        <v>1</v>
      </c>
      <c r="B44" s="2" t="s">
        <v>87</v>
      </c>
      <c r="C44" s="2" t="s">
        <v>82</v>
      </c>
    </row>
    <row r="45" spans="1:3">
      <c r="A45" s="2" t="s">
        <v>1</v>
      </c>
      <c r="B45" s="2" t="s">
        <v>88</v>
      </c>
      <c r="C45" s="2" t="s">
        <v>82</v>
      </c>
    </row>
    <row r="46" spans="1:3">
      <c r="A46" s="2" t="s">
        <v>1</v>
      </c>
      <c r="B46" s="2" t="s">
        <v>89</v>
      </c>
      <c r="C46" s="2" t="s">
        <v>82</v>
      </c>
    </row>
    <row r="47" spans="1:3">
      <c r="A47" s="2" t="s">
        <v>1</v>
      </c>
      <c r="B47" s="2" t="s">
        <v>90</v>
      </c>
      <c r="C47" s="2" t="s">
        <v>82</v>
      </c>
    </row>
    <row r="48" spans="1:3">
      <c r="A48" s="2" t="s">
        <v>1</v>
      </c>
      <c r="B48" s="2" t="s">
        <v>91</v>
      </c>
      <c r="C48" s="2" t="s">
        <v>82</v>
      </c>
    </row>
    <row r="49" spans="1:3">
      <c r="A49" s="2" t="s">
        <v>1</v>
      </c>
      <c r="B49" s="2" t="s">
        <v>92</v>
      </c>
      <c r="C49" s="2" t="s">
        <v>82</v>
      </c>
    </row>
    <row r="50" spans="1:3">
      <c r="A50" s="2" t="s">
        <v>1</v>
      </c>
      <c r="B50" s="2" t="s">
        <v>93</v>
      </c>
      <c r="C50" s="2" t="s">
        <v>82</v>
      </c>
    </row>
    <row r="51" spans="1:3">
      <c r="A51" s="2" t="s">
        <v>1</v>
      </c>
      <c r="B51" s="2" t="s">
        <v>111</v>
      </c>
      <c r="C51" s="2" t="s">
        <v>110</v>
      </c>
    </row>
    <row r="52" spans="1:3">
      <c r="A52" s="2" t="s">
        <v>1</v>
      </c>
      <c r="B52" s="2" t="s">
        <v>112</v>
      </c>
      <c r="C52" s="2" t="s">
        <v>110</v>
      </c>
    </row>
    <row r="53" spans="1:3">
      <c r="A53" s="2" t="s">
        <v>1</v>
      </c>
      <c r="B53" s="2" t="s">
        <v>113</v>
      </c>
      <c r="C53" s="2" t="s">
        <v>110</v>
      </c>
    </row>
    <row r="54" spans="1:3">
      <c r="A54" s="2" t="s">
        <v>1</v>
      </c>
      <c r="B54" s="2" t="s">
        <v>114</v>
      </c>
      <c r="C54" s="2" t="s">
        <v>110</v>
      </c>
    </row>
    <row r="55" spans="1:3">
      <c r="A55" s="2" t="s">
        <v>1</v>
      </c>
      <c r="B55" s="2" t="s">
        <v>115</v>
      </c>
      <c r="C55" s="2" t="s">
        <v>110</v>
      </c>
    </row>
    <row r="56" spans="1:3">
      <c r="A56" s="2" t="s">
        <v>1</v>
      </c>
      <c r="B56" s="2" t="s">
        <v>116</v>
      </c>
      <c r="C56" s="2" t="s">
        <v>110</v>
      </c>
    </row>
    <row r="57" spans="1:3">
      <c r="A57" s="2" t="s">
        <v>1</v>
      </c>
      <c r="B57" s="2" t="s">
        <v>117</v>
      </c>
      <c r="C57" s="2" t="s">
        <v>110</v>
      </c>
    </row>
    <row r="58" spans="1:3">
      <c r="A58" s="2" t="s">
        <v>1</v>
      </c>
      <c r="B58" s="2" t="s">
        <v>118</v>
      </c>
      <c r="C58" s="2" t="s">
        <v>110</v>
      </c>
    </row>
    <row r="59" spans="1:3">
      <c r="A59" s="2" t="s">
        <v>1</v>
      </c>
      <c r="B59" s="2" t="s">
        <v>119</v>
      </c>
      <c r="C59" s="2" t="s">
        <v>110</v>
      </c>
    </row>
    <row r="60" spans="1:3">
      <c r="A60" s="2" t="s">
        <v>1</v>
      </c>
      <c r="B60" s="2" t="s">
        <v>120</v>
      </c>
      <c r="C60" s="2" t="s">
        <v>110</v>
      </c>
    </row>
    <row r="61" spans="1:3">
      <c r="A61" s="2" t="s">
        <v>1</v>
      </c>
      <c r="B61" s="2" t="s">
        <v>121</v>
      </c>
      <c r="C61" s="2" t="s">
        <v>110</v>
      </c>
    </row>
    <row r="62" spans="1:3">
      <c r="A62" s="2" t="s">
        <v>1</v>
      </c>
      <c r="B62" s="2" t="s">
        <v>122</v>
      </c>
      <c r="C62" s="2" t="s">
        <v>110</v>
      </c>
    </row>
    <row r="63" spans="1:3">
      <c r="A63" s="2" t="s">
        <v>1</v>
      </c>
      <c r="B63" s="2" t="s">
        <v>16</v>
      </c>
      <c r="C63" s="2" t="s">
        <v>153</v>
      </c>
    </row>
    <row r="64" spans="1:3">
      <c r="A64" s="2" t="s">
        <v>1</v>
      </c>
      <c r="B64" s="2" t="s">
        <v>50</v>
      </c>
      <c r="C64" s="2" t="s">
        <v>153</v>
      </c>
    </row>
    <row r="65" spans="1:3">
      <c r="A65" s="2" t="s">
        <v>1</v>
      </c>
      <c r="B65" s="2" t="s">
        <v>51</v>
      </c>
      <c r="C65" s="2" t="s">
        <v>153</v>
      </c>
    </row>
    <row r="66" spans="1:3">
      <c r="A66" s="2" t="s">
        <v>1</v>
      </c>
      <c r="B66" s="2" t="s">
        <v>52</v>
      </c>
      <c r="C66" s="2" t="s">
        <v>153</v>
      </c>
    </row>
    <row r="67" spans="1:3">
      <c r="A67" s="2" t="s">
        <v>1</v>
      </c>
      <c r="B67" s="2" t="s">
        <v>53</v>
      </c>
      <c r="C67" s="2" t="s">
        <v>153</v>
      </c>
    </row>
    <row r="68" spans="1:3">
      <c r="A68" s="2" t="s">
        <v>1</v>
      </c>
      <c r="B68" s="2" t="s">
        <v>54</v>
      </c>
      <c r="C68" s="2" t="s">
        <v>153</v>
      </c>
    </row>
    <row r="69" spans="1:3">
      <c r="A69" s="2" t="s">
        <v>1</v>
      </c>
      <c r="B69" s="2" t="s">
        <v>55</v>
      </c>
      <c r="C69" s="2" t="s">
        <v>153</v>
      </c>
    </row>
    <row r="70" spans="1:3">
      <c r="A70" s="2" t="s">
        <v>1</v>
      </c>
      <c r="B70" s="2" t="s">
        <v>56</v>
      </c>
      <c r="C70" s="2" t="s">
        <v>153</v>
      </c>
    </row>
    <row r="71" spans="1:3">
      <c r="A71" s="2" t="s">
        <v>1</v>
      </c>
      <c r="B71" s="2" t="s">
        <v>57</v>
      </c>
      <c r="C71" s="2" t="s">
        <v>153</v>
      </c>
    </row>
    <row r="72" spans="1:3">
      <c r="A72" s="2" t="s">
        <v>1</v>
      </c>
      <c r="B72" s="2" t="s">
        <v>58</v>
      </c>
      <c r="C72" s="2" t="s">
        <v>153</v>
      </c>
    </row>
    <row r="73" spans="1:3">
      <c r="A73" s="2" t="s">
        <v>1</v>
      </c>
      <c r="B73" s="2" t="s">
        <v>59</v>
      </c>
      <c r="C73" s="2" t="s">
        <v>153</v>
      </c>
    </row>
    <row r="74" spans="1:3">
      <c r="A74" s="2" t="s">
        <v>1</v>
      </c>
      <c r="B74" s="2" t="s">
        <v>60</v>
      </c>
      <c r="C74" s="2" t="s">
        <v>153</v>
      </c>
    </row>
    <row r="75" spans="1:3">
      <c r="A75" s="2" t="s">
        <v>1</v>
      </c>
      <c r="B75" s="2" t="s">
        <v>61</v>
      </c>
      <c r="C75" s="2" t="s">
        <v>153</v>
      </c>
    </row>
    <row r="76" spans="1:3">
      <c r="A76" s="2" t="s">
        <v>1</v>
      </c>
      <c r="B76" s="2" t="s">
        <v>62</v>
      </c>
      <c r="C76" s="2" t="s">
        <v>153</v>
      </c>
    </row>
    <row r="77" spans="1:3">
      <c r="A77" s="2" t="s">
        <v>1</v>
      </c>
      <c r="B77" s="2" t="s">
        <v>63</v>
      </c>
      <c r="C77" s="2" t="s">
        <v>153</v>
      </c>
    </row>
    <row r="78" spans="1:3">
      <c r="A78" s="2" t="s">
        <v>1</v>
      </c>
      <c r="B78" s="2" t="s">
        <v>64</v>
      </c>
      <c r="C78" s="2" t="s">
        <v>153</v>
      </c>
    </row>
    <row r="79" spans="1:3">
      <c r="A79" s="2" t="s">
        <v>1</v>
      </c>
      <c r="B79" s="2" t="s">
        <v>65</v>
      </c>
      <c r="C79" s="2" t="s">
        <v>153</v>
      </c>
    </row>
    <row r="80" spans="1:3">
      <c r="A80" s="2" t="s">
        <v>1</v>
      </c>
      <c r="B80" s="2" t="s">
        <v>66</v>
      </c>
      <c r="C80" s="2" t="s">
        <v>153</v>
      </c>
    </row>
    <row r="81" spans="1:3">
      <c r="A81" s="2" t="s">
        <v>1</v>
      </c>
      <c r="B81" s="2" t="s">
        <v>67</v>
      </c>
      <c r="C81" s="2" t="s">
        <v>153</v>
      </c>
    </row>
    <row r="82" spans="1:3">
      <c r="A82" s="2" t="s">
        <v>1</v>
      </c>
      <c r="B82" s="2" t="s">
        <v>68</v>
      </c>
      <c r="C82" s="2" t="s">
        <v>153</v>
      </c>
    </row>
    <row r="83" spans="1:3">
      <c r="A83" s="2" t="s">
        <v>1</v>
      </c>
      <c r="B83" s="2" t="s">
        <v>70</v>
      </c>
      <c r="C83" s="2" t="s">
        <v>153</v>
      </c>
    </row>
    <row r="84" spans="1:3">
      <c r="A84" s="2" t="s">
        <v>1</v>
      </c>
      <c r="B84" s="2" t="s">
        <v>71</v>
      </c>
      <c r="C84" s="2" t="s">
        <v>153</v>
      </c>
    </row>
    <row r="85" spans="1:3">
      <c r="A85" s="2" t="s">
        <v>1</v>
      </c>
      <c r="B85" s="2" t="s">
        <v>72</v>
      </c>
      <c r="C85" s="2" t="s">
        <v>153</v>
      </c>
    </row>
    <row r="86" spans="1:3">
      <c r="A86" s="2" t="s">
        <v>1</v>
      </c>
      <c r="B86" s="2" t="s">
        <v>73</v>
      </c>
      <c r="C86" s="2" t="s">
        <v>153</v>
      </c>
    </row>
    <row r="87" spans="1:3">
      <c r="A87" s="2" t="s">
        <v>1</v>
      </c>
      <c r="B87" s="2" t="s">
        <v>74</v>
      </c>
      <c r="C87" s="2" t="s">
        <v>153</v>
      </c>
    </row>
    <row r="88" spans="1:3">
      <c r="A88" s="2" t="s">
        <v>1</v>
      </c>
      <c r="B88" s="2" t="s">
        <v>75</v>
      </c>
      <c r="C88" s="2" t="s">
        <v>153</v>
      </c>
    </row>
    <row r="89" spans="1:3">
      <c r="A89" s="2" t="s">
        <v>1</v>
      </c>
      <c r="B89" s="2" t="s">
        <v>76</v>
      </c>
      <c r="C89" s="2" t="s">
        <v>153</v>
      </c>
    </row>
    <row r="90" spans="1:3">
      <c r="A90" s="2" t="s">
        <v>1</v>
      </c>
      <c r="B90" s="2" t="s">
        <v>77</v>
      </c>
      <c r="C90" s="2" t="s">
        <v>153</v>
      </c>
    </row>
    <row r="91" spans="1:3">
      <c r="A91" s="2" t="s">
        <v>1</v>
      </c>
      <c r="B91" s="2" t="s">
        <v>78</v>
      </c>
      <c r="C91" s="2" t="s">
        <v>153</v>
      </c>
    </row>
    <row r="92" spans="1:3">
      <c r="A92" s="2" t="s">
        <v>1</v>
      </c>
      <c r="B92" s="2" t="s">
        <v>79</v>
      </c>
      <c r="C92" s="2" t="s">
        <v>153</v>
      </c>
    </row>
    <row r="93" spans="1:3">
      <c r="A93" s="2" t="s">
        <v>1</v>
      </c>
      <c r="B93" s="2" t="s">
        <v>80</v>
      </c>
      <c r="C93" s="2" t="s">
        <v>153</v>
      </c>
    </row>
    <row r="94" spans="1:3">
      <c r="A94" s="2" t="s">
        <v>1</v>
      </c>
      <c r="B94" s="2" t="s">
        <v>81</v>
      </c>
      <c r="C94" s="2" t="s">
        <v>153</v>
      </c>
    </row>
    <row r="95" spans="1:3">
      <c r="A95" s="2" t="s">
        <v>1</v>
      </c>
      <c r="B95" s="2" t="s">
        <v>97</v>
      </c>
      <c r="C95" s="2" t="s">
        <v>153</v>
      </c>
    </row>
    <row r="96" spans="1:3">
      <c r="A96" s="2" t="s">
        <v>1</v>
      </c>
      <c r="B96" s="2" t="s">
        <v>107</v>
      </c>
      <c r="C96" s="2" t="s">
        <v>153</v>
      </c>
    </row>
    <row r="97" spans="1:3">
      <c r="A97" s="2" t="s">
        <v>1</v>
      </c>
      <c r="B97" s="2" t="s">
        <v>34</v>
      </c>
      <c r="C97" s="2" t="s">
        <v>33</v>
      </c>
    </row>
    <row r="98" spans="1:3">
      <c r="A98" s="2" t="s">
        <v>1</v>
      </c>
      <c r="B98" s="2" t="s">
        <v>35</v>
      </c>
      <c r="C98" s="2" t="s">
        <v>33</v>
      </c>
    </row>
    <row r="99" spans="1:3">
      <c r="A99" s="2" t="s">
        <v>1</v>
      </c>
      <c r="B99" s="2" t="s">
        <v>36</v>
      </c>
      <c r="C99" s="2" t="s">
        <v>33</v>
      </c>
    </row>
    <row r="100" spans="1:3">
      <c r="A100" s="2" t="s">
        <v>1</v>
      </c>
      <c r="B100" s="2" t="s">
        <v>37</v>
      </c>
      <c r="C100" s="2" t="s">
        <v>33</v>
      </c>
    </row>
    <row r="101" spans="1:3">
      <c r="A101" s="2" t="s">
        <v>1</v>
      </c>
      <c r="B101" s="2" t="s">
        <v>38</v>
      </c>
      <c r="C101" s="2" t="s">
        <v>33</v>
      </c>
    </row>
    <row r="102" spans="1:3">
      <c r="A102" s="2" t="s">
        <v>1</v>
      </c>
      <c r="B102" s="2" t="s">
        <v>39</v>
      </c>
      <c r="C102" s="2" t="s">
        <v>33</v>
      </c>
    </row>
    <row r="103" spans="1:3">
      <c r="A103" s="2" t="s">
        <v>1</v>
      </c>
      <c r="B103" s="2" t="s">
        <v>40</v>
      </c>
      <c r="C103" s="2" t="s">
        <v>33</v>
      </c>
    </row>
    <row r="104" spans="1:3">
      <c r="A104" s="2" t="s">
        <v>1</v>
      </c>
      <c r="B104" s="2" t="s">
        <v>41</v>
      </c>
      <c r="C104" s="2" t="s">
        <v>33</v>
      </c>
    </row>
    <row r="105" spans="1:3">
      <c r="A105" s="2" t="s">
        <v>1</v>
      </c>
      <c r="B105" s="2" t="s">
        <v>42</v>
      </c>
      <c r="C105" s="2" t="s">
        <v>33</v>
      </c>
    </row>
    <row r="106" spans="1:3">
      <c r="A106" s="2" t="s">
        <v>1</v>
      </c>
      <c r="B106" s="2" t="s">
        <v>43</v>
      </c>
      <c r="C106" s="2" t="s">
        <v>33</v>
      </c>
    </row>
    <row r="107" spans="1:3">
      <c r="A107" s="2" t="s">
        <v>1</v>
      </c>
      <c r="B107" s="2" t="s">
        <v>44</v>
      </c>
      <c r="C107" s="2" t="s">
        <v>33</v>
      </c>
    </row>
    <row r="108" spans="1:3">
      <c r="A108" s="2" t="s">
        <v>1</v>
      </c>
      <c r="B108" s="2" t="s">
        <v>45</v>
      </c>
      <c r="C108" s="2" t="s">
        <v>33</v>
      </c>
    </row>
    <row r="109" spans="1:3">
      <c r="A109" s="2" t="s">
        <v>1</v>
      </c>
      <c r="B109" s="2" t="s">
        <v>46</v>
      </c>
      <c r="C109" s="2" t="s">
        <v>33</v>
      </c>
    </row>
    <row r="110" spans="1:3">
      <c r="A110" s="2" t="s">
        <v>1</v>
      </c>
      <c r="B110" s="2" t="s">
        <v>47</v>
      </c>
      <c r="C110" s="2" t="s">
        <v>33</v>
      </c>
    </row>
    <row r="111" spans="1:3">
      <c r="A111" s="2" t="s">
        <v>1</v>
      </c>
      <c r="B111" s="2" t="s">
        <v>48</v>
      </c>
      <c r="C111" s="2" t="s">
        <v>33</v>
      </c>
    </row>
    <row r="112" spans="1:3">
      <c r="A112" s="2" t="s">
        <v>1</v>
      </c>
      <c r="B112" s="2" t="s">
        <v>49</v>
      </c>
      <c r="C112" s="2" t="s">
        <v>33</v>
      </c>
    </row>
    <row r="113" spans="1:3">
      <c r="A113" s="2" t="s">
        <v>2</v>
      </c>
      <c r="B113" s="3" t="s">
        <v>140</v>
      </c>
      <c r="C113" s="2" t="s">
        <v>94</v>
      </c>
    </row>
    <row r="114" spans="1:3">
      <c r="A114" s="2" t="s">
        <v>2</v>
      </c>
      <c r="B114" s="3" t="s">
        <v>141</v>
      </c>
      <c r="C114" s="2" t="s">
        <v>94</v>
      </c>
    </row>
    <row r="115" spans="1:3">
      <c r="A115" s="2" t="s">
        <v>2</v>
      </c>
      <c r="B115" s="3" t="s">
        <v>142</v>
      </c>
      <c r="C115" s="2" t="s">
        <v>94</v>
      </c>
    </row>
    <row r="116" spans="1:3">
      <c r="A116" s="2" t="s">
        <v>2</v>
      </c>
      <c r="B116" s="3" t="s">
        <v>99</v>
      </c>
      <c r="C116" s="2" t="s">
        <v>94</v>
      </c>
    </row>
    <row r="117" spans="1:3">
      <c r="A117" s="2" t="s">
        <v>2</v>
      </c>
      <c r="B117" s="3" t="s">
        <v>95</v>
      </c>
      <c r="C117" s="2" t="s">
        <v>94</v>
      </c>
    </row>
    <row r="118" spans="1:3">
      <c r="A118" s="2" t="s">
        <v>2</v>
      </c>
      <c r="B118" s="3" t="s">
        <v>103</v>
      </c>
      <c r="C118" s="2" t="s">
        <v>94</v>
      </c>
    </row>
    <row r="119" spans="1:3">
      <c r="A119" s="2" t="s">
        <v>2</v>
      </c>
      <c r="B119" s="3" t="s">
        <v>143</v>
      </c>
      <c r="C119" s="2" t="s">
        <v>94</v>
      </c>
    </row>
    <row r="120" spans="1:3">
      <c r="A120" s="2" t="s">
        <v>2</v>
      </c>
      <c r="B120" s="3" t="s">
        <v>144</v>
      </c>
      <c r="C120" s="2" t="s">
        <v>94</v>
      </c>
    </row>
    <row r="121" spans="1:3">
      <c r="A121" s="2" t="s">
        <v>2</v>
      </c>
      <c r="B121" s="3" t="s">
        <v>93</v>
      </c>
      <c r="C121" s="3" t="s">
        <v>82</v>
      </c>
    </row>
    <row r="122" spans="1:3">
      <c r="A122" s="2" t="s">
        <v>2</v>
      </c>
      <c r="B122" s="3" t="s">
        <v>145</v>
      </c>
      <c r="C122" s="3" t="s">
        <v>82</v>
      </c>
    </row>
    <row r="123" spans="1:3">
      <c r="A123" s="2" t="s">
        <v>2</v>
      </c>
      <c r="B123" s="3" t="s">
        <v>146</v>
      </c>
      <c r="C123" s="3" t="s">
        <v>82</v>
      </c>
    </row>
    <row r="124" spans="1:3">
      <c r="A124" s="2" t="s">
        <v>2</v>
      </c>
      <c r="B124" s="3" t="s">
        <v>88</v>
      </c>
      <c r="C124" s="3" t="s">
        <v>82</v>
      </c>
    </row>
    <row r="125" spans="1:3">
      <c r="A125" s="2" t="s">
        <v>2</v>
      </c>
      <c r="B125" s="3" t="s">
        <v>147</v>
      </c>
      <c r="C125" s="3" t="s">
        <v>82</v>
      </c>
    </row>
    <row r="126" spans="1:3">
      <c r="A126" s="2" t="s">
        <v>2</v>
      </c>
      <c r="B126" s="3" t="s">
        <v>84</v>
      </c>
      <c r="C126" s="3" t="s">
        <v>82</v>
      </c>
    </row>
    <row r="127" spans="1:3">
      <c r="A127" s="2" t="s">
        <v>2</v>
      </c>
      <c r="B127" s="3" t="s">
        <v>90</v>
      </c>
      <c r="C127" s="3" t="s">
        <v>82</v>
      </c>
    </row>
    <row r="128" spans="1:3">
      <c r="A128" s="2" t="s">
        <v>2</v>
      </c>
      <c r="B128" s="3" t="s">
        <v>111</v>
      </c>
      <c r="C128" s="3" t="s">
        <v>110</v>
      </c>
    </row>
    <row r="129" spans="1:3">
      <c r="A129" s="2" t="s">
        <v>2</v>
      </c>
      <c r="B129" s="3" t="s">
        <v>148</v>
      </c>
      <c r="C129" s="3" t="s">
        <v>110</v>
      </c>
    </row>
    <row r="130" spans="1:3">
      <c r="A130" s="2" t="s">
        <v>2</v>
      </c>
      <c r="B130" s="3" t="s">
        <v>123</v>
      </c>
      <c r="C130" s="3" t="s">
        <v>154</v>
      </c>
    </row>
    <row r="131" spans="1:3">
      <c r="A131" s="2" t="s">
        <v>2</v>
      </c>
      <c r="B131" s="3" t="s">
        <v>124</v>
      </c>
      <c r="C131" s="3" t="s">
        <v>154</v>
      </c>
    </row>
    <row r="132" spans="1:3">
      <c r="A132" s="2" t="s">
        <v>2</v>
      </c>
      <c r="B132" s="3" t="s">
        <v>65</v>
      </c>
      <c r="C132" s="3" t="s">
        <v>154</v>
      </c>
    </row>
    <row r="133" spans="1:3">
      <c r="A133" s="2" t="s">
        <v>2</v>
      </c>
      <c r="B133" s="3" t="s">
        <v>125</v>
      </c>
      <c r="C133" s="3" t="s">
        <v>154</v>
      </c>
    </row>
    <row r="134" spans="1:3">
      <c r="A134" s="2" t="s">
        <v>2</v>
      </c>
      <c r="B134" s="3" t="s">
        <v>64</v>
      </c>
      <c r="C134" s="3" t="s">
        <v>154</v>
      </c>
    </row>
    <row r="135" spans="1:3">
      <c r="A135" s="2" t="s">
        <v>2</v>
      </c>
      <c r="B135" s="3" t="s">
        <v>126</v>
      </c>
      <c r="C135" s="3" t="s">
        <v>154</v>
      </c>
    </row>
    <row r="136" spans="1:3">
      <c r="A136" s="2" t="s">
        <v>2</v>
      </c>
      <c r="B136" s="3" t="s">
        <v>127</v>
      </c>
      <c r="C136" s="3" t="s">
        <v>154</v>
      </c>
    </row>
    <row r="137" spans="1:3">
      <c r="A137" s="2" t="s">
        <v>2</v>
      </c>
      <c r="B137" s="3" t="s">
        <v>72</v>
      </c>
      <c r="C137" s="3" t="s">
        <v>154</v>
      </c>
    </row>
    <row r="138" spans="1:3">
      <c r="A138" s="2" t="s">
        <v>2</v>
      </c>
      <c r="B138" s="3" t="s">
        <v>79</v>
      </c>
      <c r="C138" s="3" t="s">
        <v>154</v>
      </c>
    </row>
    <row r="139" spans="1:3">
      <c r="A139" s="2" t="s">
        <v>2</v>
      </c>
      <c r="B139" s="3" t="s">
        <v>128</v>
      </c>
      <c r="C139" s="3" t="s">
        <v>154</v>
      </c>
    </row>
    <row r="140" spans="1:3">
      <c r="A140" s="2" t="s">
        <v>2</v>
      </c>
      <c r="B140" s="3" t="s">
        <v>129</v>
      </c>
      <c r="C140" s="3" t="s">
        <v>154</v>
      </c>
    </row>
    <row r="141" spans="1:3">
      <c r="A141" s="2" t="s">
        <v>2</v>
      </c>
      <c r="B141" s="3" t="s">
        <v>130</v>
      </c>
      <c r="C141" s="3" t="s">
        <v>154</v>
      </c>
    </row>
    <row r="142" spans="1:3">
      <c r="A142" s="2" t="s">
        <v>2</v>
      </c>
      <c r="B142" s="3" t="s">
        <v>131</v>
      </c>
      <c r="C142" s="3" t="s">
        <v>154</v>
      </c>
    </row>
    <row r="143" spans="1:3">
      <c r="A143" s="2" t="s">
        <v>2</v>
      </c>
      <c r="B143" s="3" t="s">
        <v>55</v>
      </c>
      <c r="C143" s="3" t="s">
        <v>154</v>
      </c>
    </row>
    <row r="144" spans="1:3">
      <c r="A144" s="2" t="s">
        <v>2</v>
      </c>
      <c r="B144" s="3" t="s">
        <v>132</v>
      </c>
      <c r="C144" s="3" t="s">
        <v>154</v>
      </c>
    </row>
    <row r="145" spans="1:3">
      <c r="A145" s="2" t="s">
        <v>2</v>
      </c>
      <c r="B145" s="3" t="s">
        <v>133</v>
      </c>
      <c r="C145" s="3" t="s">
        <v>154</v>
      </c>
    </row>
    <row r="146" spans="1:3">
      <c r="A146" s="2" t="s">
        <v>2</v>
      </c>
      <c r="B146" s="3" t="s">
        <v>80</v>
      </c>
      <c r="C146" s="3" t="s">
        <v>154</v>
      </c>
    </row>
    <row r="147" spans="1:3">
      <c r="A147" s="2" t="s">
        <v>2</v>
      </c>
      <c r="B147" s="3" t="s">
        <v>134</v>
      </c>
      <c r="C147" s="3" t="s">
        <v>154</v>
      </c>
    </row>
    <row r="148" spans="1:3">
      <c r="A148" s="2" t="s">
        <v>2</v>
      </c>
      <c r="B148" s="3" t="s">
        <v>135</v>
      </c>
      <c r="C148" s="3" t="s">
        <v>154</v>
      </c>
    </row>
    <row r="149" spans="1:3">
      <c r="A149" s="2" t="s">
        <v>2</v>
      </c>
      <c r="B149" s="3" t="s">
        <v>56</v>
      </c>
      <c r="C149" s="3" t="s">
        <v>154</v>
      </c>
    </row>
    <row r="150" spans="1:3">
      <c r="A150" s="2" t="s">
        <v>2</v>
      </c>
      <c r="B150" s="3" t="s">
        <v>136</v>
      </c>
      <c r="C150" s="3" t="s">
        <v>154</v>
      </c>
    </row>
    <row r="151" spans="1:3">
      <c r="A151" s="2" t="s">
        <v>2</v>
      </c>
      <c r="B151" s="3" t="s">
        <v>63</v>
      </c>
      <c r="C151" s="3" t="s">
        <v>154</v>
      </c>
    </row>
    <row r="152" spans="1:3">
      <c r="A152" s="2" t="s">
        <v>2</v>
      </c>
      <c r="B152" s="3" t="s">
        <v>137</v>
      </c>
      <c r="C152" s="3" t="s">
        <v>154</v>
      </c>
    </row>
    <row r="153" spans="1:3">
      <c r="A153" s="2" t="s">
        <v>2</v>
      </c>
      <c r="B153" s="3" t="s">
        <v>138</v>
      </c>
      <c r="C153" s="3" t="s">
        <v>154</v>
      </c>
    </row>
    <row r="154" spans="1:3">
      <c r="A154" s="2" t="s">
        <v>2</v>
      </c>
      <c r="B154" s="3" t="s">
        <v>139</v>
      </c>
      <c r="C154" s="3" t="s">
        <v>154</v>
      </c>
    </row>
  </sheetData>
  <autoFilter ref="B1:B154" xr:uid="{00000000-0009-0000-0000-000001000000}"/>
  <sortState xmlns:xlrd2="http://schemas.microsoft.com/office/spreadsheetml/2017/richdata2" ref="A2:C154">
    <sortCondition ref="A2:A154"/>
    <sortCondition ref="C2:C15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" sqref="F1:F3"/>
    </sheetView>
  </sheetViews>
  <sheetFormatPr baseColWidth="10" defaultColWidth="8.83203125" defaultRowHeight="15"/>
  <sheetData>
    <row r="1" spans="1:7">
      <c r="A1" t="s">
        <v>1</v>
      </c>
      <c r="B1" t="s">
        <v>157</v>
      </c>
      <c r="C1" t="s">
        <v>3</v>
      </c>
      <c r="D1" t="s">
        <v>5</v>
      </c>
      <c r="E1" t="s">
        <v>7</v>
      </c>
      <c r="F1" t="s">
        <v>160</v>
      </c>
      <c r="G1" t="s">
        <v>3</v>
      </c>
    </row>
    <row r="2" spans="1:7">
      <c r="A2" t="s">
        <v>2</v>
      </c>
      <c r="B2" t="s">
        <v>156</v>
      </c>
      <c r="C2" t="s">
        <v>4</v>
      </c>
      <c r="D2" t="s">
        <v>6</v>
      </c>
      <c r="E2" t="s">
        <v>8</v>
      </c>
      <c r="F2" t="s">
        <v>152</v>
      </c>
      <c r="G2" t="s">
        <v>4</v>
      </c>
    </row>
    <row r="3" spans="1:7">
      <c r="A3" t="s">
        <v>155</v>
      </c>
      <c r="F3" t="s">
        <v>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Flowchart</vt:lpstr>
      <vt:lpstr>НиЧ</vt:lpstr>
      <vt:lpstr>Любятово</vt:lpstr>
      <vt:lpstr>Cola</vt:lpstr>
      <vt:lpstr>регионы-города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olga.v.vasileva</dc:creator>
  <cp:lastModifiedBy>Ice Ice</cp:lastModifiedBy>
  <dcterms:created xsi:type="dcterms:W3CDTF">2020-05-07T07:50:06Z</dcterms:created>
  <dcterms:modified xsi:type="dcterms:W3CDTF">2026-03-18T09:50:27Z</dcterms:modified>
</cp:coreProperties>
</file>