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side\ledokol\ooh\docs\samples\"/>
    </mc:Choice>
  </mc:AlternateContent>
  <xr:revisionPtr revIDLastSave="0" documentId="13_ncr:1_{4425BADF-5237-47C5-9207-B45BEAEBBBD2}" xr6:coauthVersionLast="47" xr6:coauthVersionMax="47" xr10:uidLastSave="{00000000-0000-0000-0000-000000000000}"/>
  <bookViews>
    <workbookView xWindow="28680" yWindow="-120" windowWidth="29040" windowHeight="15720" tabRatio="607" xr2:uid="{00000000-000D-0000-FFFF-FFFF00000000}"/>
  </bookViews>
  <sheets>
    <sheet name="Total" sheetId="15" r:id="rId1"/>
    <sheet name="LED Ташкент" sheetId="24" r:id="rId2"/>
    <sheet name="LED Регионы" sheetId="10" r:id="rId3"/>
    <sheet name="LED Остановки " sheetId="8" r:id="rId4"/>
    <sheet name="Статика Таш + Регионы" sheetId="12" r:id="rId5"/>
    <sheet name="Аэропорт" sheetId="13" r:id="rId6"/>
    <sheet name="Автобусы" sheetId="22" r:id="rId7"/>
    <sheet name="Поезда" sheetId="20" r:id="rId8"/>
    <sheet name="регионы-города" sheetId="3" state="hidden" r:id="rId9"/>
    <sheet name="справочник" sheetId="2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e" localSheetId="0">#REF!</definedName>
    <definedName name="\e">#REF!</definedName>
    <definedName name="\l" localSheetId="0">#REF!</definedName>
    <definedName name="\l">#REF!</definedName>
    <definedName name="_\e">#REF!</definedName>
    <definedName name="_\l">#REF!</definedName>
    <definedName name="__________MCV2">[1]Vehicles!$B$58:$O$58</definedName>
    <definedName name="_________dd1" localSheetId="1" hidden="1">{#N/A,#N/A,TRUE,"Пресса";#N/A,#N/A,TRUE,"Метро";#N/A,#N/A,TRUE,"Щиты";#N/A,#N/A,TRUE,"График";#N/A,#N/A,TRUE,"График"}</definedName>
    <definedName name="_________dd1" localSheetId="0" hidden="1">{#N/A,#N/A,TRUE,"Пресса";#N/A,#N/A,TRUE,"Метро";#N/A,#N/A,TRUE,"Щиты";#N/A,#N/A,TRUE,"График";#N/A,#N/A,TRUE,"График"}</definedName>
    <definedName name="_________dd1" localSheetId="7" hidden="1">{#N/A,#N/A,TRUE,"Пресса";#N/A,#N/A,TRUE,"Метро";#N/A,#N/A,TRUE,"Щиты";#N/A,#N/A,TRUE,"График";#N/A,#N/A,TRUE,"График"}</definedName>
    <definedName name="_________dd1" hidden="1">{#N/A,#N/A,TRUE,"Пресса";#N/A,#N/A,TRUE,"Метро";#N/A,#N/A,TRUE,"Щиты";#N/A,#N/A,TRUE,"График";#N/A,#N/A,TRUE,"График"}</definedName>
    <definedName name="_________eh1" localSheetId="1" hidden="1">{#N/A,#N/A,TRUE,"Пресса";#N/A,#N/A,TRUE,"Метро";#N/A,#N/A,TRUE,"Щиты";#N/A,#N/A,TRUE,"График";#N/A,#N/A,TRUE,"График"}</definedName>
    <definedName name="_________eh1" localSheetId="0" hidden="1">{#N/A,#N/A,TRUE,"Пресса";#N/A,#N/A,TRUE,"Метро";#N/A,#N/A,TRUE,"Щиты";#N/A,#N/A,TRUE,"График";#N/A,#N/A,TRUE,"График"}</definedName>
    <definedName name="_________eh1" localSheetId="7" hidden="1">{#N/A,#N/A,TRUE,"Пресса";#N/A,#N/A,TRUE,"Метро";#N/A,#N/A,TRUE,"Щиты";#N/A,#N/A,TRUE,"График";#N/A,#N/A,TRUE,"График"}</definedName>
    <definedName name="_________eh1" hidden="1">{#N/A,#N/A,TRUE,"Пресса";#N/A,#N/A,TRUE,"Метро";#N/A,#N/A,TRUE,"Щиты";#N/A,#N/A,TRUE,"График";#N/A,#N/A,TRUE,"График"}</definedName>
    <definedName name="_________fjk1" localSheetId="1" hidden="1">{#N/A,#N/A,TRUE,"Пресса";#N/A,#N/A,TRUE,"Метро";#N/A,#N/A,TRUE,"Щиты";#N/A,#N/A,TRUE,"График";#N/A,#N/A,TRUE,"График"}</definedName>
    <definedName name="_________fjk1" localSheetId="0" hidden="1">{#N/A,#N/A,TRUE,"Пресса";#N/A,#N/A,TRUE,"Метро";#N/A,#N/A,TRUE,"Щиты";#N/A,#N/A,TRUE,"График";#N/A,#N/A,TRUE,"График"}</definedName>
    <definedName name="_________fjk1" localSheetId="7" hidden="1">{#N/A,#N/A,TRUE,"Пресса";#N/A,#N/A,TRUE,"Метро";#N/A,#N/A,TRUE,"Щиты";#N/A,#N/A,TRUE,"График";#N/A,#N/A,TRUE,"График"}</definedName>
    <definedName name="_________fjk1" hidden="1">{#N/A,#N/A,TRUE,"Пресса";#N/A,#N/A,TRUE,"Метро";#N/A,#N/A,TRUE,"Щиты";#N/A,#N/A,TRUE,"График";#N/A,#N/A,TRUE,"График"}</definedName>
    <definedName name="_________fjk2" localSheetId="1" hidden="1">{#N/A,#N/A,TRUE,"Пресса";#N/A,#N/A,TRUE,"Метро";#N/A,#N/A,TRUE,"Щиты";#N/A,#N/A,TRUE,"График";#N/A,#N/A,TRUE,"График"}</definedName>
    <definedName name="_________fjk2" localSheetId="0" hidden="1">{#N/A,#N/A,TRUE,"Пресса";#N/A,#N/A,TRUE,"Метро";#N/A,#N/A,TRUE,"Щиты";#N/A,#N/A,TRUE,"График";#N/A,#N/A,TRUE,"График"}</definedName>
    <definedName name="_________fjk2" localSheetId="7" hidden="1">{#N/A,#N/A,TRUE,"Пресса";#N/A,#N/A,TRUE,"Метро";#N/A,#N/A,TRUE,"Щиты";#N/A,#N/A,TRUE,"График";#N/A,#N/A,TRUE,"График"}</definedName>
    <definedName name="_________fjk2" hidden="1">{#N/A,#N/A,TRUE,"Пресса";#N/A,#N/A,TRUE,"Метро";#N/A,#N/A,TRUE,"Щиты";#N/A,#N/A,TRUE,"График";#N/A,#N/A,TRUE,"График"}</definedName>
    <definedName name="_________GK2" localSheetId="1" hidden="1">{#N/A,#N/A,TRUE,"Пресса";#N/A,#N/A,TRUE,"Метро";#N/A,#N/A,TRUE,"Щиты";#N/A,#N/A,TRUE,"График";#N/A,#N/A,TRUE,"График"}</definedName>
    <definedName name="_________GK2" localSheetId="0" hidden="1">{#N/A,#N/A,TRUE,"Пресса";#N/A,#N/A,TRUE,"Метро";#N/A,#N/A,TRUE,"Щиты";#N/A,#N/A,TRUE,"График";#N/A,#N/A,TRUE,"График"}</definedName>
    <definedName name="_________GK2" localSheetId="7" hidden="1">{#N/A,#N/A,TRUE,"Пресса";#N/A,#N/A,TRUE,"Метро";#N/A,#N/A,TRUE,"Щиты";#N/A,#N/A,TRUE,"График";#N/A,#N/A,TRUE,"График"}</definedName>
    <definedName name="_________GK2" hidden="1">{#N/A,#N/A,TRUE,"Пресса";#N/A,#N/A,TRUE,"Метро";#N/A,#N/A,TRUE,"Щиты";#N/A,#N/A,TRUE,"График";#N/A,#N/A,TRUE,"График"}</definedName>
    <definedName name="_________hen2" localSheetId="1" hidden="1">{#N/A,#N/A,TRUE,"Пресса";#N/A,#N/A,TRUE,"Метро";#N/A,#N/A,TRUE,"Щиты";#N/A,#N/A,TRUE,"График";#N/A,#N/A,TRUE,"График"}</definedName>
    <definedName name="_________hen2" localSheetId="0" hidden="1">{#N/A,#N/A,TRUE,"Пресса";#N/A,#N/A,TRUE,"Метро";#N/A,#N/A,TRUE,"Щиты";#N/A,#N/A,TRUE,"График";#N/A,#N/A,TRUE,"График"}</definedName>
    <definedName name="_________hen2" localSheetId="7" hidden="1">{#N/A,#N/A,TRUE,"Пресса";#N/A,#N/A,TRUE,"Метро";#N/A,#N/A,TRUE,"Щиты";#N/A,#N/A,TRUE,"График";#N/A,#N/A,TRUE,"График"}</definedName>
    <definedName name="_________hen2" hidden="1">{#N/A,#N/A,TRUE,"Пресса";#N/A,#N/A,TRUE,"Метро";#N/A,#N/A,TRUE,"Щиты";#N/A,#N/A,TRUE,"График";#N/A,#N/A,TRUE,"График"}</definedName>
    <definedName name="_________MCV2">[1]Vehicles!$B$58:$O$58</definedName>
    <definedName name="_________old1" localSheetId="1" hidden="1">{#N/A,#N/A,TRUE,"Пресса";#N/A,#N/A,TRUE,"Метро";#N/A,#N/A,TRUE,"Щиты";#N/A,#N/A,TRUE,"График";#N/A,#N/A,TRUE,"График"}</definedName>
    <definedName name="_________old1" localSheetId="0" hidden="1">{#N/A,#N/A,TRUE,"Пресса";#N/A,#N/A,TRUE,"Метро";#N/A,#N/A,TRUE,"Щиты";#N/A,#N/A,TRUE,"График";#N/A,#N/A,TRUE,"График"}</definedName>
    <definedName name="_________old1" localSheetId="7" hidden="1">{#N/A,#N/A,TRUE,"Пресса";#N/A,#N/A,TRUE,"Метро";#N/A,#N/A,TRUE,"Щиты";#N/A,#N/A,TRUE,"График";#N/A,#N/A,TRUE,"График"}</definedName>
    <definedName name="_________old1" hidden="1">{#N/A,#N/A,TRUE,"Пресса";#N/A,#N/A,TRUE,"Метро";#N/A,#N/A,TRUE,"Щиты";#N/A,#N/A,TRUE,"График";#N/A,#N/A,TRUE,"График"}</definedName>
    <definedName name="_________old2" localSheetId="1" hidden="1">{#N/A,#N/A,TRUE,"Пресса";#N/A,#N/A,TRUE,"Метро";#N/A,#N/A,TRUE,"Щиты";#N/A,#N/A,TRUE,"График";#N/A,#N/A,TRUE,"График"}</definedName>
    <definedName name="_________old2" localSheetId="0" hidden="1">{#N/A,#N/A,TRUE,"Пресса";#N/A,#N/A,TRUE,"Метро";#N/A,#N/A,TRUE,"Щиты";#N/A,#N/A,TRUE,"График";#N/A,#N/A,TRUE,"График"}</definedName>
    <definedName name="_________old2" localSheetId="7" hidden="1">{#N/A,#N/A,TRUE,"Пресса";#N/A,#N/A,TRUE,"Метро";#N/A,#N/A,TRUE,"Щиты";#N/A,#N/A,TRUE,"График";#N/A,#N/A,TRUE,"График"}</definedName>
    <definedName name="_________old2" hidden="1">{#N/A,#N/A,TRUE,"Пресса";#N/A,#N/A,TRUE,"Метро";#N/A,#N/A,TRUE,"Щиты";#N/A,#N/A,TRUE,"График";#N/A,#N/A,TRUE,"График"}</definedName>
    <definedName name="_________wwe2" localSheetId="1" hidden="1">{#VALUE!,#N/A,TRUE,0;#N/A,#N/A,TRUE,0;#N/A,#N/A,TRUE,0;#N/A,#N/A,TRUE,0;#N/A,#N/A,TRUE,0}</definedName>
    <definedName name="_________wwe2" localSheetId="0" hidden="1">{#VALUE!,#N/A,TRUE,0;#N/A,#N/A,TRUE,0;#N/A,#N/A,TRUE,0;#N/A,#N/A,TRUE,0;#N/A,#N/A,TRUE,0}</definedName>
    <definedName name="_________wwe2" localSheetId="7" hidden="1">{#VALUE!,#N/A,TRUE,0;#N/A,#N/A,TRUE,0;#N/A,#N/A,TRUE,0;#N/A,#N/A,TRUE,0;#N/A,#N/A,TRUE,0}</definedName>
    <definedName name="_________wwe2" hidden="1">{#VALUE!,#N/A,TRUE,0;#N/A,#N/A,TRUE,0;#N/A,#N/A,TRUE,0;#N/A,#N/A,TRUE,0;#N/A,#N/A,TRUE,0}</definedName>
    <definedName name="________erw2" hidden="1">27</definedName>
    <definedName name="________MCV2">[1]Vehicles!$B$58:$O$58</definedName>
    <definedName name="_______dd1" localSheetId="1" hidden="1">{#N/A,#N/A,TRUE,"Пресса";#N/A,#N/A,TRUE,"Метро";#N/A,#N/A,TRUE,"Щиты";#N/A,#N/A,TRUE,"График";#N/A,#N/A,TRUE,"График"}</definedName>
    <definedName name="_______dd1" localSheetId="0" hidden="1">{#N/A,#N/A,TRUE,"Пресса";#N/A,#N/A,TRUE,"Метро";#N/A,#N/A,TRUE,"Щиты";#N/A,#N/A,TRUE,"График";#N/A,#N/A,TRUE,"График"}</definedName>
    <definedName name="_______dd1" localSheetId="7" hidden="1">{#N/A,#N/A,TRUE,"Пресса";#N/A,#N/A,TRUE,"Метро";#N/A,#N/A,TRUE,"Щиты";#N/A,#N/A,TRUE,"График";#N/A,#N/A,TRUE,"График"}</definedName>
    <definedName name="_______dd1" hidden="1">{#N/A,#N/A,TRUE,"Пресса";#N/A,#N/A,TRUE,"Метро";#N/A,#N/A,TRUE,"Щиты";#N/A,#N/A,TRUE,"График";#N/A,#N/A,TRUE,"График"}</definedName>
    <definedName name="_______eh1" localSheetId="1" hidden="1">{#N/A,#N/A,TRUE,"Пресса";#N/A,#N/A,TRUE,"Метро";#N/A,#N/A,TRUE,"Щиты";#N/A,#N/A,TRUE,"График";#N/A,#N/A,TRUE,"График"}</definedName>
    <definedName name="_______eh1" localSheetId="0" hidden="1">{#N/A,#N/A,TRUE,"Пресса";#N/A,#N/A,TRUE,"Метро";#N/A,#N/A,TRUE,"Щиты";#N/A,#N/A,TRUE,"График";#N/A,#N/A,TRUE,"График"}</definedName>
    <definedName name="_______eh1" localSheetId="7" hidden="1">{#N/A,#N/A,TRUE,"Пресса";#N/A,#N/A,TRUE,"Метро";#N/A,#N/A,TRUE,"Щиты";#N/A,#N/A,TRUE,"График";#N/A,#N/A,TRUE,"График"}</definedName>
    <definedName name="_______eh1" hidden="1">{#N/A,#N/A,TRUE,"Пресса";#N/A,#N/A,TRUE,"Метро";#N/A,#N/A,TRUE,"Щиты";#N/A,#N/A,TRUE,"График";#N/A,#N/A,TRUE,"График"}</definedName>
    <definedName name="_______erw2" hidden="1">27</definedName>
    <definedName name="_______fjk1" localSheetId="1" hidden="1">{#N/A,#N/A,TRUE,"Пресса";#N/A,#N/A,TRUE,"Метро";#N/A,#N/A,TRUE,"Щиты";#N/A,#N/A,TRUE,"График";#N/A,#N/A,TRUE,"График"}</definedName>
    <definedName name="_______fjk1" localSheetId="0" hidden="1">{#N/A,#N/A,TRUE,"Пресса";#N/A,#N/A,TRUE,"Метро";#N/A,#N/A,TRUE,"Щиты";#N/A,#N/A,TRUE,"График";#N/A,#N/A,TRUE,"График"}</definedName>
    <definedName name="_______fjk1" localSheetId="7" hidden="1">{#N/A,#N/A,TRUE,"Пресса";#N/A,#N/A,TRUE,"Метро";#N/A,#N/A,TRUE,"Щиты";#N/A,#N/A,TRUE,"График";#N/A,#N/A,TRUE,"График"}</definedName>
    <definedName name="_______fjk1" hidden="1">{#N/A,#N/A,TRUE,"Пресса";#N/A,#N/A,TRUE,"Метро";#N/A,#N/A,TRUE,"Щиты";#N/A,#N/A,TRUE,"График";#N/A,#N/A,TRUE,"График"}</definedName>
    <definedName name="_______fjk2" localSheetId="1" hidden="1">{#N/A,#N/A,TRUE,"Пресса";#N/A,#N/A,TRUE,"Метро";#N/A,#N/A,TRUE,"Щиты";#N/A,#N/A,TRUE,"График";#N/A,#N/A,TRUE,"График"}</definedName>
    <definedName name="_______fjk2" localSheetId="0" hidden="1">{#N/A,#N/A,TRUE,"Пресса";#N/A,#N/A,TRUE,"Метро";#N/A,#N/A,TRUE,"Щиты";#N/A,#N/A,TRUE,"График";#N/A,#N/A,TRUE,"График"}</definedName>
    <definedName name="_______fjk2" localSheetId="7" hidden="1">{#N/A,#N/A,TRUE,"Пресса";#N/A,#N/A,TRUE,"Метро";#N/A,#N/A,TRUE,"Щиты";#N/A,#N/A,TRUE,"График";#N/A,#N/A,TRUE,"График"}</definedName>
    <definedName name="_______fjk2" hidden="1">{#N/A,#N/A,TRUE,"Пресса";#N/A,#N/A,TRUE,"Метро";#N/A,#N/A,TRUE,"Щиты";#N/A,#N/A,TRUE,"График";#N/A,#N/A,TRUE,"График"}</definedName>
    <definedName name="_______GK2" localSheetId="1" hidden="1">{#N/A,#N/A,TRUE,"Пресса";#N/A,#N/A,TRUE,"Метро";#N/A,#N/A,TRUE,"Щиты";#N/A,#N/A,TRUE,"График";#N/A,#N/A,TRUE,"График"}</definedName>
    <definedName name="_______GK2" localSheetId="0" hidden="1">{#N/A,#N/A,TRUE,"Пресса";#N/A,#N/A,TRUE,"Метро";#N/A,#N/A,TRUE,"Щиты";#N/A,#N/A,TRUE,"График";#N/A,#N/A,TRUE,"График"}</definedName>
    <definedName name="_______GK2" localSheetId="7" hidden="1">{#N/A,#N/A,TRUE,"Пресса";#N/A,#N/A,TRUE,"Метро";#N/A,#N/A,TRUE,"Щиты";#N/A,#N/A,TRUE,"График";#N/A,#N/A,TRUE,"График"}</definedName>
    <definedName name="_______GK2" hidden="1">{#N/A,#N/A,TRUE,"Пресса";#N/A,#N/A,TRUE,"Метро";#N/A,#N/A,TRUE,"Щиты";#N/A,#N/A,TRUE,"График";#N/A,#N/A,TRUE,"График"}</definedName>
    <definedName name="_______hen2" localSheetId="1" hidden="1">{#N/A,#N/A,TRUE,"Пресса";#N/A,#N/A,TRUE,"Метро";#N/A,#N/A,TRUE,"Щиты";#N/A,#N/A,TRUE,"График";#N/A,#N/A,TRUE,"График"}</definedName>
    <definedName name="_______hen2" localSheetId="0" hidden="1">{#N/A,#N/A,TRUE,"Пресса";#N/A,#N/A,TRUE,"Метро";#N/A,#N/A,TRUE,"Щиты";#N/A,#N/A,TRUE,"График";#N/A,#N/A,TRUE,"График"}</definedName>
    <definedName name="_______hen2" localSheetId="7" hidden="1">{#N/A,#N/A,TRUE,"Пресса";#N/A,#N/A,TRUE,"Метро";#N/A,#N/A,TRUE,"Щиты";#N/A,#N/A,TRUE,"График";#N/A,#N/A,TRUE,"График"}</definedName>
    <definedName name="_______hen2" hidden="1">{#N/A,#N/A,TRUE,"Пресса";#N/A,#N/A,TRUE,"Метро";#N/A,#N/A,TRUE,"Щиты";#N/A,#N/A,TRUE,"График";#N/A,#N/A,TRUE,"График"}</definedName>
    <definedName name="_______MCV2">[1]Vehicles!$B$58:$O$58</definedName>
    <definedName name="_______old1" localSheetId="1" hidden="1">{#N/A,#N/A,TRUE,"Пресса";#N/A,#N/A,TRUE,"Метро";#N/A,#N/A,TRUE,"Щиты";#N/A,#N/A,TRUE,"График";#N/A,#N/A,TRUE,"График"}</definedName>
    <definedName name="_______old1" localSheetId="0" hidden="1">{#N/A,#N/A,TRUE,"Пресса";#N/A,#N/A,TRUE,"Метро";#N/A,#N/A,TRUE,"Щиты";#N/A,#N/A,TRUE,"График";#N/A,#N/A,TRUE,"График"}</definedName>
    <definedName name="_______old1" localSheetId="7" hidden="1">{#N/A,#N/A,TRUE,"Пресса";#N/A,#N/A,TRUE,"Метро";#N/A,#N/A,TRUE,"Щиты";#N/A,#N/A,TRUE,"График";#N/A,#N/A,TRUE,"График"}</definedName>
    <definedName name="_______old1" hidden="1">{#N/A,#N/A,TRUE,"Пресса";#N/A,#N/A,TRUE,"Метро";#N/A,#N/A,TRUE,"Щиты";#N/A,#N/A,TRUE,"График";#N/A,#N/A,TRUE,"График"}</definedName>
    <definedName name="_______old2" localSheetId="1" hidden="1">{#N/A,#N/A,TRUE,"Пресса";#N/A,#N/A,TRUE,"Метро";#N/A,#N/A,TRUE,"Щиты";#N/A,#N/A,TRUE,"График";#N/A,#N/A,TRUE,"График"}</definedName>
    <definedName name="_______old2" localSheetId="0" hidden="1">{#N/A,#N/A,TRUE,"Пресса";#N/A,#N/A,TRUE,"Метро";#N/A,#N/A,TRUE,"Щиты";#N/A,#N/A,TRUE,"График";#N/A,#N/A,TRUE,"График"}</definedName>
    <definedName name="_______old2" localSheetId="7" hidden="1">{#N/A,#N/A,TRUE,"Пресса";#N/A,#N/A,TRUE,"Метро";#N/A,#N/A,TRUE,"Щиты";#N/A,#N/A,TRUE,"График";#N/A,#N/A,TRUE,"График"}</definedName>
    <definedName name="_______old2" hidden="1">{#N/A,#N/A,TRUE,"Пресса";#N/A,#N/A,TRUE,"Метро";#N/A,#N/A,TRUE,"Щиты";#N/A,#N/A,TRUE,"График";#N/A,#N/A,TRUE,"График"}</definedName>
    <definedName name="_______wwe2" localSheetId="1" hidden="1">{#VALUE!,#N/A,TRUE,0;#N/A,#N/A,TRUE,0;#N/A,#N/A,TRUE,0;#N/A,#N/A,TRUE,0;#N/A,#N/A,TRUE,0}</definedName>
    <definedName name="_______wwe2" localSheetId="0" hidden="1">{#VALUE!,#N/A,TRUE,0;#N/A,#N/A,TRUE,0;#N/A,#N/A,TRUE,0;#N/A,#N/A,TRUE,0;#N/A,#N/A,TRUE,0}</definedName>
    <definedName name="_______wwe2" localSheetId="7" hidden="1">{#VALUE!,#N/A,TRUE,0;#N/A,#N/A,TRUE,0;#N/A,#N/A,TRUE,0;#N/A,#N/A,TRUE,0;#N/A,#N/A,TRUE,0}</definedName>
    <definedName name="_______wwe2" hidden="1">{#VALUE!,#N/A,TRUE,0;#N/A,#N/A,TRUE,0;#N/A,#N/A,TRUE,0;#N/A,#N/A,TRUE,0;#N/A,#N/A,TRUE,0}</definedName>
    <definedName name="______1solver_rh¤" hidden="1">4</definedName>
    <definedName name="______2solver_va" hidden="1">27</definedName>
    <definedName name="______dd1" localSheetId="1" hidden="1">{#N/A,#N/A,TRUE,"Пресса";#N/A,#N/A,TRUE,"Метро";#N/A,#N/A,TRUE,"Щиты";#N/A,#N/A,TRUE,"График";#N/A,#N/A,TRUE,"График"}</definedName>
    <definedName name="______dd1" localSheetId="0" hidden="1">{#N/A,#N/A,TRUE,"Пресса";#N/A,#N/A,TRUE,"Метро";#N/A,#N/A,TRUE,"Щиты";#N/A,#N/A,TRUE,"График";#N/A,#N/A,TRUE,"График"}</definedName>
    <definedName name="______dd1" localSheetId="7" hidden="1">{#N/A,#N/A,TRUE,"Пресса";#N/A,#N/A,TRUE,"Метро";#N/A,#N/A,TRUE,"Щиты";#N/A,#N/A,TRUE,"График";#N/A,#N/A,TRUE,"График"}</definedName>
    <definedName name="______dd1" hidden="1">{#N/A,#N/A,TRUE,"Пресса";#N/A,#N/A,TRUE,"Метро";#N/A,#N/A,TRUE,"Щиты";#N/A,#N/A,TRUE,"График";#N/A,#N/A,TRUE,"График"}</definedName>
    <definedName name="______eh1" localSheetId="1" hidden="1">{#N/A,#N/A,TRUE,"Пресса";#N/A,#N/A,TRUE,"Метро";#N/A,#N/A,TRUE,"Щиты";#N/A,#N/A,TRUE,"График";#N/A,#N/A,TRUE,"График"}</definedName>
    <definedName name="______eh1" localSheetId="0" hidden="1">{#N/A,#N/A,TRUE,"Пресса";#N/A,#N/A,TRUE,"Метро";#N/A,#N/A,TRUE,"Щиты";#N/A,#N/A,TRUE,"График";#N/A,#N/A,TRUE,"График"}</definedName>
    <definedName name="______eh1" localSheetId="7" hidden="1">{#N/A,#N/A,TRUE,"Пресса";#N/A,#N/A,TRUE,"Метро";#N/A,#N/A,TRUE,"Щиты";#N/A,#N/A,TRUE,"График";#N/A,#N/A,TRUE,"График"}</definedName>
    <definedName name="______eh1" hidden="1">{#N/A,#N/A,TRUE,"Пресса";#N/A,#N/A,TRUE,"Метро";#N/A,#N/A,TRUE,"Щиты";#N/A,#N/A,TRUE,"График";#N/A,#N/A,TRUE,"График"}</definedName>
    <definedName name="______erw2" hidden="1">27</definedName>
    <definedName name="______fjk1" localSheetId="1" hidden="1">{#N/A,#N/A,TRUE,"Пресса";#N/A,#N/A,TRUE,"Метро";#N/A,#N/A,TRUE,"Щиты";#N/A,#N/A,TRUE,"График";#N/A,#N/A,TRUE,"График"}</definedName>
    <definedName name="______fjk1" localSheetId="0" hidden="1">{#N/A,#N/A,TRUE,"Пресса";#N/A,#N/A,TRUE,"Метро";#N/A,#N/A,TRUE,"Щиты";#N/A,#N/A,TRUE,"График";#N/A,#N/A,TRUE,"График"}</definedName>
    <definedName name="______fjk1" localSheetId="7" hidden="1">{#N/A,#N/A,TRUE,"Пресса";#N/A,#N/A,TRUE,"Метро";#N/A,#N/A,TRUE,"Щиты";#N/A,#N/A,TRUE,"График";#N/A,#N/A,TRUE,"График"}</definedName>
    <definedName name="______fjk1" hidden="1">{#N/A,#N/A,TRUE,"Пресса";#N/A,#N/A,TRUE,"Метро";#N/A,#N/A,TRUE,"Щиты";#N/A,#N/A,TRUE,"График";#N/A,#N/A,TRUE,"График"}</definedName>
    <definedName name="______fjk2" localSheetId="1" hidden="1">{#N/A,#N/A,TRUE,"Пресса";#N/A,#N/A,TRUE,"Метро";#N/A,#N/A,TRUE,"Щиты";#N/A,#N/A,TRUE,"График";#N/A,#N/A,TRUE,"График"}</definedName>
    <definedName name="______fjk2" localSheetId="0" hidden="1">{#N/A,#N/A,TRUE,"Пресса";#N/A,#N/A,TRUE,"Метро";#N/A,#N/A,TRUE,"Щиты";#N/A,#N/A,TRUE,"График";#N/A,#N/A,TRUE,"График"}</definedName>
    <definedName name="______fjk2" localSheetId="7" hidden="1">{#N/A,#N/A,TRUE,"Пресса";#N/A,#N/A,TRUE,"Метро";#N/A,#N/A,TRUE,"Щиты";#N/A,#N/A,TRUE,"График";#N/A,#N/A,TRUE,"График"}</definedName>
    <definedName name="______fjk2" hidden="1">{#N/A,#N/A,TRUE,"Пресса";#N/A,#N/A,TRUE,"Метро";#N/A,#N/A,TRUE,"Щиты";#N/A,#N/A,TRUE,"График";#N/A,#N/A,TRUE,"График"}</definedName>
    <definedName name="______GK2" localSheetId="1" hidden="1">{#N/A,#N/A,TRUE,"Пресса";#N/A,#N/A,TRUE,"Метро";#N/A,#N/A,TRUE,"Щиты";#N/A,#N/A,TRUE,"График";#N/A,#N/A,TRUE,"График"}</definedName>
    <definedName name="______GK2" localSheetId="0" hidden="1">{#N/A,#N/A,TRUE,"Пресса";#N/A,#N/A,TRUE,"Метро";#N/A,#N/A,TRUE,"Щиты";#N/A,#N/A,TRUE,"График";#N/A,#N/A,TRUE,"График"}</definedName>
    <definedName name="______GK2" localSheetId="7" hidden="1">{#N/A,#N/A,TRUE,"Пресса";#N/A,#N/A,TRUE,"Метро";#N/A,#N/A,TRUE,"Щиты";#N/A,#N/A,TRUE,"График";#N/A,#N/A,TRUE,"График"}</definedName>
    <definedName name="______GK2" hidden="1">{#N/A,#N/A,TRUE,"Пресса";#N/A,#N/A,TRUE,"Метро";#N/A,#N/A,TRUE,"Щиты";#N/A,#N/A,TRUE,"График";#N/A,#N/A,TRUE,"График"}</definedName>
    <definedName name="______hen2" localSheetId="1" hidden="1">{#N/A,#N/A,TRUE,"Пресса";#N/A,#N/A,TRUE,"Метро";#N/A,#N/A,TRUE,"Щиты";#N/A,#N/A,TRUE,"График";#N/A,#N/A,TRUE,"График"}</definedName>
    <definedName name="______hen2" localSheetId="0" hidden="1">{#N/A,#N/A,TRUE,"Пресса";#N/A,#N/A,TRUE,"Метро";#N/A,#N/A,TRUE,"Щиты";#N/A,#N/A,TRUE,"График";#N/A,#N/A,TRUE,"График"}</definedName>
    <definedName name="______hen2" localSheetId="7" hidden="1">{#N/A,#N/A,TRUE,"Пресса";#N/A,#N/A,TRUE,"Метро";#N/A,#N/A,TRUE,"Щиты";#N/A,#N/A,TRUE,"График";#N/A,#N/A,TRUE,"График"}</definedName>
    <definedName name="______hen2" hidden="1">{#N/A,#N/A,TRUE,"Пресса";#N/A,#N/A,TRUE,"Метро";#N/A,#N/A,TRUE,"Щиты";#N/A,#N/A,TRUE,"График";#N/A,#N/A,TRUE,"График"}</definedName>
    <definedName name="______MCV2">[1]Vehicles!$B$58:$O$58</definedName>
    <definedName name="______old1" localSheetId="1" hidden="1">{#N/A,#N/A,TRUE,"Пресса";#N/A,#N/A,TRUE,"Метро";#N/A,#N/A,TRUE,"Щиты";#N/A,#N/A,TRUE,"График";#N/A,#N/A,TRUE,"График"}</definedName>
    <definedName name="______old1" localSheetId="0" hidden="1">{#N/A,#N/A,TRUE,"Пресса";#N/A,#N/A,TRUE,"Метро";#N/A,#N/A,TRUE,"Щиты";#N/A,#N/A,TRUE,"График";#N/A,#N/A,TRUE,"График"}</definedName>
    <definedName name="______old1" localSheetId="7" hidden="1">{#N/A,#N/A,TRUE,"Пресса";#N/A,#N/A,TRUE,"Метро";#N/A,#N/A,TRUE,"Щиты";#N/A,#N/A,TRUE,"График";#N/A,#N/A,TRUE,"График"}</definedName>
    <definedName name="______old1" hidden="1">{#N/A,#N/A,TRUE,"Пресса";#N/A,#N/A,TRUE,"Метро";#N/A,#N/A,TRUE,"Щиты";#N/A,#N/A,TRUE,"График";#N/A,#N/A,TRUE,"График"}</definedName>
    <definedName name="______old2" localSheetId="1" hidden="1">{#N/A,#N/A,TRUE,"Пресса";#N/A,#N/A,TRUE,"Метро";#N/A,#N/A,TRUE,"Щиты";#N/A,#N/A,TRUE,"График";#N/A,#N/A,TRUE,"График"}</definedName>
    <definedName name="______old2" localSheetId="0" hidden="1">{#N/A,#N/A,TRUE,"Пресса";#N/A,#N/A,TRUE,"Метро";#N/A,#N/A,TRUE,"Щиты";#N/A,#N/A,TRUE,"График";#N/A,#N/A,TRUE,"График"}</definedName>
    <definedName name="______old2" localSheetId="7" hidden="1">{#N/A,#N/A,TRUE,"Пресса";#N/A,#N/A,TRUE,"Метро";#N/A,#N/A,TRUE,"Щиты";#N/A,#N/A,TRUE,"График";#N/A,#N/A,TRUE,"График"}</definedName>
    <definedName name="______old2" hidden="1">{#N/A,#N/A,TRUE,"Пресса";#N/A,#N/A,TRUE,"Метро";#N/A,#N/A,TRUE,"Щиты";#N/A,#N/A,TRUE,"График";#N/A,#N/A,TRUE,"График"}</definedName>
    <definedName name="______wwe2" localSheetId="1" hidden="1">{#VALUE!,#N/A,TRUE,0;#N/A,#N/A,TRUE,0;#N/A,#N/A,TRUE,0;#N/A,#N/A,TRUE,0;#N/A,#N/A,TRUE,0}</definedName>
    <definedName name="______wwe2" localSheetId="0" hidden="1">{#VALUE!,#N/A,TRUE,0;#N/A,#N/A,TRUE,0;#N/A,#N/A,TRUE,0;#N/A,#N/A,TRUE,0;#N/A,#N/A,TRUE,0}</definedName>
    <definedName name="______wwe2" localSheetId="7" hidden="1">{#VALUE!,#N/A,TRUE,0;#N/A,#N/A,TRUE,0;#N/A,#N/A,TRUE,0;#N/A,#N/A,TRUE,0;#N/A,#N/A,TRUE,0}</definedName>
    <definedName name="______wwe2" hidden="1">{#VALUE!,#N/A,TRUE,0;#N/A,#N/A,TRUE,0;#N/A,#N/A,TRUE,0;#N/A,#N/A,TRUE,0;#N/A,#N/A,TRUE,0}</definedName>
    <definedName name="_____1solver_rh¤" hidden="1">4</definedName>
    <definedName name="_____2solver_va" hidden="1">27</definedName>
    <definedName name="_____dd1" localSheetId="1" hidden="1">{#N/A,#N/A,TRUE,"Пресса";#N/A,#N/A,TRUE,"Метро";#N/A,#N/A,TRUE,"Щиты";#N/A,#N/A,TRUE,"График";#N/A,#N/A,TRUE,"График"}</definedName>
    <definedName name="_____dd1" localSheetId="0" hidden="1">{#N/A,#N/A,TRUE,"Пресса";#N/A,#N/A,TRUE,"Метро";#N/A,#N/A,TRUE,"Щиты";#N/A,#N/A,TRUE,"График";#N/A,#N/A,TRUE,"График"}</definedName>
    <definedName name="_____dd1" localSheetId="7" hidden="1">{#N/A,#N/A,TRUE,"Пресса";#N/A,#N/A,TRUE,"Метро";#N/A,#N/A,TRUE,"Щиты";#N/A,#N/A,TRUE,"График";#N/A,#N/A,TRUE,"График"}</definedName>
    <definedName name="_____dd1" hidden="1">{#N/A,#N/A,TRUE,"Пресса";#N/A,#N/A,TRUE,"Метро";#N/A,#N/A,TRUE,"Щиты";#N/A,#N/A,TRUE,"График";#N/A,#N/A,TRUE,"График"}</definedName>
    <definedName name="_____eh1" localSheetId="1" hidden="1">{#N/A,#N/A,TRUE,"Пресса";#N/A,#N/A,TRUE,"Метро";#N/A,#N/A,TRUE,"Щиты";#N/A,#N/A,TRUE,"График";#N/A,#N/A,TRUE,"График"}</definedName>
    <definedName name="_____eh1" localSheetId="0" hidden="1">{#N/A,#N/A,TRUE,"Пресса";#N/A,#N/A,TRUE,"Метро";#N/A,#N/A,TRUE,"Щиты";#N/A,#N/A,TRUE,"График";#N/A,#N/A,TRUE,"График"}</definedName>
    <definedName name="_____eh1" localSheetId="7" hidden="1">{#N/A,#N/A,TRUE,"Пресса";#N/A,#N/A,TRUE,"Метро";#N/A,#N/A,TRUE,"Щиты";#N/A,#N/A,TRUE,"График";#N/A,#N/A,TRUE,"График"}</definedName>
    <definedName name="_____eh1" hidden="1">{#N/A,#N/A,TRUE,"Пресса";#N/A,#N/A,TRUE,"Метро";#N/A,#N/A,TRUE,"Щиты";#N/A,#N/A,TRUE,"График";#N/A,#N/A,TRUE,"График"}</definedName>
    <definedName name="_____erw2" hidden="1">27</definedName>
    <definedName name="_____fjk1" localSheetId="1" hidden="1">{#N/A,#N/A,TRUE,"Пресса";#N/A,#N/A,TRUE,"Метро";#N/A,#N/A,TRUE,"Щиты";#N/A,#N/A,TRUE,"График";#N/A,#N/A,TRUE,"График"}</definedName>
    <definedName name="_____fjk1" localSheetId="0" hidden="1">{#N/A,#N/A,TRUE,"Пресса";#N/A,#N/A,TRUE,"Метро";#N/A,#N/A,TRUE,"Щиты";#N/A,#N/A,TRUE,"График";#N/A,#N/A,TRUE,"График"}</definedName>
    <definedName name="_____fjk1" localSheetId="7" hidden="1">{#N/A,#N/A,TRUE,"Пресса";#N/A,#N/A,TRUE,"Метро";#N/A,#N/A,TRUE,"Щиты";#N/A,#N/A,TRUE,"График";#N/A,#N/A,TRUE,"График"}</definedName>
    <definedName name="_____fjk1" hidden="1">{#N/A,#N/A,TRUE,"Пресса";#N/A,#N/A,TRUE,"Метро";#N/A,#N/A,TRUE,"Щиты";#N/A,#N/A,TRUE,"График";#N/A,#N/A,TRUE,"График"}</definedName>
    <definedName name="_____fjk2" localSheetId="1" hidden="1">{#N/A,#N/A,TRUE,"Пресса";#N/A,#N/A,TRUE,"Метро";#N/A,#N/A,TRUE,"Щиты";#N/A,#N/A,TRUE,"График";#N/A,#N/A,TRUE,"График"}</definedName>
    <definedName name="_____fjk2" localSheetId="0" hidden="1">{#N/A,#N/A,TRUE,"Пресса";#N/A,#N/A,TRUE,"Метро";#N/A,#N/A,TRUE,"Щиты";#N/A,#N/A,TRUE,"График";#N/A,#N/A,TRUE,"График"}</definedName>
    <definedName name="_____fjk2" localSheetId="7" hidden="1">{#N/A,#N/A,TRUE,"Пресса";#N/A,#N/A,TRUE,"Метро";#N/A,#N/A,TRUE,"Щиты";#N/A,#N/A,TRUE,"График";#N/A,#N/A,TRUE,"График"}</definedName>
    <definedName name="_____fjk2" hidden="1">{#N/A,#N/A,TRUE,"Пресса";#N/A,#N/A,TRUE,"Метро";#N/A,#N/A,TRUE,"Щиты";#N/A,#N/A,TRUE,"График";#N/A,#N/A,TRUE,"График"}</definedName>
    <definedName name="_____GK2" localSheetId="1" hidden="1">{#N/A,#N/A,TRUE,"Пресса";#N/A,#N/A,TRUE,"Метро";#N/A,#N/A,TRUE,"Щиты";#N/A,#N/A,TRUE,"График";#N/A,#N/A,TRUE,"График"}</definedName>
    <definedName name="_____GK2" localSheetId="0" hidden="1">{#N/A,#N/A,TRUE,"Пресса";#N/A,#N/A,TRUE,"Метро";#N/A,#N/A,TRUE,"Щиты";#N/A,#N/A,TRUE,"График";#N/A,#N/A,TRUE,"График"}</definedName>
    <definedName name="_____GK2" localSheetId="7" hidden="1">{#N/A,#N/A,TRUE,"Пресса";#N/A,#N/A,TRUE,"Метро";#N/A,#N/A,TRUE,"Щиты";#N/A,#N/A,TRUE,"График";#N/A,#N/A,TRUE,"График"}</definedName>
    <definedName name="_____GK2" hidden="1">{#N/A,#N/A,TRUE,"Пресса";#N/A,#N/A,TRUE,"Метро";#N/A,#N/A,TRUE,"Щиты";#N/A,#N/A,TRUE,"График";#N/A,#N/A,TRUE,"График"}</definedName>
    <definedName name="_____hen2" localSheetId="1" hidden="1">{#N/A,#N/A,TRUE,"Пресса";#N/A,#N/A,TRUE,"Метро";#N/A,#N/A,TRUE,"Щиты";#N/A,#N/A,TRUE,"График";#N/A,#N/A,TRUE,"График"}</definedName>
    <definedName name="_____hen2" localSheetId="0" hidden="1">{#N/A,#N/A,TRUE,"Пресса";#N/A,#N/A,TRUE,"Метро";#N/A,#N/A,TRUE,"Щиты";#N/A,#N/A,TRUE,"График";#N/A,#N/A,TRUE,"График"}</definedName>
    <definedName name="_____hen2" localSheetId="7" hidden="1">{#N/A,#N/A,TRUE,"Пресса";#N/A,#N/A,TRUE,"Метро";#N/A,#N/A,TRUE,"Щиты";#N/A,#N/A,TRUE,"График";#N/A,#N/A,TRUE,"График"}</definedName>
    <definedName name="_____hen2" hidden="1">{#N/A,#N/A,TRUE,"Пресса";#N/A,#N/A,TRUE,"Метро";#N/A,#N/A,TRUE,"Щиты";#N/A,#N/A,TRUE,"График";#N/A,#N/A,TRUE,"График"}</definedName>
    <definedName name="_____MCV2">[1]Vehicles!$B$58:$O$58</definedName>
    <definedName name="_____old1" localSheetId="1" hidden="1">{#N/A,#N/A,TRUE,"Пресса";#N/A,#N/A,TRUE,"Метро";#N/A,#N/A,TRUE,"Щиты";#N/A,#N/A,TRUE,"График";#N/A,#N/A,TRUE,"График"}</definedName>
    <definedName name="_____old1" localSheetId="0" hidden="1">{#N/A,#N/A,TRUE,"Пресса";#N/A,#N/A,TRUE,"Метро";#N/A,#N/A,TRUE,"Щиты";#N/A,#N/A,TRUE,"График";#N/A,#N/A,TRUE,"График"}</definedName>
    <definedName name="_____old1" localSheetId="7" hidden="1">{#N/A,#N/A,TRUE,"Пресса";#N/A,#N/A,TRUE,"Метро";#N/A,#N/A,TRUE,"Щиты";#N/A,#N/A,TRUE,"График";#N/A,#N/A,TRUE,"График"}</definedName>
    <definedName name="_____old1" hidden="1">{#N/A,#N/A,TRUE,"Пресса";#N/A,#N/A,TRUE,"Метро";#N/A,#N/A,TRUE,"Щиты";#N/A,#N/A,TRUE,"График";#N/A,#N/A,TRUE,"График"}</definedName>
    <definedName name="_____old2" localSheetId="1" hidden="1">{#N/A,#N/A,TRUE,"Пресса";#N/A,#N/A,TRUE,"Метро";#N/A,#N/A,TRUE,"Щиты";#N/A,#N/A,TRUE,"График";#N/A,#N/A,TRUE,"График"}</definedName>
    <definedName name="_____old2" localSheetId="0" hidden="1">{#N/A,#N/A,TRUE,"Пресса";#N/A,#N/A,TRUE,"Метро";#N/A,#N/A,TRUE,"Щиты";#N/A,#N/A,TRUE,"График";#N/A,#N/A,TRUE,"График"}</definedName>
    <definedName name="_____old2" localSheetId="7" hidden="1">{#N/A,#N/A,TRUE,"Пресса";#N/A,#N/A,TRUE,"Метро";#N/A,#N/A,TRUE,"Щиты";#N/A,#N/A,TRUE,"График";#N/A,#N/A,TRUE,"График"}</definedName>
    <definedName name="_____old2" hidden="1">{#N/A,#N/A,TRUE,"Пресса";#N/A,#N/A,TRUE,"Метро";#N/A,#N/A,TRUE,"Щиты";#N/A,#N/A,TRUE,"График";#N/A,#N/A,TRUE,"График"}</definedName>
    <definedName name="_____wwe2" localSheetId="1" hidden="1">{#VALUE!,#N/A,TRUE,0;#N/A,#N/A,TRUE,0;#N/A,#N/A,TRUE,0;#N/A,#N/A,TRUE,0;#N/A,#N/A,TRUE,0}</definedName>
    <definedName name="_____wwe2" localSheetId="0" hidden="1">{#VALUE!,#N/A,TRUE,0;#N/A,#N/A,TRUE,0;#N/A,#N/A,TRUE,0;#N/A,#N/A,TRUE,0;#N/A,#N/A,TRUE,0}</definedName>
    <definedName name="_____wwe2" localSheetId="7" hidden="1">{#VALUE!,#N/A,TRUE,0;#N/A,#N/A,TRUE,0;#N/A,#N/A,TRUE,0;#N/A,#N/A,TRUE,0;#N/A,#N/A,TRUE,0}</definedName>
    <definedName name="_____wwe2" hidden="1">{#VALUE!,#N/A,TRUE,0;#N/A,#N/A,TRUE,0;#N/A,#N/A,TRUE,0;#N/A,#N/A,TRUE,0;#N/A,#N/A,TRUE,0}</definedName>
    <definedName name="____1solver_rh¤" hidden="1">4</definedName>
    <definedName name="____2solver_va" hidden="1">27</definedName>
    <definedName name="____dd1" localSheetId="1" hidden="1">{#N/A,#N/A,TRUE,"Пресса";#N/A,#N/A,TRUE,"Метро";#N/A,#N/A,TRUE,"Щиты";#N/A,#N/A,TRUE,"График";#N/A,#N/A,TRUE,"График"}</definedName>
    <definedName name="____dd1" localSheetId="0" hidden="1">{#N/A,#N/A,TRUE,"Пресса";#N/A,#N/A,TRUE,"Метро";#N/A,#N/A,TRUE,"Щиты";#N/A,#N/A,TRUE,"График";#N/A,#N/A,TRUE,"График"}</definedName>
    <definedName name="____dd1" localSheetId="7" hidden="1">{#N/A,#N/A,TRUE,"Пресса";#N/A,#N/A,TRUE,"Метро";#N/A,#N/A,TRUE,"Щиты";#N/A,#N/A,TRUE,"График";#N/A,#N/A,TRUE,"График"}</definedName>
    <definedName name="____dd1" hidden="1">{#N/A,#N/A,TRUE,"Пресса";#N/A,#N/A,TRUE,"Метро";#N/A,#N/A,TRUE,"Щиты";#N/A,#N/A,TRUE,"График";#N/A,#N/A,TRUE,"График"}</definedName>
    <definedName name="____eh1" localSheetId="1" hidden="1">{#N/A,#N/A,TRUE,"Пресса";#N/A,#N/A,TRUE,"Метро";#N/A,#N/A,TRUE,"Щиты";#N/A,#N/A,TRUE,"График";#N/A,#N/A,TRUE,"График"}</definedName>
    <definedName name="____eh1" localSheetId="0" hidden="1">{#N/A,#N/A,TRUE,"Пресса";#N/A,#N/A,TRUE,"Метро";#N/A,#N/A,TRUE,"Щиты";#N/A,#N/A,TRUE,"График";#N/A,#N/A,TRUE,"График"}</definedName>
    <definedName name="____eh1" localSheetId="7" hidden="1">{#N/A,#N/A,TRUE,"Пресса";#N/A,#N/A,TRUE,"Метро";#N/A,#N/A,TRUE,"Щиты";#N/A,#N/A,TRUE,"График";#N/A,#N/A,TRUE,"График"}</definedName>
    <definedName name="____eh1" hidden="1">{#N/A,#N/A,TRUE,"Пресса";#N/A,#N/A,TRUE,"Метро";#N/A,#N/A,TRUE,"Щиты";#N/A,#N/A,TRUE,"График";#N/A,#N/A,TRUE,"График"}</definedName>
    <definedName name="____erw2" hidden="1">27</definedName>
    <definedName name="____fjk1" localSheetId="1" hidden="1">{#N/A,#N/A,TRUE,"Пресса";#N/A,#N/A,TRUE,"Метро";#N/A,#N/A,TRUE,"Щиты";#N/A,#N/A,TRUE,"График";#N/A,#N/A,TRUE,"График"}</definedName>
    <definedName name="____fjk1" localSheetId="0" hidden="1">{#N/A,#N/A,TRUE,"Пресса";#N/A,#N/A,TRUE,"Метро";#N/A,#N/A,TRUE,"Щиты";#N/A,#N/A,TRUE,"График";#N/A,#N/A,TRUE,"График"}</definedName>
    <definedName name="____fjk1" localSheetId="7" hidden="1">{#N/A,#N/A,TRUE,"Пресса";#N/A,#N/A,TRUE,"Метро";#N/A,#N/A,TRUE,"Щиты";#N/A,#N/A,TRUE,"График";#N/A,#N/A,TRUE,"График"}</definedName>
    <definedName name="____fjk1" hidden="1">{#N/A,#N/A,TRUE,"Пресса";#N/A,#N/A,TRUE,"Метро";#N/A,#N/A,TRUE,"Щиты";#N/A,#N/A,TRUE,"График";#N/A,#N/A,TRUE,"График"}</definedName>
    <definedName name="____fjk2" localSheetId="1" hidden="1">{#N/A,#N/A,TRUE,"Пресса";#N/A,#N/A,TRUE,"Метро";#N/A,#N/A,TRUE,"Щиты";#N/A,#N/A,TRUE,"График";#N/A,#N/A,TRUE,"График"}</definedName>
    <definedName name="____fjk2" localSheetId="0" hidden="1">{#N/A,#N/A,TRUE,"Пресса";#N/A,#N/A,TRUE,"Метро";#N/A,#N/A,TRUE,"Щиты";#N/A,#N/A,TRUE,"График";#N/A,#N/A,TRUE,"График"}</definedName>
    <definedName name="____fjk2" localSheetId="7" hidden="1">{#N/A,#N/A,TRUE,"Пресса";#N/A,#N/A,TRUE,"Метро";#N/A,#N/A,TRUE,"Щиты";#N/A,#N/A,TRUE,"График";#N/A,#N/A,TRUE,"График"}</definedName>
    <definedName name="____fjk2" hidden="1">{#N/A,#N/A,TRUE,"Пресса";#N/A,#N/A,TRUE,"Метро";#N/A,#N/A,TRUE,"Щиты";#N/A,#N/A,TRUE,"График";#N/A,#N/A,TRUE,"График"}</definedName>
    <definedName name="____GK2" localSheetId="1" hidden="1">{#N/A,#N/A,TRUE,"Пресса";#N/A,#N/A,TRUE,"Метро";#N/A,#N/A,TRUE,"Щиты";#N/A,#N/A,TRUE,"График";#N/A,#N/A,TRUE,"График"}</definedName>
    <definedName name="____GK2" localSheetId="0" hidden="1">{#N/A,#N/A,TRUE,"Пресса";#N/A,#N/A,TRUE,"Метро";#N/A,#N/A,TRUE,"Щиты";#N/A,#N/A,TRUE,"График";#N/A,#N/A,TRUE,"График"}</definedName>
    <definedName name="____GK2" localSheetId="7" hidden="1">{#N/A,#N/A,TRUE,"Пресса";#N/A,#N/A,TRUE,"Метро";#N/A,#N/A,TRUE,"Щиты";#N/A,#N/A,TRUE,"График";#N/A,#N/A,TRUE,"График"}</definedName>
    <definedName name="____GK2" hidden="1">{#N/A,#N/A,TRUE,"Пресса";#N/A,#N/A,TRUE,"Метро";#N/A,#N/A,TRUE,"Щиты";#N/A,#N/A,TRUE,"График";#N/A,#N/A,TRUE,"График"}</definedName>
    <definedName name="____hen2" localSheetId="1" hidden="1">{#N/A,#N/A,TRUE,"Пресса";#N/A,#N/A,TRUE,"Метро";#N/A,#N/A,TRUE,"Щиты";#N/A,#N/A,TRUE,"График";#N/A,#N/A,TRUE,"График"}</definedName>
    <definedName name="____hen2" localSheetId="0" hidden="1">{#N/A,#N/A,TRUE,"Пресса";#N/A,#N/A,TRUE,"Метро";#N/A,#N/A,TRUE,"Щиты";#N/A,#N/A,TRUE,"График";#N/A,#N/A,TRUE,"График"}</definedName>
    <definedName name="____hen2" localSheetId="7" hidden="1">{#N/A,#N/A,TRUE,"Пресса";#N/A,#N/A,TRUE,"Метро";#N/A,#N/A,TRUE,"Щиты";#N/A,#N/A,TRUE,"График";#N/A,#N/A,TRUE,"График"}</definedName>
    <definedName name="____hen2" hidden="1">{#N/A,#N/A,TRUE,"Пресса";#N/A,#N/A,TRUE,"Метро";#N/A,#N/A,TRUE,"Щиты";#N/A,#N/A,TRUE,"График";#N/A,#N/A,TRUE,"График"}</definedName>
    <definedName name="____MCV2">[1]Vehicles!$B$58:$O$58</definedName>
    <definedName name="____old1" localSheetId="1" hidden="1">{#N/A,#N/A,TRUE,"Пресса";#N/A,#N/A,TRUE,"Метро";#N/A,#N/A,TRUE,"Щиты";#N/A,#N/A,TRUE,"График";#N/A,#N/A,TRUE,"График"}</definedName>
    <definedName name="____old1" localSheetId="0" hidden="1">{#N/A,#N/A,TRUE,"Пресса";#N/A,#N/A,TRUE,"Метро";#N/A,#N/A,TRUE,"Щиты";#N/A,#N/A,TRUE,"График";#N/A,#N/A,TRUE,"График"}</definedName>
    <definedName name="____old1" localSheetId="7" hidden="1">{#N/A,#N/A,TRUE,"Пресса";#N/A,#N/A,TRUE,"Метро";#N/A,#N/A,TRUE,"Щиты";#N/A,#N/A,TRUE,"График";#N/A,#N/A,TRUE,"График"}</definedName>
    <definedName name="____old1" hidden="1">{#N/A,#N/A,TRUE,"Пресса";#N/A,#N/A,TRUE,"Метро";#N/A,#N/A,TRUE,"Щиты";#N/A,#N/A,TRUE,"График";#N/A,#N/A,TRUE,"График"}</definedName>
    <definedName name="____old2" localSheetId="1" hidden="1">{#N/A,#N/A,TRUE,"Пресса";#N/A,#N/A,TRUE,"Метро";#N/A,#N/A,TRUE,"Щиты";#N/A,#N/A,TRUE,"График";#N/A,#N/A,TRUE,"График"}</definedName>
    <definedName name="____old2" localSheetId="0" hidden="1">{#N/A,#N/A,TRUE,"Пресса";#N/A,#N/A,TRUE,"Метро";#N/A,#N/A,TRUE,"Щиты";#N/A,#N/A,TRUE,"График";#N/A,#N/A,TRUE,"График"}</definedName>
    <definedName name="____old2" localSheetId="7" hidden="1">{#N/A,#N/A,TRUE,"Пресса";#N/A,#N/A,TRUE,"Метро";#N/A,#N/A,TRUE,"Щиты";#N/A,#N/A,TRUE,"График";#N/A,#N/A,TRUE,"График"}</definedName>
    <definedName name="____old2" hidden="1">{#N/A,#N/A,TRUE,"Пресса";#N/A,#N/A,TRUE,"Метро";#N/A,#N/A,TRUE,"Щиты";#N/A,#N/A,TRUE,"График";#N/A,#N/A,TRUE,"График"}</definedName>
    <definedName name="____wwe2" localSheetId="1" hidden="1">{#VALUE!,#N/A,TRUE,0;#N/A,#N/A,TRUE,0;#N/A,#N/A,TRUE,0;#N/A,#N/A,TRUE,0;#N/A,#N/A,TRUE,0}</definedName>
    <definedName name="____wwe2" localSheetId="0" hidden="1">{#VALUE!,#N/A,TRUE,0;#N/A,#N/A,TRUE,0;#N/A,#N/A,TRUE,0;#N/A,#N/A,TRUE,0;#N/A,#N/A,TRUE,0}</definedName>
    <definedName name="____wwe2" localSheetId="7" hidden="1">{#VALUE!,#N/A,TRUE,0;#N/A,#N/A,TRUE,0;#N/A,#N/A,TRUE,0;#N/A,#N/A,TRUE,0;#N/A,#N/A,TRUE,0}</definedName>
    <definedName name="____wwe2" hidden="1">{#VALUE!,#N/A,TRUE,0;#N/A,#N/A,TRUE,0;#N/A,#N/A,TRUE,0;#N/A,#N/A,TRUE,0;#N/A,#N/A,TRUE,0}</definedName>
    <definedName name="___1solver_rh¤" hidden="1">4</definedName>
    <definedName name="___2solver_va" hidden="1">27</definedName>
    <definedName name="___dd1" localSheetId="1" hidden="1">{#N/A,#N/A,TRUE,"Пресса";#N/A,#N/A,TRUE,"Метро";#N/A,#N/A,TRUE,"Щиты";#N/A,#N/A,TRUE,"График";#N/A,#N/A,TRUE,"График"}</definedName>
    <definedName name="___dd1" localSheetId="0" hidden="1">{#N/A,#N/A,TRUE,"Пресса";#N/A,#N/A,TRUE,"Метро";#N/A,#N/A,TRUE,"Щиты";#N/A,#N/A,TRUE,"График";#N/A,#N/A,TRUE,"График"}</definedName>
    <definedName name="___dd1" localSheetId="7" hidden="1">{#N/A,#N/A,TRUE,"Пресса";#N/A,#N/A,TRUE,"Метро";#N/A,#N/A,TRUE,"Щиты";#N/A,#N/A,TRUE,"График";#N/A,#N/A,TRUE,"График"}</definedName>
    <definedName name="___dd1" hidden="1">{#N/A,#N/A,TRUE,"Пресса";#N/A,#N/A,TRUE,"Метро";#N/A,#N/A,TRUE,"Щиты";#N/A,#N/A,TRUE,"График";#N/A,#N/A,TRUE,"График"}</definedName>
    <definedName name="___eh1" localSheetId="1" hidden="1">{#N/A,#N/A,TRUE,"Пресса";#N/A,#N/A,TRUE,"Метро";#N/A,#N/A,TRUE,"Щиты";#N/A,#N/A,TRUE,"График";#N/A,#N/A,TRUE,"График"}</definedName>
    <definedName name="___eh1" localSheetId="0" hidden="1">{#N/A,#N/A,TRUE,"Пресса";#N/A,#N/A,TRUE,"Метро";#N/A,#N/A,TRUE,"Щиты";#N/A,#N/A,TRUE,"График";#N/A,#N/A,TRUE,"График"}</definedName>
    <definedName name="___eh1" localSheetId="7" hidden="1">{#N/A,#N/A,TRUE,"Пресса";#N/A,#N/A,TRUE,"Метро";#N/A,#N/A,TRUE,"Щиты";#N/A,#N/A,TRUE,"График";#N/A,#N/A,TRUE,"График"}</definedName>
    <definedName name="___eh1" hidden="1">{#N/A,#N/A,TRUE,"Пресса";#N/A,#N/A,TRUE,"Метро";#N/A,#N/A,TRUE,"Щиты";#N/A,#N/A,TRUE,"График";#N/A,#N/A,TRUE,"График"}</definedName>
    <definedName name="___erw2" hidden="1">27</definedName>
    <definedName name="___fjk1" localSheetId="1" hidden="1">{#N/A,#N/A,TRUE,"Пресса";#N/A,#N/A,TRUE,"Метро";#N/A,#N/A,TRUE,"Щиты";#N/A,#N/A,TRUE,"График";#N/A,#N/A,TRUE,"График"}</definedName>
    <definedName name="___fjk1" localSheetId="0" hidden="1">{#N/A,#N/A,TRUE,"Пресса";#N/A,#N/A,TRUE,"Метро";#N/A,#N/A,TRUE,"Щиты";#N/A,#N/A,TRUE,"График";#N/A,#N/A,TRUE,"График"}</definedName>
    <definedName name="___fjk1" localSheetId="7" hidden="1">{#N/A,#N/A,TRUE,"Пресса";#N/A,#N/A,TRUE,"Метро";#N/A,#N/A,TRUE,"Щиты";#N/A,#N/A,TRUE,"График";#N/A,#N/A,TRUE,"График"}</definedName>
    <definedName name="___fjk1" hidden="1">{#N/A,#N/A,TRUE,"Пресса";#N/A,#N/A,TRUE,"Метро";#N/A,#N/A,TRUE,"Щиты";#N/A,#N/A,TRUE,"График";#N/A,#N/A,TRUE,"График"}</definedName>
    <definedName name="___fjk2" localSheetId="1" hidden="1">{#N/A,#N/A,TRUE,"Пресса";#N/A,#N/A,TRUE,"Метро";#N/A,#N/A,TRUE,"Щиты";#N/A,#N/A,TRUE,"График";#N/A,#N/A,TRUE,"График"}</definedName>
    <definedName name="___fjk2" localSheetId="0" hidden="1">{#N/A,#N/A,TRUE,"Пресса";#N/A,#N/A,TRUE,"Метро";#N/A,#N/A,TRUE,"Щиты";#N/A,#N/A,TRUE,"График";#N/A,#N/A,TRUE,"График"}</definedName>
    <definedName name="___fjk2" localSheetId="7" hidden="1">{#N/A,#N/A,TRUE,"Пресса";#N/A,#N/A,TRUE,"Метро";#N/A,#N/A,TRUE,"Щиты";#N/A,#N/A,TRUE,"График";#N/A,#N/A,TRUE,"График"}</definedName>
    <definedName name="___fjk2" hidden="1">{#N/A,#N/A,TRUE,"Пресса";#N/A,#N/A,TRUE,"Метро";#N/A,#N/A,TRUE,"Щиты";#N/A,#N/A,TRUE,"График";#N/A,#N/A,TRUE,"График"}</definedName>
    <definedName name="___GK2" localSheetId="1" hidden="1">{#N/A,#N/A,TRUE,"Пресса";#N/A,#N/A,TRUE,"Метро";#N/A,#N/A,TRUE,"Щиты";#N/A,#N/A,TRUE,"График";#N/A,#N/A,TRUE,"График"}</definedName>
    <definedName name="___GK2" localSheetId="0" hidden="1">{#N/A,#N/A,TRUE,"Пресса";#N/A,#N/A,TRUE,"Метро";#N/A,#N/A,TRUE,"Щиты";#N/A,#N/A,TRUE,"График";#N/A,#N/A,TRUE,"График"}</definedName>
    <definedName name="___GK2" localSheetId="7" hidden="1">{#N/A,#N/A,TRUE,"Пресса";#N/A,#N/A,TRUE,"Метро";#N/A,#N/A,TRUE,"Щиты";#N/A,#N/A,TRUE,"График";#N/A,#N/A,TRUE,"График"}</definedName>
    <definedName name="___GK2" hidden="1">{#N/A,#N/A,TRUE,"Пресса";#N/A,#N/A,TRUE,"Метро";#N/A,#N/A,TRUE,"Щиты";#N/A,#N/A,TRUE,"График";#N/A,#N/A,TRUE,"График"}</definedName>
    <definedName name="___hen2" localSheetId="1" hidden="1">{#N/A,#N/A,TRUE,"Пресса";#N/A,#N/A,TRUE,"Метро";#N/A,#N/A,TRUE,"Щиты";#N/A,#N/A,TRUE,"График";#N/A,#N/A,TRUE,"График"}</definedName>
    <definedName name="___hen2" localSheetId="0" hidden="1">{#N/A,#N/A,TRUE,"Пресса";#N/A,#N/A,TRUE,"Метро";#N/A,#N/A,TRUE,"Щиты";#N/A,#N/A,TRUE,"График";#N/A,#N/A,TRUE,"График"}</definedName>
    <definedName name="___hen2" localSheetId="7" hidden="1">{#N/A,#N/A,TRUE,"Пресса";#N/A,#N/A,TRUE,"Метро";#N/A,#N/A,TRUE,"Щиты";#N/A,#N/A,TRUE,"График";#N/A,#N/A,TRUE,"График"}</definedName>
    <definedName name="___hen2" hidden="1">{#N/A,#N/A,TRUE,"Пресса";#N/A,#N/A,TRUE,"Метро";#N/A,#N/A,TRUE,"Щиты";#N/A,#N/A,TRUE,"График";#N/A,#N/A,TRUE,"График"}</definedName>
    <definedName name="___LL100">#REF!</definedName>
    <definedName name="___MCV2">[1]Vehicles!$B$58:$O$58</definedName>
    <definedName name="___old1" localSheetId="1" hidden="1">{#N/A,#N/A,TRUE,"Пресса";#N/A,#N/A,TRUE,"Метро";#N/A,#N/A,TRUE,"Щиты";#N/A,#N/A,TRUE,"График";#N/A,#N/A,TRUE,"График"}</definedName>
    <definedName name="___old1" localSheetId="0" hidden="1">{#N/A,#N/A,TRUE,"Пресса";#N/A,#N/A,TRUE,"Метро";#N/A,#N/A,TRUE,"Щиты";#N/A,#N/A,TRUE,"График";#N/A,#N/A,TRUE,"График"}</definedName>
    <definedName name="___old1" localSheetId="7" hidden="1">{#N/A,#N/A,TRUE,"Пресса";#N/A,#N/A,TRUE,"Метро";#N/A,#N/A,TRUE,"Щиты";#N/A,#N/A,TRUE,"График";#N/A,#N/A,TRUE,"График"}</definedName>
    <definedName name="___old1" hidden="1">{#N/A,#N/A,TRUE,"Пресса";#N/A,#N/A,TRUE,"Метро";#N/A,#N/A,TRUE,"Щиты";#N/A,#N/A,TRUE,"График";#N/A,#N/A,TRUE,"График"}</definedName>
    <definedName name="___old2" localSheetId="1" hidden="1">{#N/A,#N/A,TRUE,"Пресса";#N/A,#N/A,TRUE,"Метро";#N/A,#N/A,TRUE,"Щиты";#N/A,#N/A,TRUE,"График";#N/A,#N/A,TRUE,"График"}</definedName>
    <definedName name="___old2" localSheetId="0" hidden="1">{#N/A,#N/A,TRUE,"Пресса";#N/A,#N/A,TRUE,"Метро";#N/A,#N/A,TRUE,"Щиты";#N/A,#N/A,TRUE,"График";#N/A,#N/A,TRUE,"График"}</definedName>
    <definedName name="___old2" localSheetId="7" hidden="1">{#N/A,#N/A,TRUE,"Пресса";#N/A,#N/A,TRUE,"Метро";#N/A,#N/A,TRUE,"Щиты";#N/A,#N/A,TRUE,"График";#N/A,#N/A,TRUE,"График"}</definedName>
    <definedName name="___old2" hidden="1">{#N/A,#N/A,TRUE,"Пресса";#N/A,#N/A,TRUE,"Метро";#N/A,#N/A,TRUE,"Щиты";#N/A,#N/A,TRUE,"График";#N/A,#N/A,TRUE,"График"}</definedName>
    <definedName name="___wwe2" localSheetId="1" hidden="1">{#VALUE!,#N/A,TRUE,0;#N/A,#N/A,TRUE,0;#N/A,#N/A,TRUE,0;#N/A,#N/A,TRUE,0;#N/A,#N/A,TRUE,0}</definedName>
    <definedName name="___wwe2" localSheetId="0" hidden="1">{#VALUE!,#N/A,TRUE,0;#N/A,#N/A,TRUE,0;#N/A,#N/A,TRUE,0;#N/A,#N/A,TRUE,0;#N/A,#N/A,TRUE,0}</definedName>
    <definedName name="___wwe2" localSheetId="7" hidden="1">{#VALUE!,#N/A,TRUE,0;#N/A,#N/A,TRUE,0;#N/A,#N/A,TRUE,0;#N/A,#N/A,TRUE,0;#N/A,#N/A,TRUE,0}</definedName>
    <definedName name="___wwe2" hidden="1">{#VALUE!,#N/A,TRUE,0;#N/A,#N/A,TRUE,0;#N/A,#N/A,TRUE,0;#N/A,#N/A,TRUE,0;#N/A,#N/A,TRUE,0}</definedName>
    <definedName name="__1solver_rh¤" hidden="1">4</definedName>
    <definedName name="__2solver_rh¤" hidden="1">4</definedName>
    <definedName name="__2solver_va" hidden="1">27</definedName>
    <definedName name="__3solver_va" hidden="1">27</definedName>
    <definedName name="__dd1" localSheetId="1" hidden="1">{#N/A,#N/A,TRUE,"Пресса";#N/A,#N/A,TRUE,"Метро";#N/A,#N/A,TRUE,"Щиты";#N/A,#N/A,TRUE,"График";#N/A,#N/A,TRUE,"График"}</definedName>
    <definedName name="__dd1" localSheetId="0" hidden="1">{#N/A,#N/A,TRUE,"Пресса";#N/A,#N/A,TRUE,"Метро";#N/A,#N/A,TRUE,"Щиты";#N/A,#N/A,TRUE,"График";#N/A,#N/A,TRUE,"График"}</definedName>
    <definedName name="__dd1" localSheetId="7" hidden="1">{#N/A,#N/A,TRUE,"Пресса";#N/A,#N/A,TRUE,"Метро";#N/A,#N/A,TRUE,"Щиты";#N/A,#N/A,TRUE,"График";#N/A,#N/A,TRUE,"График"}</definedName>
    <definedName name="__dd1" hidden="1">{#N/A,#N/A,TRUE,"Пресса";#N/A,#N/A,TRUE,"Метро";#N/A,#N/A,TRUE,"Щиты";#N/A,#N/A,TRUE,"График";#N/A,#N/A,TRUE,"График"}</definedName>
    <definedName name="__eh1" localSheetId="1" hidden="1">{#N/A,#N/A,TRUE,"Пресса";#N/A,#N/A,TRUE,"Метро";#N/A,#N/A,TRUE,"Щиты";#N/A,#N/A,TRUE,"График";#N/A,#N/A,TRUE,"График"}</definedName>
    <definedName name="__eh1" localSheetId="0" hidden="1">{#N/A,#N/A,TRUE,"Пресса";#N/A,#N/A,TRUE,"Метро";#N/A,#N/A,TRUE,"Щиты";#N/A,#N/A,TRUE,"График";#N/A,#N/A,TRUE,"График"}</definedName>
    <definedName name="__eh1" localSheetId="7" hidden="1">{#N/A,#N/A,TRUE,"Пресса";#N/A,#N/A,TRUE,"Метро";#N/A,#N/A,TRUE,"Щиты";#N/A,#N/A,TRUE,"График";#N/A,#N/A,TRUE,"График"}</definedName>
    <definedName name="__eh1" hidden="1">{#N/A,#N/A,TRUE,"Пресса";#N/A,#N/A,TRUE,"Метро";#N/A,#N/A,TRUE,"Щиты";#N/A,#N/A,TRUE,"График";#N/A,#N/A,TRUE,"График"}</definedName>
    <definedName name="__erw2" hidden="1">27</definedName>
    <definedName name="__fjk1" localSheetId="1" hidden="1">{#N/A,#N/A,TRUE,"Пресса";#N/A,#N/A,TRUE,"Метро";#N/A,#N/A,TRUE,"Щиты";#N/A,#N/A,TRUE,"График";#N/A,#N/A,TRUE,"График"}</definedName>
    <definedName name="__fjk1" localSheetId="0" hidden="1">{#N/A,#N/A,TRUE,"Пресса";#N/A,#N/A,TRUE,"Метро";#N/A,#N/A,TRUE,"Щиты";#N/A,#N/A,TRUE,"График";#N/A,#N/A,TRUE,"График"}</definedName>
    <definedName name="__fjk1" localSheetId="7" hidden="1">{#N/A,#N/A,TRUE,"Пресса";#N/A,#N/A,TRUE,"Метро";#N/A,#N/A,TRUE,"Щиты";#N/A,#N/A,TRUE,"График";#N/A,#N/A,TRUE,"График"}</definedName>
    <definedName name="__fjk1" hidden="1">{#N/A,#N/A,TRUE,"Пресса";#N/A,#N/A,TRUE,"Метро";#N/A,#N/A,TRUE,"Щиты";#N/A,#N/A,TRUE,"График";#N/A,#N/A,TRUE,"График"}</definedName>
    <definedName name="__fjk2" localSheetId="1" hidden="1">{#N/A,#N/A,TRUE,"Пресса";#N/A,#N/A,TRUE,"Метро";#N/A,#N/A,TRUE,"Щиты";#N/A,#N/A,TRUE,"График";#N/A,#N/A,TRUE,"График"}</definedName>
    <definedName name="__fjk2" localSheetId="0" hidden="1">{#N/A,#N/A,TRUE,"Пресса";#N/A,#N/A,TRUE,"Метро";#N/A,#N/A,TRUE,"Щиты";#N/A,#N/A,TRUE,"График";#N/A,#N/A,TRUE,"График"}</definedName>
    <definedName name="__fjk2" localSheetId="7" hidden="1">{#N/A,#N/A,TRUE,"Пресса";#N/A,#N/A,TRUE,"Метро";#N/A,#N/A,TRUE,"Щиты";#N/A,#N/A,TRUE,"График";#N/A,#N/A,TRUE,"График"}</definedName>
    <definedName name="__fjk2" hidden="1">{#N/A,#N/A,TRUE,"Пресса";#N/A,#N/A,TRUE,"Метро";#N/A,#N/A,TRUE,"Щиты";#N/A,#N/A,TRUE,"График";#N/A,#N/A,TRUE,"График"}</definedName>
    <definedName name="__GK2" localSheetId="1" hidden="1">{#N/A,#N/A,TRUE,"Пресса";#N/A,#N/A,TRUE,"Метро";#N/A,#N/A,TRUE,"Щиты";#N/A,#N/A,TRUE,"График";#N/A,#N/A,TRUE,"График"}</definedName>
    <definedName name="__GK2" localSheetId="0" hidden="1">{#N/A,#N/A,TRUE,"Пресса";#N/A,#N/A,TRUE,"Метро";#N/A,#N/A,TRUE,"Щиты";#N/A,#N/A,TRUE,"График";#N/A,#N/A,TRUE,"График"}</definedName>
    <definedName name="__GK2" localSheetId="7" hidden="1">{#N/A,#N/A,TRUE,"Пресса";#N/A,#N/A,TRUE,"Метро";#N/A,#N/A,TRUE,"Щиты";#N/A,#N/A,TRUE,"График";#N/A,#N/A,TRUE,"График"}</definedName>
    <definedName name="__GK2" hidden="1">{#N/A,#N/A,TRUE,"Пресса";#N/A,#N/A,TRUE,"Метро";#N/A,#N/A,TRUE,"Щиты";#N/A,#N/A,TRUE,"График";#N/A,#N/A,TRUE,"График"}</definedName>
    <definedName name="__hen2" localSheetId="1" hidden="1">{#N/A,#N/A,TRUE,"Пресса";#N/A,#N/A,TRUE,"Метро";#N/A,#N/A,TRUE,"Щиты";#N/A,#N/A,TRUE,"График";#N/A,#N/A,TRUE,"График"}</definedName>
    <definedName name="__hen2" localSheetId="0" hidden="1">{#N/A,#N/A,TRUE,"Пресса";#N/A,#N/A,TRUE,"Метро";#N/A,#N/A,TRUE,"Щиты";#N/A,#N/A,TRUE,"График";#N/A,#N/A,TRUE,"График"}</definedName>
    <definedName name="__hen2" localSheetId="7" hidden="1">{#N/A,#N/A,TRUE,"Пресса";#N/A,#N/A,TRUE,"Метро";#N/A,#N/A,TRUE,"Щиты";#N/A,#N/A,TRUE,"График";#N/A,#N/A,TRUE,"График"}</definedName>
    <definedName name="__hen2" hidden="1">{#N/A,#N/A,TRUE,"Пресса";#N/A,#N/A,TRUE,"Метро";#N/A,#N/A,TRUE,"Щиты";#N/A,#N/A,TRUE,"График";#N/A,#N/A,TRUE,"График"}</definedName>
    <definedName name="__MCV2">[1]Vehicles!$B$58:$O$58</definedName>
    <definedName name="__old1" localSheetId="1" hidden="1">{#N/A,#N/A,TRUE,"Пресса";#N/A,#N/A,TRUE,"Метро";#N/A,#N/A,TRUE,"Щиты";#N/A,#N/A,TRUE,"График";#N/A,#N/A,TRUE,"График"}</definedName>
    <definedName name="__old1" localSheetId="0" hidden="1">{#N/A,#N/A,TRUE,"Пресса";#N/A,#N/A,TRUE,"Метро";#N/A,#N/A,TRUE,"Щиты";#N/A,#N/A,TRUE,"График";#N/A,#N/A,TRUE,"График"}</definedName>
    <definedName name="__old1" localSheetId="7" hidden="1">{#N/A,#N/A,TRUE,"Пресса";#N/A,#N/A,TRUE,"Метро";#N/A,#N/A,TRUE,"Щиты";#N/A,#N/A,TRUE,"График";#N/A,#N/A,TRUE,"График"}</definedName>
    <definedName name="__old1" hidden="1">{#N/A,#N/A,TRUE,"Пресса";#N/A,#N/A,TRUE,"Метро";#N/A,#N/A,TRUE,"Щиты";#N/A,#N/A,TRUE,"График";#N/A,#N/A,TRUE,"График"}</definedName>
    <definedName name="__old2" localSheetId="1" hidden="1">{#N/A,#N/A,TRUE,"Пресса";#N/A,#N/A,TRUE,"Метро";#N/A,#N/A,TRUE,"Щиты";#N/A,#N/A,TRUE,"График";#N/A,#N/A,TRUE,"График"}</definedName>
    <definedName name="__old2" localSheetId="0" hidden="1">{#N/A,#N/A,TRUE,"Пресса";#N/A,#N/A,TRUE,"Метро";#N/A,#N/A,TRUE,"Щиты";#N/A,#N/A,TRUE,"График";#N/A,#N/A,TRUE,"График"}</definedName>
    <definedName name="__old2" localSheetId="7" hidden="1">{#N/A,#N/A,TRUE,"Пресса";#N/A,#N/A,TRUE,"Метро";#N/A,#N/A,TRUE,"Щиты";#N/A,#N/A,TRUE,"График";#N/A,#N/A,TRUE,"График"}</definedName>
    <definedName name="__old2" hidden="1">{#N/A,#N/A,TRUE,"Пресса";#N/A,#N/A,TRUE,"Метро";#N/A,#N/A,TRUE,"Щиты";#N/A,#N/A,TRUE,"График";#N/A,#N/A,TRUE,"График"}</definedName>
    <definedName name="__wwe2" localSheetId="1" hidden="1">{#VALUE!,#N/A,TRUE,0;#N/A,#N/A,TRUE,0;#N/A,#N/A,TRUE,0;#N/A,#N/A,TRUE,0;#N/A,#N/A,TRUE,0}</definedName>
    <definedName name="__wwe2" localSheetId="0" hidden="1">{#VALUE!,#N/A,TRUE,0;#N/A,#N/A,TRUE,0;#N/A,#N/A,TRUE,0;#N/A,#N/A,TRUE,0;#N/A,#N/A,TRUE,0}</definedName>
    <definedName name="__wwe2" localSheetId="7" hidden="1">{#VALUE!,#N/A,TRUE,0;#N/A,#N/A,TRUE,0;#N/A,#N/A,TRUE,0;#N/A,#N/A,TRUE,0;#N/A,#N/A,TRUE,0}</definedName>
    <definedName name="__wwe2" hidden="1">{#VALUE!,#N/A,TRUE,0;#N/A,#N/A,TRUE,0;#N/A,#N/A,TRUE,0;#N/A,#N/A,TRUE,0;#N/A,#N/A,TRUE,0}</definedName>
    <definedName name="__xlfn.BAHTTEXT" hidden="1">#NAME?</definedName>
    <definedName name="_1_solver_rh¤" hidden="1">4</definedName>
    <definedName name="_1solver_rh¤" hidden="1">4</definedName>
    <definedName name="_2">#REF!</definedName>
    <definedName name="_2_solver_va" hidden="1">27</definedName>
    <definedName name="_2_US_Fixed_TV_Pricing_W25_49">#REF!</definedName>
    <definedName name="_2solver_rh¤" hidden="1">4</definedName>
    <definedName name="_2solver_va" hidden="1">27</definedName>
    <definedName name="_3">#REF!</definedName>
    <definedName name="_3solver_va" hidden="1">27</definedName>
    <definedName name="_4solver_rh¤" hidden="1">4</definedName>
    <definedName name="_5solver_va" hidden="1">27</definedName>
    <definedName name="_clb07" localSheetId="0">#REF!</definedName>
    <definedName name="_clb07">#REF!</definedName>
    <definedName name="_clp07" localSheetId="0">#REF!</definedName>
    <definedName name="_clp07">#REF!</definedName>
    <definedName name="_dd1" localSheetId="1" hidden="1">{#N/A,#N/A,TRUE,"Пресса";#N/A,#N/A,TRUE,"Метро";#N/A,#N/A,TRUE,"Щиты";#N/A,#N/A,TRUE,"График";#N/A,#N/A,TRUE,"График"}</definedName>
    <definedName name="_dd1" localSheetId="0" hidden="1">{#N/A,#N/A,TRUE,"Пресса";#N/A,#N/A,TRUE,"Метро";#N/A,#N/A,TRUE,"Щиты";#N/A,#N/A,TRUE,"График";#N/A,#N/A,TRUE,"График"}</definedName>
    <definedName name="_dd1" localSheetId="7" hidden="1">{#N/A,#N/A,TRUE,"Пресса";#N/A,#N/A,TRUE,"Метро";#N/A,#N/A,TRUE,"Щиты";#N/A,#N/A,TRUE,"График";#N/A,#N/A,TRUE,"График"}</definedName>
    <definedName name="_dd1" hidden="1">{#N/A,#N/A,TRUE,"Пресса";#N/A,#N/A,TRUE,"Метро";#N/A,#N/A,TRUE,"Щиты";#N/A,#N/A,TRUE,"График";#N/A,#N/A,TRUE,"График"}</definedName>
    <definedName name="_eh1" localSheetId="1" hidden="1">{#N/A,#N/A,TRUE,"Пресса";#N/A,#N/A,TRUE,"Метро";#N/A,#N/A,TRUE,"Щиты";#N/A,#N/A,TRUE,"График";#N/A,#N/A,TRUE,"График"}</definedName>
    <definedName name="_eh1" localSheetId="0" hidden="1">{#N/A,#N/A,TRUE,"Пресса";#N/A,#N/A,TRUE,"Метро";#N/A,#N/A,TRUE,"Щиты";#N/A,#N/A,TRUE,"График";#N/A,#N/A,TRUE,"График"}</definedName>
    <definedName name="_eh1" localSheetId="7" hidden="1">{#N/A,#N/A,TRUE,"Пресса";#N/A,#N/A,TRUE,"Метро";#N/A,#N/A,TRUE,"Щиты";#N/A,#N/A,TRUE,"График";#N/A,#N/A,TRUE,"График"}</definedName>
    <definedName name="_eh1" hidden="1">{#N/A,#N/A,TRUE,"Пресса";#N/A,#N/A,TRUE,"Метро";#N/A,#N/A,TRUE,"Щиты";#N/A,#N/A,TRUE,"График";#N/A,#N/A,TRUE,"График"}</definedName>
    <definedName name="_erw2" hidden="1">27</definedName>
    <definedName name="_fjk1" localSheetId="1" hidden="1">{#N/A,#N/A,TRUE,"Пресса";#N/A,#N/A,TRUE,"Метро";#N/A,#N/A,TRUE,"Щиты";#N/A,#N/A,TRUE,"График";#N/A,#N/A,TRUE,"График"}</definedName>
    <definedName name="_fjk1" localSheetId="0" hidden="1">{#N/A,#N/A,TRUE,"Пресса";#N/A,#N/A,TRUE,"Метро";#N/A,#N/A,TRUE,"Щиты";#N/A,#N/A,TRUE,"График";#N/A,#N/A,TRUE,"График"}</definedName>
    <definedName name="_fjk1" localSheetId="7" hidden="1">{#N/A,#N/A,TRUE,"Пресса";#N/A,#N/A,TRUE,"Метро";#N/A,#N/A,TRUE,"Щиты";#N/A,#N/A,TRUE,"График";#N/A,#N/A,TRUE,"График"}</definedName>
    <definedName name="_fjk1" hidden="1">{#N/A,#N/A,TRUE,"Пресса";#N/A,#N/A,TRUE,"Метро";#N/A,#N/A,TRUE,"Щиты";#N/A,#N/A,TRUE,"График";#N/A,#N/A,TRUE,"График"}</definedName>
    <definedName name="_fjk2" localSheetId="1" hidden="1">{#N/A,#N/A,TRUE,"Пресса";#N/A,#N/A,TRUE,"Метро";#N/A,#N/A,TRUE,"Щиты";#N/A,#N/A,TRUE,"График";#N/A,#N/A,TRUE,"График"}</definedName>
    <definedName name="_fjk2" localSheetId="0" hidden="1">{#N/A,#N/A,TRUE,"Пресса";#N/A,#N/A,TRUE,"Метро";#N/A,#N/A,TRUE,"Щиты";#N/A,#N/A,TRUE,"График";#N/A,#N/A,TRUE,"График"}</definedName>
    <definedName name="_fjk2" localSheetId="7" hidden="1">{#N/A,#N/A,TRUE,"Пресса";#N/A,#N/A,TRUE,"Метро";#N/A,#N/A,TRUE,"Щиты";#N/A,#N/A,TRUE,"График";#N/A,#N/A,TRUE,"График"}</definedName>
    <definedName name="_fjk2" hidden="1">{#N/A,#N/A,TRUE,"Пресса";#N/A,#N/A,TRUE,"Метро";#N/A,#N/A,TRUE,"Щиты";#N/A,#N/A,TRUE,"График";#N/A,#N/A,TRUE,"График"}</definedName>
    <definedName name="_GK2" localSheetId="1" hidden="1">{#N/A,#N/A,TRUE,"Пресса";#N/A,#N/A,TRUE,"Метро";#N/A,#N/A,TRUE,"Щиты";#N/A,#N/A,TRUE,"График";#N/A,#N/A,TRUE,"График"}</definedName>
    <definedName name="_GK2" localSheetId="0" hidden="1">{#N/A,#N/A,TRUE,"Пресса";#N/A,#N/A,TRUE,"Метро";#N/A,#N/A,TRUE,"Щиты";#N/A,#N/A,TRUE,"График";#N/A,#N/A,TRUE,"График"}</definedName>
    <definedName name="_GK2" localSheetId="7" hidden="1">{#N/A,#N/A,TRUE,"Пресса";#N/A,#N/A,TRUE,"Метро";#N/A,#N/A,TRUE,"Щиты";#N/A,#N/A,TRUE,"График";#N/A,#N/A,TRUE,"График"}</definedName>
    <definedName name="_GK2" hidden="1">{#N/A,#N/A,TRUE,"Пресса";#N/A,#N/A,TRUE,"Метро";#N/A,#N/A,TRUE,"Щиты";#N/A,#N/A,TRUE,"График";#N/A,#N/A,TRUE,"График"}</definedName>
    <definedName name="_hen2" localSheetId="1" hidden="1">{#N/A,#N/A,TRUE,"Пресса";#N/A,#N/A,TRUE,"Метро";#N/A,#N/A,TRUE,"Щиты";#N/A,#N/A,TRUE,"График";#N/A,#N/A,TRUE,"График"}</definedName>
    <definedName name="_hen2" localSheetId="0" hidden="1">{#N/A,#N/A,TRUE,"Пресса";#N/A,#N/A,TRUE,"Метро";#N/A,#N/A,TRUE,"Щиты";#N/A,#N/A,TRUE,"График";#N/A,#N/A,TRUE,"График"}</definedName>
    <definedName name="_hen2" localSheetId="7" hidden="1">{#N/A,#N/A,TRUE,"Пресса";#N/A,#N/A,TRUE,"Метро";#N/A,#N/A,TRUE,"Щиты";#N/A,#N/A,TRUE,"График";#N/A,#N/A,TRUE,"График"}</definedName>
    <definedName name="_hen2" hidden="1">{#N/A,#N/A,TRUE,"Пресса";#N/A,#N/A,TRUE,"Метро";#N/A,#N/A,TRUE,"Щиты";#N/A,#N/A,TRUE,"График";#N/A,#N/A,TRUE,"График"}</definedName>
    <definedName name="_LL100">#REF!</definedName>
    <definedName name="_MCV2">[1]Vehicles!$B$58:$O$58</definedName>
    <definedName name="_mon01" localSheetId="0" hidden="1">#REF!</definedName>
    <definedName name="_mon01" hidden="1">#REF!</definedName>
    <definedName name="_mon02" localSheetId="0" hidden="1">#REF!</definedName>
    <definedName name="_mon02" hidden="1">#REF!</definedName>
    <definedName name="_mon03" localSheetId="0" hidden="1">#REF!</definedName>
    <definedName name="_mon03" hidden="1">#REF!</definedName>
    <definedName name="_mon04" localSheetId="0" hidden="1">#REF!</definedName>
    <definedName name="_mon04" hidden="1">#REF!</definedName>
    <definedName name="_mon05" localSheetId="0" hidden="1">#REF!</definedName>
    <definedName name="_mon05" hidden="1">#REF!</definedName>
    <definedName name="_mon06" localSheetId="0" hidden="1">#REF!</definedName>
    <definedName name="_mon06" hidden="1">#REF!</definedName>
    <definedName name="_mon07" localSheetId="0" hidden="1">#REF!</definedName>
    <definedName name="_mon07" hidden="1">#REF!</definedName>
    <definedName name="_mon08" localSheetId="0" hidden="1">#REF!</definedName>
    <definedName name="_mon08" hidden="1">#REF!</definedName>
    <definedName name="_mon09" localSheetId="0" hidden="1">#REF!</definedName>
    <definedName name="_mon09" hidden="1">#REF!</definedName>
    <definedName name="_mon10" localSheetId="0" hidden="1">#REF!</definedName>
    <definedName name="_mon10" hidden="1">#REF!</definedName>
    <definedName name="_mon11" localSheetId="0" hidden="1">#REF!</definedName>
    <definedName name="_mon11" hidden="1">#REF!</definedName>
    <definedName name="_mon12" localSheetId="0" hidden="1">#REF!</definedName>
    <definedName name="_mon12" hidden="1">#REF!</definedName>
    <definedName name="_mon88" localSheetId="0" hidden="1">#REF!</definedName>
    <definedName name="_mon88" hidden="1">#REF!</definedName>
    <definedName name="_old1" localSheetId="1" hidden="1">{#N/A,#N/A,TRUE,"Пресса";#N/A,#N/A,TRUE,"Метро";#N/A,#N/A,TRUE,"Щиты";#N/A,#N/A,TRUE,"График";#N/A,#N/A,TRUE,"График"}</definedName>
    <definedName name="_old1" localSheetId="0" hidden="1">{#N/A,#N/A,TRUE,"Пресса";#N/A,#N/A,TRUE,"Метро";#N/A,#N/A,TRUE,"Щиты";#N/A,#N/A,TRUE,"График";#N/A,#N/A,TRUE,"График"}</definedName>
    <definedName name="_old1" localSheetId="7" hidden="1">{#N/A,#N/A,TRUE,"Пресса";#N/A,#N/A,TRUE,"Метро";#N/A,#N/A,TRUE,"Щиты";#N/A,#N/A,TRUE,"График";#N/A,#N/A,TRUE,"График"}</definedName>
    <definedName name="_old1" hidden="1">{#N/A,#N/A,TRUE,"Пресса";#N/A,#N/A,TRUE,"Метро";#N/A,#N/A,TRUE,"Щиты";#N/A,#N/A,TRUE,"График";#N/A,#N/A,TRUE,"График"}</definedName>
    <definedName name="_old2" localSheetId="1" hidden="1">{#N/A,#N/A,TRUE,"Пресса";#N/A,#N/A,TRUE,"Метро";#N/A,#N/A,TRUE,"Щиты";#N/A,#N/A,TRUE,"График";#N/A,#N/A,TRUE,"График"}</definedName>
    <definedName name="_old2" localSheetId="0" hidden="1">{#N/A,#N/A,TRUE,"Пресса";#N/A,#N/A,TRUE,"Метро";#N/A,#N/A,TRUE,"Щиты";#N/A,#N/A,TRUE,"График";#N/A,#N/A,TRUE,"График"}</definedName>
    <definedName name="_old2" localSheetId="7" hidden="1">{#N/A,#N/A,TRUE,"Пресса";#N/A,#N/A,TRUE,"Метро";#N/A,#N/A,TRUE,"Щиты";#N/A,#N/A,TRUE,"График";#N/A,#N/A,TRUE,"График"}</definedName>
    <definedName name="_old2" hidden="1">{#N/A,#N/A,TRUE,"Пресса";#N/A,#N/A,TRUE,"Метро";#N/A,#N/A,TRUE,"Щиты";#N/A,#N/A,TRUE,"График";#N/A,#N/A,TRUE,"График"}</definedName>
    <definedName name="_Pos1">'[2]Data CpGRP'!$A$41</definedName>
    <definedName name="_Pos2">'[2]Data CpGRP'!$A$42</definedName>
    <definedName name="_Pos3">'[2]Data CpGRP'!$A$43</definedName>
    <definedName name="_Pos4">'[2]Data CpGRP'!$A$44</definedName>
    <definedName name="_Pos5">'[2]Data CpGRP'!$A$45</definedName>
    <definedName name="_Pos6">'[2]Data CpGRP'!$A$46</definedName>
    <definedName name="_Pos7">'[2]Data CpGRP'!$A$47</definedName>
    <definedName name="_Pos8">'[2]Data CpGRP'!$A$48</definedName>
    <definedName name="_wwe2" localSheetId="1" hidden="1">{#VALUE!,#N/A,TRUE,0;#N/A,#N/A,TRUE,0;#N/A,#N/A,TRUE,0;#N/A,#N/A,TRUE,0;#N/A,#N/A,TRUE,0}</definedName>
    <definedName name="_wwe2" localSheetId="0" hidden="1">{#VALUE!,#N/A,TRUE,0;#N/A,#N/A,TRUE,0;#N/A,#N/A,TRUE,0;#N/A,#N/A,TRUE,0;#N/A,#N/A,TRUE,0}</definedName>
    <definedName name="_wwe2" localSheetId="7" hidden="1">{#VALUE!,#N/A,TRUE,0;#N/A,#N/A,TRUE,0;#N/A,#N/A,TRUE,0;#N/A,#N/A,TRUE,0;#N/A,#N/A,TRUE,0}</definedName>
    <definedName name="_wwe2" hidden="1">{#VALUE!,#N/A,TRUE,0;#N/A,#N/A,TRUE,0;#N/A,#N/A,TRUE,0;#N/A,#N/A,TRUE,0;#N/A,#N/A,TRUE,0}</definedName>
    <definedName name="_xlnm._FilterDatabase" localSheetId="3" hidden="1">'LED Остановки '!$A$8:$V$21</definedName>
    <definedName name="_xlnm._FilterDatabase" localSheetId="2" hidden="1">'LED Регионы'!$A$8:$W$99</definedName>
    <definedName name="_xlnm._FilterDatabase" localSheetId="1" hidden="1">'LED Ташкент'!$A$7:$S$61</definedName>
    <definedName name="_xlnm._FilterDatabase" localSheetId="6" hidden="1">Автобусы!$A$8:$T$14</definedName>
    <definedName name="_xlnm._FilterDatabase" localSheetId="5" hidden="1">Аэропорт!$A$8:$V$13</definedName>
    <definedName name="_xlnm._FilterDatabase" localSheetId="7" hidden="1">Поезда!$A$8:$L$8</definedName>
    <definedName name="_xlnm._FilterDatabase" localSheetId="8" hidden="1">'регионы-города'!$B$1:$B$154</definedName>
    <definedName name="_xlnm._FilterDatabase" localSheetId="4" hidden="1">'Статика Таш + Регионы'!$A$8:$T$83</definedName>
    <definedName name="_ьщт55" localSheetId="0" hidden="1">#REF!</definedName>
    <definedName name="_ьщт55" hidden="1">#REF!</definedName>
    <definedName name="a" localSheetId="1" hidden="1">{"'siets LAT'!$J$95","'siets LAT'!$J$95"}</definedName>
    <definedName name="a" localSheetId="0" hidden="1">{"'siets LAT'!$J$95","'siets LAT'!$J$95"}</definedName>
    <definedName name="a" localSheetId="7" hidden="1">{"'siets LAT'!$J$95","'siets LAT'!$J$95"}</definedName>
    <definedName name="a" hidden="1">{"'siets LAT'!$J$95","'siets LAT'!$J$95"}</definedName>
    <definedName name="aa">#REF!</definedName>
    <definedName name="aaa" localSheetId="1" hidden="1">{#N/A,#N/A,TRUE,"Пресса";#N/A,#N/A,TRUE,"Метро";#N/A,#N/A,TRUE,"Щиты";#N/A,#N/A,TRUE,"График";#N/A,#N/A,TRUE,"График"}</definedName>
    <definedName name="aaa" localSheetId="0" hidden="1">{#N/A,#N/A,TRUE,"Пресса";#N/A,#N/A,TRUE,"Метро";#N/A,#N/A,TRUE,"Щиты";#N/A,#N/A,TRUE,"График";#N/A,#N/A,TRUE,"График"}</definedName>
    <definedName name="aaa" localSheetId="7" hidden="1">{#N/A,#N/A,TRUE,"Пресса";#N/A,#N/A,TRUE,"Метро";#N/A,#N/A,TRUE,"Щиты";#N/A,#N/A,TRUE,"График";#N/A,#N/A,TRUE,"График"}</definedName>
    <definedName name="aaa" hidden="1">{#N/A,#N/A,TRUE,"Пресса";#N/A,#N/A,TRUE,"Метро";#N/A,#N/A,TRUE,"Щиты";#N/A,#N/A,TRUE,"График";#N/A,#N/A,TRUE,"График"}</definedName>
    <definedName name="ab">#REF!</definedName>
    <definedName name="Abfrage_KW18" localSheetId="0">#REF!</definedName>
    <definedName name="Abfrage_KW18">#REF!</definedName>
    <definedName name="ac" localSheetId="0">#REF!</definedName>
    <definedName name="ac">#REF!</definedName>
    <definedName name="ad">'[3]cic 22-9 - 26-10'!$D$11</definedName>
    <definedName name="Adformat">[4]FormatSpecs!$B$1:$B$71</definedName>
    <definedName name="adresse1Vermarkter">[5]SitesVermarkter!#REF!</definedName>
    <definedName name="Adserverimplementierung">[4]Basisdaten!$H$8:$H$18</definedName>
    <definedName name="afishaDisc" localSheetId="7" hidden="1">[6]AFISHA.RU!$E$44</definedName>
    <definedName name="afishaDisc" hidden="1">[6]AFISHA.RU!$E$44</definedName>
    <definedName name="afishaDiscTotal" localSheetId="1" hidden="1">MAX((100%-splitDisc)*(100%-[0]!afishaDisc)*(100%-agencyDisc)*(100%-[0]!discReach),[0]!maxAfisha)</definedName>
    <definedName name="afishaDiscTotal" localSheetId="0" hidden="1">MAX((100%-Total!splitDisc)*(100%-[0]!afishaDisc)*(100%-Total!agencyDisc)*(100%-[0]!discReach),[0]!maxAfisha)</definedName>
    <definedName name="afishaDiscTotal" localSheetId="7" hidden="1">MAX((100%-splitDisc)*(100%-Поезда!afishaDisc)*(100%-Поезда!agencyDisc)*(100%-[0]!discReach),Поезда!maxAfisha)</definedName>
    <definedName name="afishaDiscTotal" hidden="1">MAX((100%-splitDisc)*(100%-[0]!afishaDisc)*(100%-agencyDisc)*(100%-[0]!discReach),[0]!maxAfisha)</definedName>
    <definedName name="agencyDisc" localSheetId="0" hidden="1">#REF!</definedName>
    <definedName name="agencyDisc" localSheetId="7" hidden="1">#REF!</definedName>
    <definedName name="agencyDisc" hidden="1">#REF!</definedName>
    <definedName name="aggregate_tag" localSheetId="0">#REF!</definedName>
    <definedName name="aggregate_tag">#REF!</definedName>
    <definedName name="Aggregated_spec" localSheetId="0">#REF!</definedName>
    <definedName name="Aggregated_spec">#REF!</definedName>
    <definedName name="Alti" localSheetId="3">[7]!Alti</definedName>
    <definedName name="Alti" localSheetId="2">[7]!Alti</definedName>
    <definedName name="Alti" localSheetId="1">[7]!Alti</definedName>
    <definedName name="Alti" localSheetId="0">[7]!Alti</definedName>
    <definedName name="Alti" localSheetId="6">[7]!Alti</definedName>
    <definedName name="Alti" localSheetId="5">[7]!Alti</definedName>
    <definedName name="Alti" localSheetId="7">[7]!Alti</definedName>
    <definedName name="Alti" localSheetId="4">[7]!Alti</definedName>
    <definedName name="Alti">[7]!Alti</definedName>
    <definedName name="amediaDisc" localSheetId="7" hidden="1">[6]AMEDIA.RU!$E$49</definedName>
    <definedName name="amediaDisc" hidden="1">[6]AMEDIA.RU!$E$49</definedName>
    <definedName name="amediaDiscTotal" localSheetId="1" hidden="1">MAX((100%-splitDisc)*(100%-[0]!amediaDisc)*(100%-agencyDisc)*(100%-[0]!discReach),[0]!maxAmedia)</definedName>
    <definedName name="amediaDiscTotal" localSheetId="0" hidden="1">MAX((100%-Total!splitDisc)*(100%-[0]!amediaDisc)*(100%-Total!agencyDisc)*(100%-[0]!discReach),[0]!maxAmedia)</definedName>
    <definedName name="amediaDiscTotal" localSheetId="7" hidden="1">MAX((100%-splitDisc)*(100%-Поезда!amediaDisc)*(100%-Поезда!agencyDisc)*(100%-[0]!discReach),Поезда!maxAmedia)</definedName>
    <definedName name="amediaDiscTotal" hidden="1">MAX((100%-splitDisc)*(100%-[0]!amediaDisc)*(100%-agencyDisc)*(100%-[0]!discReach),[0]!maxAmedia)</definedName>
    <definedName name="anscount" hidden="1">2</definedName>
    <definedName name="apr" localSheetId="0">#REF!</definedName>
    <definedName name="apr" localSheetId="7">#REF!</definedName>
    <definedName name="apr">#REF!</definedName>
    <definedName name="area" localSheetId="0">#REF!,#REF!,#REF!,#REF!,#REF!,#REF!,#REF!,#REF!,#REF!,#REF!,#REF!,#REF!,#REF!,#REF!,#REF!,#REF!,#REF!,#REF!,#REF!,#REF!,#REF!,#REF!,#REF!,#REF!</definedName>
    <definedName name="area" localSheetId="7">#REF!,#REF!,#REF!,#REF!,#REF!,#REF!,#REF!,#REF!,#REF!,#REF!,#REF!,#REF!,#REF!,#REF!,#REF!,#REF!,#REF!,#REF!,#REF!,#REF!,#REF!,#REF!,#REF!,#REF!</definedName>
    <definedName name="area">#REF!,#REF!,#REF!,#REF!,#REF!,#REF!,#REF!,#REF!,#REF!,#REF!,#REF!,#REF!,#REF!,#REF!,#REF!,#REF!,#REF!,#REF!,#REF!,#REF!,#REF!,#REF!,#REF!,#REF!</definedName>
    <definedName name="AS2DocOpenMode" hidden="1">"AS2DocumentEdit"</definedName>
    <definedName name="asd.xlc" hidden="1">27</definedName>
    <definedName name="asda">#REF!</definedName>
    <definedName name="asdad" localSheetId="0">#REF!</definedName>
    <definedName name="asdad">#REF!</definedName>
    <definedName name="asdafasf" localSheetId="0">#REF!</definedName>
    <definedName name="asdafasf">#REF!</definedName>
    <definedName name="asdda111" localSheetId="0">#REF!</definedName>
    <definedName name="asdda111">#REF!</definedName>
    <definedName name="asddsad" localSheetId="0">#REF!</definedName>
    <definedName name="asddsad">#REF!</definedName>
    <definedName name="asdfakafs." localSheetId="0">[5]SitesVermarkter!#REF!</definedName>
    <definedName name="asdfakafs.">[5]SitesVermarkter!#REF!</definedName>
    <definedName name="asdlls" localSheetId="0">#REF!</definedName>
    <definedName name="asdlls">#REF!</definedName>
    <definedName name="asdq111d" localSheetId="0">#REF!</definedName>
    <definedName name="asdq111d">#REF!</definedName>
    <definedName name="assss" localSheetId="0" hidden="1">#REF!</definedName>
    <definedName name="assss" hidden="1">#REF!</definedName>
    <definedName name="astek" localSheetId="1" hidden="1">{#N/A,#N/A,TRUE,"Пресса";#N/A,#N/A,TRUE,"Метро";#N/A,#N/A,TRUE,"Щиты";#N/A,#N/A,TRUE,"График";#N/A,#N/A,TRUE,"График"}</definedName>
    <definedName name="astek" localSheetId="0" hidden="1">{#N/A,#N/A,TRUE,"Пресса";#N/A,#N/A,TRUE,"Метро";#N/A,#N/A,TRUE,"Щиты";#N/A,#N/A,TRUE,"График";#N/A,#N/A,TRUE,"График"}</definedName>
    <definedName name="astek" localSheetId="7" hidden="1">{#N/A,#N/A,TRUE,"Пресса";#N/A,#N/A,TRUE,"Метро";#N/A,#N/A,TRUE,"Щиты";#N/A,#N/A,TRUE,"График";#N/A,#N/A,TRUE,"График"}</definedName>
    <definedName name="astek" hidden="1">{#N/A,#N/A,TRUE,"Пресса";#N/A,#N/A,TRUE,"Метро";#N/A,#N/A,TRUE,"Щиты";#N/A,#N/A,TRUE,"График";#N/A,#N/A,TRUE,"График"}</definedName>
    <definedName name="AUDI">#REF!</definedName>
    <definedName name="AUDITLISTE" localSheetId="0">#REF!</definedName>
    <definedName name="AUDITLISTE">#REF!</definedName>
    <definedName name="aug" localSheetId="0">#REF!</definedName>
    <definedName name="aug">#REF!</definedName>
    <definedName name="autoDisc" localSheetId="7" hidden="1">[6]AUTO.RU!$E$46</definedName>
    <definedName name="autoDisc" hidden="1">[6]AUTO.RU!$E$46</definedName>
    <definedName name="autoDiscTotal" localSheetId="1" hidden="1">MAX((100%-splitDisc)*(100%-[0]!autoDisc)*(100%-agencyDisc)*(100%-[0]!discReach),[0]!maxAuto)</definedName>
    <definedName name="autoDiscTotal" localSheetId="0" hidden="1">MAX((100%-Total!splitDisc)*(100%-[0]!autoDisc)*(100%-Total!agencyDisc)*(100%-[0]!discReach),[0]!maxAuto)</definedName>
    <definedName name="autoDiscTotal" localSheetId="7" hidden="1">MAX((100%-splitDisc)*(100%-Поезда!autoDisc)*(100%-Поезда!agencyDisc)*(100%-[0]!discReach),Поезда!maxAuto)</definedName>
    <definedName name="autoDiscTotal" hidden="1">MAX((100%-splitDisc)*(100%-[0]!autoDisc)*(100%-agencyDisc)*(100%-[0]!discReach),[0]!maxAuto)</definedName>
    <definedName name="avtoDisc" localSheetId="7" hidden="1">[6]AVTO.RU!$E$48</definedName>
    <definedName name="avtoDisc" hidden="1">[6]AVTO.RU!$E$48</definedName>
    <definedName name="avtoDiscTotal" localSheetId="1" hidden="1">MAX((100%-splitDisc)*(100%-[0]!avtoDisc)*(100%-agencyDisc)*(100%-[0]!discReach),[0]!maxAvto)</definedName>
    <definedName name="avtoDiscTotal" localSheetId="0" hidden="1">MAX((100%-Total!splitDisc)*(100%-[0]!avtoDisc)*(100%-Total!agencyDisc)*(100%-[0]!discReach),[0]!maxAvto)</definedName>
    <definedName name="avtoDiscTotal" localSheetId="7" hidden="1">MAX((100%-splitDisc)*(100%-Поезда!avtoDisc)*(100%-Поезда!agencyDisc)*(100%-[0]!discReach),Поезда!maxAvto)</definedName>
    <definedName name="avtoDiscTotal" hidden="1">MAX((100%-splitDisc)*(100%-[0]!avtoDisc)*(100%-agencyDisc)*(100%-[0]!discReach),[0]!maxAvto)</definedName>
    <definedName name="azer" localSheetId="0">#REF!</definedName>
    <definedName name="azer" localSheetId="7">#REF!</definedName>
    <definedName name="azer">#REF!</definedName>
    <definedName name="b" localSheetId="1" hidden="1">{"'siets LAT'!$J$95","'siets LAT'!$J$95"}</definedName>
    <definedName name="b" localSheetId="0" hidden="1">{"'siets LAT'!$J$95","'siets LAT'!$J$95"}</definedName>
    <definedName name="b" localSheetId="7" hidden="1">{"'siets LAT'!$J$95","'siets LAT'!$J$95"}</definedName>
    <definedName name="b" hidden="1">{"'siets LAT'!$J$95","'siets LAT'!$J$95"}</definedName>
    <definedName name="ba">#REF!</definedName>
    <definedName name="banner" localSheetId="0">#REF!</definedName>
    <definedName name="banner">#REF!</definedName>
    <definedName name="basia" localSheetId="1" hidden="1">{"'siets LAT'!$J$95","'siets LAT'!$J$95"}</definedName>
    <definedName name="basia" localSheetId="0" hidden="1">{"'siets LAT'!$J$95","'siets LAT'!$J$95"}</definedName>
    <definedName name="basia" localSheetId="7" hidden="1">{"'siets LAT'!$J$95","'siets LAT'!$J$95"}</definedName>
    <definedName name="basia" hidden="1">{"'siets LAT'!$J$95","'siets LAT'!$J$95"}</definedName>
    <definedName name="BB">#REF!</definedName>
    <definedName name="bdgcin">'[8]CINEMA RMB'!#REF!</definedName>
    <definedName name="BDGMTV" localSheetId="0">#REF!</definedName>
    <definedName name="BDGMTV">#REF!</definedName>
    <definedName name="BDGPBL" localSheetId="0">'[9]Conto Sipra'!#REF!</definedName>
    <definedName name="BDGPBL">'[9]Conto Sipra'!#REF!</definedName>
    <definedName name="BDGPER" localSheetId="0">#REF!</definedName>
    <definedName name="BDGPER">#REF!</definedName>
    <definedName name="BDGPRS" localSheetId="0">#REF!</definedName>
    <definedName name="BDGPRS">#REF!</definedName>
    <definedName name="BDGQUO" localSheetId="0">#REF!</definedName>
    <definedName name="BDGQUO">#REF!</definedName>
    <definedName name="BDGSIPRA" localSheetId="0">#REF!</definedName>
    <definedName name="BDGSIPRA">#REF!</definedName>
    <definedName name="Beschreibung" localSheetId="0">#REF!</definedName>
    <definedName name="Beschreibung">#REF!</definedName>
    <definedName name="bla" localSheetId="1" hidden="1">{"'siets LAT'!$J$95","'siets LAT'!$J$95"}</definedName>
    <definedName name="bla" localSheetId="0" hidden="1">{"'siets LAT'!$J$95","'siets LAT'!$J$95"}</definedName>
    <definedName name="bla" localSheetId="7" hidden="1">{"'siets LAT'!$J$95","'siets LAT'!$J$95"}</definedName>
    <definedName name="bla" hidden="1">{"'siets LAT'!$J$95","'siets LAT'!$J$95"}</definedName>
    <definedName name="blabla" localSheetId="1" hidden="1">{"'siets LAT'!$J$95","'siets LAT'!$J$95"}</definedName>
    <definedName name="blabla" localSheetId="0" hidden="1">{"'siets LAT'!$J$95","'siets LAT'!$J$95"}</definedName>
    <definedName name="blabla" localSheetId="7" hidden="1">{"'siets LAT'!$J$95","'siets LAT'!$J$95"}</definedName>
    <definedName name="blabla" hidden="1">{"'siets LAT'!$J$95","'siets LAT'!$J$95"}</definedName>
    <definedName name="bn">#REF!</definedName>
    <definedName name="Brand" localSheetId="0">#REF!</definedName>
    <definedName name="Brand">#REF!</definedName>
    <definedName name="Brutto">'[2]Data CpGRP'!$B$4</definedName>
    <definedName name="budAfisha" localSheetId="3" hidden="1">OFFSET(Anch,MATCH("Afisha.ru",resList,0),3,COUNTIF(resList,"Afisha.ru")-1,1)</definedName>
    <definedName name="budAfisha" localSheetId="2" hidden="1">OFFSET(Anch,MATCH("Afisha.ru",resList,0),3,COUNTIF(resList,"Afisha.ru")-1,1)</definedName>
    <definedName name="budAfisha" localSheetId="1" hidden="1">OFFSET(Anch,MATCH("Afisha.ru",resList,0),3,COUNTIF(resList,"Afisha.ru")-1,1)</definedName>
    <definedName name="budAfisha" localSheetId="0" hidden="1">OFFSET(Anch,MATCH("Afisha.ru",resList,0),3,COUNTIF(resList,"Afisha.ru")-1,1)</definedName>
    <definedName name="budAfisha" localSheetId="6" hidden="1">OFFSET(Anch,MATCH("Afisha.ru",resList,0),3,COUNTIF(resList,"Afisha.ru")-1,1)</definedName>
    <definedName name="budAfisha" localSheetId="5" hidden="1">OFFSET(Anch,MATCH("Afisha.ru",resList,0),3,COUNTIF(resList,"Afisha.ru")-1,1)</definedName>
    <definedName name="budAfisha" localSheetId="7" hidden="1">OFFSET(Anch,MATCH("Afisha.ru",resList,0),3,COUNTIF(resList,"Afisha.ru")-1,1)</definedName>
    <definedName name="budAfisha" localSheetId="4" hidden="1">OFFSET(Anch,MATCH("Afisha.ru",resList,0),3,COUNTIF(resList,"Afisha.ru")-1,1)</definedName>
    <definedName name="budAfisha" hidden="1">OFFSET(Anch,MATCH("Afisha.ru",resList,0),3,COUNTIF(resList,"Afisha.ru")-1,1)</definedName>
    <definedName name="budAmedia" localSheetId="3" hidden="1">OFFSET(Anch,MATCH("Amedia.ru",resList,0),3,COUNTIF(resList,"Amedia.ru")-1,1)</definedName>
    <definedName name="budAmedia" localSheetId="2" hidden="1">OFFSET(Anch,MATCH("Amedia.ru",resList,0),3,COUNTIF(resList,"Amedia.ru")-1,1)</definedName>
    <definedName name="budAmedia" localSheetId="1" hidden="1">OFFSET(Anch,MATCH("Amedia.ru",resList,0),3,COUNTIF(resList,"Amedia.ru")-1,1)</definedName>
    <definedName name="budAmedia" localSheetId="0" hidden="1">OFFSET(Anch,MATCH("Amedia.ru",resList,0),3,COUNTIF(resList,"Amedia.ru")-1,1)</definedName>
    <definedName name="budAmedia" localSheetId="6" hidden="1">OFFSET(Anch,MATCH("Amedia.ru",resList,0),3,COUNTIF(resList,"Amedia.ru")-1,1)</definedName>
    <definedName name="budAmedia" localSheetId="5" hidden="1">OFFSET(Anch,MATCH("Amedia.ru",resList,0),3,COUNTIF(resList,"Amedia.ru")-1,1)</definedName>
    <definedName name="budAmedia" localSheetId="7" hidden="1">OFFSET(Anch,MATCH("Amedia.ru",resList,0),3,COUNTIF(resList,"Amedia.ru")-1,1)</definedName>
    <definedName name="budAmedia" localSheetId="4" hidden="1">OFFSET(Anch,MATCH("Amedia.ru",resList,0),3,COUNTIF(resList,"Amedia.ru")-1,1)</definedName>
    <definedName name="budAmedia" hidden="1">OFFSET(Anch,MATCH("Amedia.ru",resList,0),3,COUNTIF(resList,"Amedia.ru")-1,1)</definedName>
    <definedName name="budAuto" localSheetId="3" hidden="1">OFFSET(Anch,MATCH("Auto.ru",resList,0),3,COUNTIF(resList,"Auto.ru")-1,1)</definedName>
    <definedName name="budAuto" localSheetId="2" hidden="1">OFFSET(Anch,MATCH("Auto.ru",resList,0),3,COUNTIF(resList,"Auto.ru")-1,1)</definedName>
    <definedName name="budAuto" localSheetId="1" hidden="1">OFFSET(Anch,MATCH("Auto.ru",resList,0),3,COUNTIF(resList,"Auto.ru")-1,1)</definedName>
    <definedName name="budAuto" localSheetId="0" hidden="1">OFFSET(Anch,MATCH("Auto.ru",resList,0),3,COUNTIF(resList,"Auto.ru")-1,1)</definedName>
    <definedName name="budAuto" localSheetId="6" hidden="1">OFFSET(Anch,MATCH("Auto.ru",resList,0),3,COUNTIF(resList,"Auto.ru")-1,1)</definedName>
    <definedName name="budAuto" localSheetId="5" hidden="1">OFFSET(Anch,MATCH("Auto.ru",resList,0),3,COUNTIF(resList,"Auto.ru")-1,1)</definedName>
    <definedName name="budAuto" localSheetId="7" hidden="1">OFFSET(Anch,MATCH("Auto.ru",resList,0),3,COUNTIF(resList,"Auto.ru")-1,1)</definedName>
    <definedName name="budAuto" localSheetId="4" hidden="1">OFFSET(Anch,MATCH("Auto.ru",resList,0),3,COUNTIF(resList,"Auto.ru")-1,1)</definedName>
    <definedName name="budAuto" hidden="1">OFFSET(Anch,MATCH("Auto.ru",resList,0),3,COUNTIF(resList,"Auto.ru")-1,1)</definedName>
    <definedName name="budAvto" localSheetId="3" hidden="1">OFFSET(Anch,MATCH("Avto.ru",resList,0),3,COUNTIF(resList,"Avto.ru")-1,1)</definedName>
    <definedName name="budAvto" localSheetId="2" hidden="1">OFFSET(Anch,MATCH("Avto.ru",resList,0),3,COUNTIF(resList,"Avto.ru")-1,1)</definedName>
    <definedName name="budAvto" localSheetId="1" hidden="1">OFFSET(Anch,MATCH("Avto.ru",resList,0),3,COUNTIF(resList,"Avto.ru")-1,1)</definedName>
    <definedName name="budAvto" localSheetId="0" hidden="1">OFFSET(Anch,MATCH("Avto.ru",resList,0),3,COUNTIF(resList,"Avto.ru")-1,1)</definedName>
    <definedName name="budAvto" localSheetId="6" hidden="1">OFFSET(Anch,MATCH("Avto.ru",resList,0),3,COUNTIF(resList,"Avto.ru")-1,1)</definedName>
    <definedName name="budAvto" localSheetId="5" hidden="1">OFFSET(Anch,MATCH("Avto.ru",resList,0),3,COUNTIF(resList,"Avto.ru")-1,1)</definedName>
    <definedName name="budAvto" localSheetId="7" hidden="1">OFFSET(Anch,MATCH("Avto.ru",resList,0),3,COUNTIF(resList,"Avto.ru")-1,1)</definedName>
    <definedName name="budAvto" localSheetId="4" hidden="1">OFFSET(Anch,MATCH("Avto.ru",resList,0),3,COUNTIF(resList,"Avto.ru")-1,1)</definedName>
    <definedName name="budAvto" hidden="1">OFFSET(Anch,MATCH("Avto.ru",resList,0),3,COUNTIF(resList,"Avto.ru")-1,1)</definedName>
    <definedName name="budd3" localSheetId="3" hidden="1">OFFSET(Anch,MATCH("3dnews.ru",resList,0),3,COUNTIF(resList,"3dnews.ru")-1,1)</definedName>
    <definedName name="budd3" localSheetId="2" hidden="1">OFFSET(Anch,MATCH("3dnews.ru",resList,0),3,COUNTIF(resList,"3dnews.ru")-1,1)</definedName>
    <definedName name="budd3" localSheetId="1" hidden="1">OFFSET(Anch,MATCH("3dnews.ru",resList,0),3,COUNTIF(resList,"3dnews.ru")-1,1)</definedName>
    <definedName name="budd3" localSheetId="0" hidden="1">OFFSET(Anch,MATCH("3dnews.ru",resList,0),3,COUNTIF(resList,"3dnews.ru")-1,1)</definedName>
    <definedName name="budd3" localSheetId="6" hidden="1">OFFSET(Anch,MATCH("3dnews.ru",resList,0),3,COUNTIF(resList,"3dnews.ru")-1,1)</definedName>
    <definedName name="budd3" localSheetId="5" hidden="1">OFFSET(Anch,MATCH("3dnews.ru",resList,0),3,COUNTIF(resList,"3dnews.ru")-1,1)</definedName>
    <definedName name="budd3" localSheetId="7" hidden="1">OFFSET(Anch,MATCH("3dnews.ru",resList,0),3,COUNTIF(resList,"3dnews.ru")-1,1)</definedName>
    <definedName name="budd3" localSheetId="4" hidden="1">OFFSET(Anch,MATCH("3dnews.ru",resList,0),3,COUNTIF(resList,"3dnews.ru")-1,1)</definedName>
    <definedName name="budd3" hidden="1">OFFSET(Anch,MATCH("3dnews.ru",resList,0),3,COUNTIF(resList,"3dnews.ru")-1,1)</definedName>
    <definedName name="budEcho" localSheetId="3" hidden="1">OFFSET(Anch,MATCH("Echo.Msk.ru",resList,0),3,COUNTIF(resList,"Echo.Msk.ru")-1,1)</definedName>
    <definedName name="budEcho" localSheetId="2" hidden="1">OFFSET(Anch,MATCH("Echo.Msk.ru",resList,0),3,COUNTIF(resList,"Echo.Msk.ru")-1,1)</definedName>
    <definedName name="budEcho" localSheetId="1" hidden="1">OFFSET(Anch,MATCH("Echo.Msk.ru",resList,0),3,COUNTIF(resList,"Echo.Msk.ru")-1,1)</definedName>
    <definedName name="budEcho" localSheetId="0" hidden="1">OFFSET(Anch,MATCH("Echo.Msk.ru",resList,0),3,COUNTIF(resList,"Echo.Msk.ru")-1,1)</definedName>
    <definedName name="budEcho" localSheetId="6" hidden="1">OFFSET(Anch,MATCH("Echo.Msk.ru",resList,0),3,COUNTIF(resList,"Echo.Msk.ru")-1,1)</definedName>
    <definedName name="budEcho" localSheetId="5" hidden="1">OFFSET(Anch,MATCH("Echo.Msk.ru",resList,0),3,COUNTIF(resList,"Echo.Msk.ru")-1,1)</definedName>
    <definedName name="budEcho" localSheetId="7" hidden="1">OFFSET(Anch,MATCH("Echo.Msk.ru",resList,0),3,COUNTIF(resList,"Echo.Msk.ru")-1,1)</definedName>
    <definedName name="budEcho" localSheetId="4" hidden="1">OFFSET(Anch,MATCH("Echo.Msk.ru",resList,0),3,COUNTIF(resList,"Echo.Msk.ru")-1,1)</definedName>
    <definedName name="budEcho" hidden="1">OFFSET(Anch,MATCH("Echo.Msk.ru",resList,0),3,COUNTIF(resList,"Echo.Msk.ru")-1,1)</definedName>
    <definedName name="budExpert" localSheetId="3" hidden="1">OFFSET(Anch,MATCH("Expert.ru",resList,0),3,COUNTIF(resList,"Expert.ru")-1,1)</definedName>
    <definedName name="budExpert" localSheetId="2" hidden="1">OFFSET(Anch,MATCH("Expert.ru",resList,0),3,COUNTIF(resList,"Expert.ru")-1,1)</definedName>
    <definedName name="budExpert" localSheetId="1" hidden="1">OFFSET(Anch,MATCH("Expert.ru",resList,0),3,COUNTIF(resList,"Expert.ru")-1,1)</definedName>
    <definedName name="budExpert" localSheetId="0" hidden="1">OFFSET(Anch,MATCH("Expert.ru",resList,0),3,COUNTIF(resList,"Expert.ru")-1,1)</definedName>
    <definedName name="budExpert" localSheetId="6" hidden="1">OFFSET(Anch,MATCH("Expert.ru",resList,0),3,COUNTIF(resList,"Expert.ru")-1,1)</definedName>
    <definedName name="budExpert" localSheetId="5" hidden="1">OFFSET(Anch,MATCH("Expert.ru",resList,0),3,COUNTIF(resList,"Expert.ru")-1,1)</definedName>
    <definedName name="budExpert" localSheetId="7" hidden="1">OFFSET(Anch,MATCH("Expert.ru",resList,0),3,COUNTIF(resList,"Expert.ru")-1,1)</definedName>
    <definedName name="budExpert" localSheetId="4" hidden="1">OFFSET(Anch,MATCH("Expert.ru",resList,0),3,COUNTIF(resList,"Expert.ru")-1,1)</definedName>
    <definedName name="budExpert" hidden="1">OFFSET(Anch,MATCH("Expert.ru",resList,0),3,COUNTIF(resList,"Expert.ru")-1,1)</definedName>
    <definedName name="budFt" localSheetId="3" hidden="1">OFFSET(Anch,MATCH("Fashiontime.ru",resList,0),3,COUNTIF(resList,"Fashiontime.ru")-1,1)</definedName>
    <definedName name="budFt" localSheetId="2" hidden="1">OFFSET(Anch,MATCH("Fashiontime.ru",resList,0),3,COUNTIF(resList,"Fashiontime.ru")-1,1)</definedName>
    <definedName name="budFt" localSheetId="1" hidden="1">OFFSET(Anch,MATCH("Fashiontime.ru",resList,0),3,COUNTIF(resList,"Fashiontime.ru")-1,1)</definedName>
    <definedName name="budFt" localSheetId="0" hidden="1">OFFSET(Anch,MATCH("Fashiontime.ru",resList,0),3,COUNTIF(resList,"Fashiontime.ru")-1,1)</definedName>
    <definedName name="budFt" localSheetId="6" hidden="1">OFFSET(Anch,MATCH("Fashiontime.ru",resList,0),3,COUNTIF(resList,"Fashiontime.ru")-1,1)</definedName>
    <definedName name="budFt" localSheetId="5" hidden="1">OFFSET(Anch,MATCH("Fashiontime.ru",resList,0),3,COUNTIF(resList,"Fashiontime.ru")-1,1)</definedName>
    <definedName name="budFt" localSheetId="7" hidden="1">OFFSET(Anch,MATCH("Fashiontime.ru",resList,0),3,COUNTIF(resList,"Fashiontime.ru")-1,1)</definedName>
    <definedName name="budFt" localSheetId="4" hidden="1">OFFSET(Anch,MATCH("Fashiontime.ru",resList,0),3,COUNTIF(resList,"Fashiontime.ru")-1,1)</definedName>
    <definedName name="budFt" hidden="1">OFFSET(Anch,MATCH("Fashiontime.ru",resList,0),3,COUNTIF(resList,"Fashiontime.ru")-1,1)</definedName>
    <definedName name="BUDG" localSheetId="0">#REF!</definedName>
    <definedName name="BUDG" localSheetId="7">#REF!</definedName>
    <definedName name="BUDG">#REF!</definedName>
    <definedName name="budGazeta" localSheetId="3" hidden="1">OFFSET(Anch,MATCH("Gazeta.ru",resList,0),3,COUNTIF(resList,"Gazeta.ru")-1,1)</definedName>
    <definedName name="budGazeta" localSheetId="2" hidden="1">OFFSET(Anch,MATCH("Gazeta.ru",resList,0),3,COUNTIF(resList,"Gazeta.ru")-1,1)</definedName>
    <definedName name="budGazeta" localSheetId="1" hidden="1">OFFSET(Anch,MATCH("Gazeta.ru",resList,0),3,COUNTIF(resList,"Gazeta.ru")-1,1)</definedName>
    <definedName name="budGazeta" localSheetId="0" hidden="1">OFFSET(Anch,MATCH("Gazeta.ru",resList,0),3,COUNTIF(resList,"Gazeta.ru")-1,1)</definedName>
    <definedName name="budGazeta" localSheetId="6" hidden="1">OFFSET(Anch,MATCH("Gazeta.ru",resList,0),3,COUNTIF(resList,"Gazeta.ru")-1,1)</definedName>
    <definedName name="budGazeta" localSheetId="5" hidden="1">OFFSET(Anch,MATCH("Gazeta.ru",resList,0),3,COUNTIF(resList,"Gazeta.ru")-1,1)</definedName>
    <definedName name="budGazeta" localSheetId="7" hidden="1">OFFSET(Anch,MATCH("Gazeta.ru",resList,0),3,COUNTIF(resList,"Gazeta.ru")-1,1)</definedName>
    <definedName name="budGazeta" localSheetId="4" hidden="1">OFFSET(Anch,MATCH("Gazeta.ru",resList,0),3,COUNTIF(resList,"Gazeta.ru")-1,1)</definedName>
    <definedName name="budGazeta" hidden="1">OFFSET(Anch,MATCH("Gazeta.ru",resList,0),3,COUNTIF(resList,"Gazeta.ru")-1,1)</definedName>
    <definedName name="budIno" localSheetId="3" hidden="1">OFFSET(Anch,MATCH("Inopressa.ru",resList,0),3,COUNTIF(resList,"Inopressa.ru")-1,1)</definedName>
    <definedName name="budIno" localSheetId="2" hidden="1">OFFSET(Anch,MATCH("Inopressa.ru",resList,0),3,COUNTIF(resList,"Inopressa.ru")-1,1)</definedName>
    <definedName name="budIno" localSheetId="1" hidden="1">OFFSET(Anch,MATCH("Inopressa.ru",resList,0),3,COUNTIF(resList,"Inopressa.ru")-1,1)</definedName>
    <definedName name="budIno" localSheetId="0" hidden="1">OFFSET(Anch,MATCH("Inopressa.ru",resList,0),3,COUNTIF(resList,"Inopressa.ru")-1,1)</definedName>
    <definedName name="budIno" localSheetId="6" hidden="1">OFFSET(Anch,MATCH("Inopressa.ru",resList,0),3,COUNTIF(resList,"Inopressa.ru")-1,1)</definedName>
    <definedName name="budIno" localSheetId="5" hidden="1">OFFSET(Anch,MATCH("Inopressa.ru",resList,0),3,COUNTIF(resList,"Inopressa.ru")-1,1)</definedName>
    <definedName name="budIno" localSheetId="7" hidden="1">OFFSET(Anch,MATCH("Inopressa.ru",resList,0),3,COUNTIF(resList,"Inopressa.ru")-1,1)</definedName>
    <definedName name="budIno" localSheetId="4" hidden="1">OFFSET(Anch,MATCH("Inopressa.ru",resList,0),3,COUNTIF(resList,"Inopressa.ru")-1,1)</definedName>
    <definedName name="budIno" hidden="1">OFFSET(Anch,MATCH("Inopressa.ru",resList,0),3,COUNTIF(resList,"Inopressa.ru")-1,1)</definedName>
    <definedName name="budKomm" localSheetId="3" hidden="1">OFFSET(Anch,MATCH("Kommersant.ru",resList,0),3,COUNTIF(resList,"Kommersant.ru")-1,1)</definedName>
    <definedName name="budKomm" localSheetId="2" hidden="1">OFFSET(Anch,MATCH("Kommersant.ru",resList,0),3,COUNTIF(resList,"Kommersant.ru")-1,1)</definedName>
    <definedName name="budKomm" localSheetId="1" hidden="1">OFFSET(Anch,MATCH("Kommersant.ru",resList,0),3,COUNTIF(resList,"Kommersant.ru")-1,1)</definedName>
    <definedName name="budKomm" localSheetId="0" hidden="1">OFFSET(Anch,MATCH("Kommersant.ru",resList,0),3,COUNTIF(resList,"Kommersant.ru")-1,1)</definedName>
    <definedName name="budKomm" localSheetId="6" hidden="1">OFFSET(Anch,MATCH("Kommersant.ru",resList,0),3,COUNTIF(resList,"Kommersant.ru")-1,1)</definedName>
    <definedName name="budKomm" localSheetId="5" hidden="1">OFFSET(Anch,MATCH("Kommersant.ru",resList,0),3,COUNTIF(resList,"Kommersant.ru")-1,1)</definedName>
    <definedName name="budKomm" localSheetId="7" hidden="1">OFFSET(Anch,MATCH("Kommersant.ru",resList,0),3,COUNTIF(resList,"Kommersant.ru")-1,1)</definedName>
    <definedName name="budKomm" localSheetId="4" hidden="1">OFFSET(Anch,MATCH("Kommersant.ru",resList,0),3,COUNTIF(resList,"Kommersant.ru")-1,1)</definedName>
    <definedName name="budKomm" hidden="1">OFFSET(Anch,MATCH("Kommersant.ru",resList,0),3,COUNTIF(resList,"Kommersant.ru")-1,1)</definedName>
    <definedName name="budLive" localSheetId="3" hidden="1">OFFSET(Anch,MATCH("Liveinternet.ru",resList,0),3,COUNTIF(resList,"Liveinternet.ru")-1,1)</definedName>
    <definedName name="budLive" localSheetId="2" hidden="1">OFFSET(Anch,MATCH("Liveinternet.ru",resList,0),3,COUNTIF(resList,"Liveinternet.ru")-1,1)</definedName>
    <definedName name="budLive" localSheetId="1" hidden="1">OFFSET(Anch,MATCH("Liveinternet.ru",resList,0),3,COUNTIF(resList,"Liveinternet.ru")-1,1)</definedName>
    <definedName name="budLive" localSheetId="0" hidden="1">OFFSET(Anch,MATCH("Liveinternet.ru",resList,0),3,COUNTIF(resList,"Liveinternet.ru")-1,1)</definedName>
    <definedName name="budLive" localSheetId="6" hidden="1">OFFSET(Anch,MATCH("Liveinternet.ru",resList,0),3,COUNTIF(resList,"Liveinternet.ru")-1,1)</definedName>
    <definedName name="budLive" localSheetId="5" hidden="1">OFFSET(Anch,MATCH("Liveinternet.ru",resList,0),3,COUNTIF(resList,"Liveinternet.ru")-1,1)</definedName>
    <definedName name="budLive" localSheetId="7" hidden="1">OFFSET(Anch,MATCH("Liveinternet.ru",resList,0),3,COUNTIF(resList,"Liveinternet.ru")-1,1)</definedName>
    <definedName name="budLive" localSheetId="4" hidden="1">OFFSET(Anch,MATCH("Liveinternet.ru",resList,0),3,COUNTIF(resList,"Liveinternet.ru")-1,1)</definedName>
    <definedName name="budLive" hidden="1">OFFSET(Anch,MATCH("Liveinternet.ru",resList,0),3,COUNTIF(resList,"Liveinternet.ru")-1,1)</definedName>
    <definedName name="budMail" localSheetId="3" hidden="1">OFFSET(Anch,MATCH("Mail.ru",resList,0),3,COUNTIF(resList,"Mail.ru")-1,1)</definedName>
    <definedName name="budMail" localSheetId="2" hidden="1">OFFSET(Anch,MATCH("Mail.ru",resList,0),3,COUNTIF(resList,"Mail.ru")-1,1)</definedName>
    <definedName name="budMail" localSheetId="1" hidden="1">OFFSET(Anch,MATCH("Mail.ru",resList,0),3,COUNTIF(resList,"Mail.ru")-1,1)</definedName>
    <definedName name="budMail" localSheetId="0" hidden="1">OFFSET(Anch,MATCH("Mail.ru",resList,0),3,COUNTIF(resList,"Mail.ru")-1,1)</definedName>
    <definedName name="budMail" localSheetId="6" hidden="1">OFFSET(Anch,MATCH("Mail.ru",resList,0),3,COUNTIF(resList,"Mail.ru")-1,1)</definedName>
    <definedName name="budMail" localSheetId="5" hidden="1">OFFSET(Anch,MATCH("Mail.ru",resList,0),3,COUNTIF(resList,"Mail.ru")-1,1)</definedName>
    <definedName name="budMail" localSheetId="7" hidden="1">OFFSET(Anch,MATCH("Mail.ru",resList,0),3,COUNTIF(resList,"Mail.ru")-1,1)</definedName>
    <definedName name="budMail" localSheetId="4" hidden="1">OFFSET(Anch,MATCH("Mail.ru",resList,0),3,COUNTIF(resList,"Mail.ru")-1,1)</definedName>
    <definedName name="budMail" hidden="1">OFFSET(Anch,MATCH("Mail.ru",resList,0),3,COUNTIF(resList,"Mail.ru")-1,1)</definedName>
    <definedName name="budMtv" localSheetId="3" hidden="1">OFFSET(Anch,MATCH("MTV.ru",resList,0),3,COUNTIF(resList,"MTV.ru")-1,1)</definedName>
    <definedName name="budMtv" localSheetId="2" hidden="1">OFFSET(Anch,MATCH("MTV.ru",resList,0),3,COUNTIF(resList,"MTV.ru")-1,1)</definedName>
    <definedName name="budMtv" localSheetId="1" hidden="1">OFFSET(Anch,MATCH("MTV.ru",resList,0),3,COUNTIF(resList,"MTV.ru")-1,1)</definedName>
    <definedName name="budMtv" localSheetId="0" hidden="1">OFFSET(Anch,MATCH("MTV.ru",resList,0),3,COUNTIF(resList,"MTV.ru")-1,1)</definedName>
    <definedName name="budMtv" localSheetId="6" hidden="1">OFFSET(Anch,MATCH("MTV.ru",resList,0),3,COUNTIF(resList,"MTV.ru")-1,1)</definedName>
    <definedName name="budMtv" localSheetId="5" hidden="1">OFFSET(Anch,MATCH("MTV.ru",resList,0),3,COUNTIF(resList,"MTV.ru")-1,1)</definedName>
    <definedName name="budMtv" localSheetId="7" hidden="1">OFFSET(Anch,MATCH("MTV.ru",resList,0),3,COUNTIF(resList,"MTV.ru")-1,1)</definedName>
    <definedName name="budMtv" localSheetId="4" hidden="1">OFFSET(Anch,MATCH("MTV.ru",resList,0),3,COUNTIF(resList,"MTV.ru")-1,1)</definedName>
    <definedName name="budMtv" hidden="1">OFFSET(Anch,MATCH("MTV.ru",resList,0),3,COUNTIF(resList,"MTV.ru")-1,1)</definedName>
    <definedName name="budNewsru" localSheetId="3" hidden="1">OFFSET(Anch,MATCH("Newsru.com",resList,0),3,COUNTIF(resList,"Newsru.com")-1,1)</definedName>
    <definedName name="budNewsru" localSheetId="2" hidden="1">OFFSET(Anch,MATCH("Newsru.com",resList,0),3,COUNTIF(resList,"Newsru.com")-1,1)</definedName>
    <definedName name="budNewsru" localSheetId="1" hidden="1">OFFSET(Anch,MATCH("Newsru.com",resList,0),3,COUNTIF(resList,"Newsru.com")-1,1)</definedName>
    <definedName name="budNewsru" localSheetId="0" hidden="1">OFFSET(Anch,MATCH("Newsru.com",resList,0),3,COUNTIF(resList,"Newsru.com")-1,1)</definedName>
    <definedName name="budNewsru" localSheetId="6" hidden="1">OFFSET(Anch,MATCH("Newsru.com",resList,0),3,COUNTIF(resList,"Newsru.com")-1,1)</definedName>
    <definedName name="budNewsru" localSheetId="5" hidden="1">OFFSET(Anch,MATCH("Newsru.com",resList,0),3,COUNTIF(resList,"Newsru.com")-1,1)</definedName>
    <definedName name="budNewsru" localSheetId="7" hidden="1">OFFSET(Anch,MATCH("Newsru.com",resList,0),3,COUNTIF(resList,"Newsru.com")-1,1)</definedName>
    <definedName name="budNewsru" localSheetId="4" hidden="1">OFFSET(Anch,MATCH("Newsru.com",resList,0),3,COUNTIF(resList,"Newsru.com")-1,1)</definedName>
    <definedName name="budNewsru" hidden="1">OFFSET(Anch,MATCH("Newsru.com",resList,0),3,COUNTIF(resList,"Newsru.com")-1,1)</definedName>
    <definedName name="budo24" localSheetId="3" hidden="1">OFFSET(Anch,MATCH("24open.ru",resList,0),3,COUNTIF(resList,"24open.ru")-1,1)</definedName>
    <definedName name="budo24" localSheetId="2" hidden="1">OFFSET(Anch,MATCH("24open.ru",resList,0),3,COUNTIF(resList,"24open.ru")-1,1)</definedName>
    <definedName name="budo24" localSheetId="1" hidden="1">OFFSET(Anch,MATCH("24open.ru",resList,0),3,COUNTIF(resList,"24open.ru")-1,1)</definedName>
    <definedName name="budo24" localSheetId="0" hidden="1">OFFSET(Anch,MATCH("24open.ru",resList,0),3,COUNTIF(resList,"24open.ru")-1,1)</definedName>
    <definedName name="budo24" localSheetId="6" hidden="1">OFFSET(Anch,MATCH("24open.ru",resList,0),3,COUNTIF(resList,"24open.ru")-1,1)</definedName>
    <definedName name="budo24" localSheetId="5" hidden="1">OFFSET(Anch,MATCH("24open.ru",resList,0),3,COUNTIF(resList,"24open.ru")-1,1)</definedName>
    <definedName name="budo24" localSheetId="7" hidden="1">OFFSET(Anch,MATCH("24open.ru",resList,0),3,COUNTIF(resList,"24open.ru")-1,1)</definedName>
    <definedName name="budo24" localSheetId="4" hidden="1">OFFSET(Anch,MATCH("24open.ru",resList,0),3,COUNTIF(resList,"24open.ru")-1,1)</definedName>
    <definedName name="budo24" hidden="1">OFFSET(Anch,MATCH("24open.ru",resList,0),3,COUNTIF(resList,"24open.ru")-1,1)</definedName>
    <definedName name="budRian" localSheetId="3" hidden="1">OFFSET(Anch,MATCH("RIAN.ru",resList,0),3,COUNTIF(resList,"RIAN.ru")-1,1)</definedName>
    <definedName name="budRian" localSheetId="2" hidden="1">OFFSET(Anch,MATCH("RIAN.ru",resList,0),3,COUNTIF(resList,"RIAN.ru")-1,1)</definedName>
    <definedName name="budRian" localSheetId="1" hidden="1">OFFSET(Anch,MATCH("RIAN.ru",resList,0),3,COUNTIF(resList,"RIAN.ru")-1,1)</definedName>
    <definedName name="budRian" localSheetId="0" hidden="1">OFFSET(Anch,MATCH("RIAN.ru",resList,0),3,COUNTIF(resList,"RIAN.ru")-1,1)</definedName>
    <definedName name="budRian" localSheetId="6" hidden="1">OFFSET(Anch,MATCH("RIAN.ru",resList,0),3,COUNTIF(resList,"RIAN.ru")-1,1)</definedName>
    <definedName name="budRian" localSheetId="5" hidden="1">OFFSET(Anch,MATCH("RIAN.ru",resList,0),3,COUNTIF(resList,"RIAN.ru")-1,1)</definedName>
    <definedName name="budRian" localSheetId="7" hidden="1">OFFSET(Anch,MATCH("RIAN.ru",resList,0),3,COUNTIF(resList,"RIAN.ru")-1,1)</definedName>
    <definedName name="budRian" localSheetId="4" hidden="1">OFFSET(Anch,MATCH("RIAN.ru",resList,0),3,COUNTIF(resList,"RIAN.ru")-1,1)</definedName>
    <definedName name="budRian" hidden="1">OFFSET(Anch,MATCH("RIAN.ru",resList,0),3,COUNTIF(resList,"RIAN.ru")-1,1)</definedName>
    <definedName name="budSp" localSheetId="3" hidden="1">OFFSET(Anch,MATCH("Sports.ru",resList,0),3,COUNTIF(resList,"Sports.ru")-1,1)</definedName>
    <definedName name="budSp" localSheetId="2" hidden="1">OFFSET(Anch,MATCH("Sports.ru",resList,0),3,COUNTIF(resList,"Sports.ru")-1,1)</definedName>
    <definedName name="budSp" localSheetId="1" hidden="1">OFFSET(Anch,MATCH("Sports.ru",resList,0),3,COUNTIF(resList,"Sports.ru")-1,1)</definedName>
    <definedName name="budSp" localSheetId="0" hidden="1">OFFSET(Anch,MATCH("Sports.ru",resList,0),3,COUNTIF(resList,"Sports.ru")-1,1)</definedName>
    <definedName name="budSp" localSheetId="6" hidden="1">OFFSET(Anch,MATCH("Sports.ru",resList,0),3,COUNTIF(resList,"Sports.ru")-1,1)</definedName>
    <definedName name="budSp" localSheetId="5" hidden="1">OFFSET(Anch,MATCH("Sports.ru",resList,0),3,COUNTIF(resList,"Sports.ru")-1,1)</definedName>
    <definedName name="budSp" localSheetId="7" hidden="1">OFFSET(Anch,MATCH("Sports.ru",resList,0),3,COUNTIF(resList,"Sports.ru")-1,1)</definedName>
    <definedName name="budSp" localSheetId="4" hidden="1">OFFSET(Anch,MATCH("Sports.ru",resList,0),3,COUNTIF(resList,"Sports.ru")-1,1)</definedName>
    <definedName name="budSp" hidden="1">OFFSET(Anch,MATCH("Sports.ru",resList,0),3,COUNTIF(resList,"Sports.ru")-1,1)</definedName>
    <definedName name="budStyle" localSheetId="3" hidden="1">OFFSET(Anch,MATCH("Superstyle.ru",resList,0),3,COUNTIF(resList,"Superstyle.ru")-1,1)</definedName>
    <definedName name="budStyle" localSheetId="2" hidden="1">OFFSET(Anch,MATCH("Superstyle.ru",resList,0),3,COUNTIF(resList,"Superstyle.ru")-1,1)</definedName>
    <definedName name="budStyle" localSheetId="1" hidden="1">OFFSET(Anch,MATCH("Superstyle.ru",resList,0),3,COUNTIF(resList,"Superstyle.ru")-1,1)</definedName>
    <definedName name="budStyle" localSheetId="0" hidden="1">OFFSET(Anch,MATCH("Superstyle.ru",resList,0),3,COUNTIF(resList,"Superstyle.ru")-1,1)</definedName>
    <definedName name="budStyle" localSheetId="6" hidden="1">OFFSET(Anch,MATCH("Superstyle.ru",resList,0),3,COUNTIF(resList,"Superstyle.ru")-1,1)</definedName>
    <definedName name="budStyle" localSheetId="5" hidden="1">OFFSET(Anch,MATCH("Superstyle.ru",resList,0),3,COUNTIF(resList,"Superstyle.ru")-1,1)</definedName>
    <definedName name="budStyle" localSheetId="7" hidden="1">OFFSET(Anch,MATCH("Superstyle.ru",resList,0),3,COUNTIF(resList,"Superstyle.ru")-1,1)</definedName>
    <definedName name="budStyle" localSheetId="4" hidden="1">OFFSET(Anch,MATCH("Superstyle.ru",resList,0),3,COUNTIF(resList,"Superstyle.ru")-1,1)</definedName>
    <definedName name="budStyle" hidden="1">OFFSET(Anch,MATCH("Superstyle.ru",resList,0),3,COUNTIF(resList,"Superstyle.ru")-1,1)</definedName>
    <definedName name="budSubscribe" localSheetId="3" hidden="1">OFFSET(Anch,MATCH("Subscribe.ru",resList,0),3,COUNTIF(resList,"Subscribe.ru")-1,1)</definedName>
    <definedName name="budSubscribe" localSheetId="2" hidden="1">OFFSET(Anch,MATCH("Subscribe.ru",resList,0),3,COUNTIF(resList,"Subscribe.ru")-1,1)</definedName>
    <definedName name="budSubscribe" localSheetId="1" hidden="1">OFFSET(Anch,MATCH("Subscribe.ru",resList,0),3,COUNTIF(resList,"Subscribe.ru")-1,1)</definedName>
    <definedName name="budSubscribe" localSheetId="0" hidden="1">OFFSET(Anch,MATCH("Subscribe.ru",resList,0),3,COUNTIF(resList,"Subscribe.ru")-1,1)</definedName>
    <definedName name="budSubscribe" localSheetId="6" hidden="1">OFFSET(Anch,MATCH("Subscribe.ru",resList,0),3,COUNTIF(resList,"Subscribe.ru")-1,1)</definedName>
    <definedName name="budSubscribe" localSheetId="5" hidden="1">OFFSET(Anch,MATCH("Subscribe.ru",resList,0),3,COUNTIF(resList,"Subscribe.ru")-1,1)</definedName>
    <definedName name="budSubscribe" localSheetId="7" hidden="1">OFFSET(Anch,MATCH("Subscribe.ru",resList,0),3,COUNTIF(resList,"Subscribe.ru")-1,1)</definedName>
    <definedName name="budSubscribe" localSheetId="4" hidden="1">OFFSET(Anch,MATCH("Subscribe.ru",resList,0),3,COUNTIF(resList,"Subscribe.ru")-1,1)</definedName>
    <definedName name="budSubscribe" hidden="1">OFFSET(Anch,MATCH("Subscribe.ru",resList,0),3,COUNTIF(resList,"Subscribe.ru")-1,1)</definedName>
    <definedName name="budVokrug" localSheetId="3" hidden="1">OFFSET(Anch,MATCH("Vokrugsveta.ru",resList,0),3,COUNTIF(resList,"Vokrugsveta.ru")-1,1)</definedName>
    <definedName name="budVokrug" localSheetId="2" hidden="1">OFFSET(Anch,MATCH("Vokrugsveta.ru",resList,0),3,COUNTIF(resList,"Vokrugsveta.ru")-1,1)</definedName>
    <definedName name="budVokrug" localSheetId="1" hidden="1">OFFSET(Anch,MATCH("Vokrugsveta.ru",resList,0),3,COUNTIF(resList,"Vokrugsveta.ru")-1,1)</definedName>
    <definedName name="budVokrug" localSheetId="0" hidden="1">OFFSET(Anch,MATCH("Vokrugsveta.ru",resList,0),3,COUNTIF(resList,"Vokrugsveta.ru")-1,1)</definedName>
    <definedName name="budVokrug" localSheetId="6" hidden="1">OFFSET(Anch,MATCH("Vokrugsveta.ru",resList,0),3,COUNTIF(resList,"Vokrugsveta.ru")-1,1)</definedName>
    <definedName name="budVokrug" localSheetId="5" hidden="1">OFFSET(Anch,MATCH("Vokrugsveta.ru",resList,0),3,COUNTIF(resList,"Vokrugsveta.ru")-1,1)</definedName>
    <definedName name="budVokrug" localSheetId="7" hidden="1">OFFSET(Anch,MATCH("Vokrugsveta.ru",resList,0),3,COUNTIF(resList,"Vokrugsveta.ru")-1,1)</definedName>
    <definedName name="budVokrug" localSheetId="4" hidden="1">OFFSET(Anch,MATCH("Vokrugsveta.ru",resList,0),3,COUNTIF(resList,"Vokrugsveta.ru")-1,1)</definedName>
    <definedName name="budVokrug" hidden="1">OFFSET(Anch,MATCH("Vokrugsveta.ru",resList,0),3,COUNTIF(resList,"Vokrugsveta.ru")-1,1)</definedName>
    <definedName name="budVzglyad" localSheetId="3" hidden="1">OFFSET(Anch,MATCH("Vzglyad.ru",resList,0),3,COUNTIF(resList,"Vzglyad.ru")-1,1)</definedName>
    <definedName name="budVzglyad" localSheetId="2" hidden="1">OFFSET(Anch,MATCH("Vzglyad.ru",resList,0),3,COUNTIF(resList,"Vzglyad.ru")-1,1)</definedName>
    <definedName name="budVzglyad" localSheetId="1" hidden="1">OFFSET(Anch,MATCH("Vzglyad.ru",resList,0),3,COUNTIF(resList,"Vzglyad.ru")-1,1)</definedName>
    <definedName name="budVzglyad" localSheetId="0" hidden="1">OFFSET(Anch,MATCH("Vzglyad.ru",resList,0),3,COUNTIF(resList,"Vzglyad.ru")-1,1)</definedName>
    <definedName name="budVzglyad" localSheetId="6" hidden="1">OFFSET(Anch,MATCH("Vzglyad.ru",resList,0),3,COUNTIF(resList,"Vzglyad.ru")-1,1)</definedName>
    <definedName name="budVzglyad" localSheetId="5" hidden="1">OFFSET(Anch,MATCH("Vzglyad.ru",resList,0),3,COUNTIF(resList,"Vzglyad.ru")-1,1)</definedName>
    <definedName name="budVzglyad" localSheetId="7" hidden="1">OFFSET(Anch,MATCH("Vzglyad.ru",resList,0),3,COUNTIF(resList,"Vzglyad.ru")-1,1)</definedName>
    <definedName name="budVzglyad" localSheetId="4" hidden="1">OFFSET(Anch,MATCH("Vzglyad.ru",resList,0),3,COUNTIF(resList,"Vzglyad.ru")-1,1)</definedName>
    <definedName name="budVzglyad" hidden="1">OFFSET(Anch,MATCH("Vzglyad.ru",resList,0),3,COUNTIF(resList,"Vzglyad.ru")-1,1)</definedName>
    <definedName name="budYa" localSheetId="3" hidden="1">OFFSET(Anch,MATCH("Yandex.ru",resList,0),3,COUNTIF(resList,"Yandex.ru")-1,1)</definedName>
    <definedName name="budYa" localSheetId="2" hidden="1">OFFSET(Anch,MATCH("Yandex.ru",resList,0),3,COUNTIF(resList,"Yandex.ru")-1,1)</definedName>
    <definedName name="budYa" localSheetId="1" hidden="1">OFFSET(Anch,MATCH("Yandex.ru",resList,0),3,COUNTIF(resList,"Yandex.ru")-1,1)</definedName>
    <definedName name="budYa" localSheetId="0" hidden="1">OFFSET(Anch,MATCH("Yandex.ru",resList,0),3,COUNTIF(resList,"Yandex.ru")-1,1)</definedName>
    <definedName name="budYa" localSheetId="6" hidden="1">OFFSET(Anch,MATCH("Yandex.ru",resList,0),3,COUNTIF(resList,"Yandex.ru")-1,1)</definedName>
    <definedName name="budYa" localSheetId="5" hidden="1">OFFSET(Anch,MATCH("Yandex.ru",resList,0),3,COUNTIF(resList,"Yandex.ru")-1,1)</definedName>
    <definedName name="budYa" localSheetId="7" hidden="1">OFFSET(Anch,MATCH("Yandex.ru",resList,0),3,COUNTIF(resList,"Yandex.ru")-1,1)</definedName>
    <definedName name="budYa" localSheetId="4" hidden="1">OFFSET(Anch,MATCH("Yandex.ru",resList,0),3,COUNTIF(resList,"Yandex.ru")-1,1)</definedName>
    <definedName name="budYa" hidden="1">OFFSET(Anch,MATCH("Yandex.ru",resList,0),3,COUNTIF(resList,"Yandex.ru")-1,1)</definedName>
    <definedName name="ca" localSheetId="0">#REF!</definedName>
    <definedName name="ca" localSheetId="7">#REF!</definedName>
    <definedName name="ca">#REF!</definedName>
    <definedName name="cad" localSheetId="0" hidden="1">[10]XLR_NoRangeSheet!$B$5</definedName>
    <definedName name="cad" localSheetId="7" hidden="1">[10]XLR_NoRangeSheet!$B$5</definedName>
    <definedName name="cad" hidden="1">[10]XLR_NoRangeSheet!$B$5</definedName>
    <definedName name="CAL" localSheetId="0">#REF!</definedName>
    <definedName name="CAL">#REF!</definedName>
    <definedName name="calcola_indice" localSheetId="0">[11]GRP!#REF!</definedName>
    <definedName name="calcola_indice">[11]GRP!#REF!</definedName>
    <definedName name="calmedia" localSheetId="0">#REF!</definedName>
    <definedName name="calmedia">#REF!</definedName>
    <definedName name="calmedia2" localSheetId="0">#REF!</definedName>
    <definedName name="calmedia2">#REF!</definedName>
    <definedName name="calprod2" localSheetId="0">#REF!</definedName>
    <definedName name="calprod2">#REF!</definedName>
    <definedName name="CALPROD3" localSheetId="0">#REF!</definedName>
    <definedName name="CALPROD3">#REF!</definedName>
    <definedName name="Calproduit" localSheetId="0">#REF!</definedName>
    <definedName name="Calproduit">#REF!</definedName>
    <definedName name="canale5" localSheetId="0">#REF!,#REF!,#REF!,#REF!,#REF!,#REF!,#REF!,#REF!,#REF!,#REF!</definedName>
    <definedName name="canale5" localSheetId="7">#REF!,#REF!,#REF!,#REF!,#REF!,#REF!,#REF!,#REF!,#REF!,#REF!</definedName>
    <definedName name="canale5">#REF!,#REF!,#REF!,#REF!,#REF!,#REF!,#REF!,#REF!,#REF!,#REF!</definedName>
    <definedName name="canali" localSheetId="0">#REF!</definedName>
    <definedName name="canali">#REF!</definedName>
    <definedName name="cat" localSheetId="0">#REF!</definedName>
    <definedName name="cat">#REF!</definedName>
    <definedName name="cc" localSheetId="0">#REF!</definedName>
    <definedName name="cc">#REF!</definedName>
    <definedName name="Cēsu" localSheetId="1" hidden="1">{"'siets LAT'!$J$95","'siets LAT'!$J$95"}</definedName>
    <definedName name="Cēsu" localSheetId="0" hidden="1">{"'siets LAT'!$J$95","'siets LAT'!$J$95"}</definedName>
    <definedName name="Cēsu" localSheetId="7" hidden="1">{"'siets LAT'!$J$95","'siets LAT'!$J$95"}</definedName>
    <definedName name="Cēsu" hidden="1">{"'siets LAT'!$J$95","'siets LAT'!$J$95"}</definedName>
    <definedName name="Cha">#REF!</definedName>
    <definedName name="ci">'[12]PIANO GENERALE'!#REF!</definedName>
    <definedName name="clb" localSheetId="0">#REF!</definedName>
    <definedName name="clb">#REF!</definedName>
    <definedName name="CLP" localSheetId="0">#REF!</definedName>
    <definedName name="CLP">#REF!</definedName>
    <definedName name="CMERCE" localSheetId="0">#REF!</definedName>
    <definedName name="CMERCE">#REF!</definedName>
    <definedName name="CN" localSheetId="1" hidden="1">{#N/A,#N/A,TRUE,"Пресса";#N/A,#N/A,TRUE,"Метро";#N/A,#N/A,TRUE,"Щиты";#N/A,#N/A,TRUE,"График";#N/A,#N/A,TRUE,"График"}</definedName>
    <definedName name="CN" localSheetId="0" hidden="1">{#N/A,#N/A,TRUE,"Пресса";#N/A,#N/A,TRUE,"Метро";#N/A,#N/A,TRUE,"Щиты";#N/A,#N/A,TRUE,"График";#N/A,#N/A,TRUE,"График"}</definedName>
    <definedName name="CN" localSheetId="7" hidden="1">{#N/A,#N/A,TRUE,"Пресса";#N/A,#N/A,TRUE,"Метро";#N/A,#N/A,TRUE,"Щиты";#N/A,#N/A,TRUE,"График";#N/A,#N/A,TRUE,"График"}</definedName>
    <definedName name="CN" hidden="1">{#N/A,#N/A,TRUE,"Пресса";#N/A,#N/A,TRUE,"Метро";#N/A,#N/A,TRUE,"Щиты";#N/A,#N/A,TRUE,"График";#N/A,#N/A,TRUE,"График"}</definedName>
    <definedName name="coco">#REF!</definedName>
    <definedName name="coco_1" localSheetId="0">#REF!</definedName>
    <definedName name="coco_1">#REF!</definedName>
    <definedName name="coco_2" localSheetId="0">#REF!</definedName>
    <definedName name="coco_2">#REF!</definedName>
    <definedName name="coco_3" localSheetId="0">#REF!</definedName>
    <definedName name="coco_3">#REF!</definedName>
    <definedName name="COMPBL" localSheetId="0">#REF!</definedName>
    <definedName name="COMPBL">#REF!</definedName>
    <definedName name="COMPER" localSheetId="0">#REF!</definedName>
    <definedName name="COMPER">#REF!</definedName>
    <definedName name="COMPRS" localSheetId="0">#REF!</definedName>
    <definedName name="COMPRS">#REF!</definedName>
    <definedName name="COMQUO" localSheetId="0">#REF!</definedName>
    <definedName name="COMQUO">#REF!</definedName>
    <definedName name="cost" localSheetId="0">#REF!</definedName>
    <definedName name="cost">#REF!</definedName>
    <definedName name="CPP" localSheetId="0">#REF!</definedName>
    <definedName name="CPP">#REF!</definedName>
    <definedName name="CSMEZ" localSheetId="0">#REF!</definedName>
    <definedName name="CSMEZ">#REF!</definedName>
    <definedName name="d3Disc" localSheetId="7" hidden="1">'[6]3DNEWS.RU'!$E$48</definedName>
    <definedName name="d3Disc" hidden="1">'[6]3DNEWS.RU'!$E$48</definedName>
    <definedName name="d3DiscTotal" localSheetId="1" hidden="1">MAX((100%-splitDisc)*(100%-[0]!d3Disc)*(100%-agencyDisc)*(100%-[0]!discReach),[0]!maxd3)</definedName>
    <definedName name="d3DiscTotal" localSheetId="0" hidden="1">MAX((100%-Total!splitDisc)*(100%-[0]!d3Disc)*(100%-Total!agencyDisc)*(100%-[0]!discReach),[0]!maxd3)</definedName>
    <definedName name="d3DiscTotal" localSheetId="7" hidden="1">MAX((100%-splitDisc)*(100%-Поезда!d3Disc)*(100%-Поезда!agencyDisc)*(100%-[0]!discReach),Поезда!maxd3)</definedName>
    <definedName name="d3DiscTotal" hidden="1">MAX((100%-splitDisc)*(100%-[0]!d3Disc)*(100%-agencyDisc)*(100%-[0]!discReach),[0]!maxd3)</definedName>
    <definedName name="daimler" localSheetId="0">#REF!</definedName>
    <definedName name="daimler" localSheetId="7">#REF!</definedName>
    <definedName name="daimler">#REF!</definedName>
    <definedName name="Dandy_new" localSheetId="1" hidden="1">{"'siets LAT'!$J$95","'siets LAT'!$J$95"}</definedName>
    <definedName name="Dandy_new" localSheetId="0" hidden="1">{"'siets LAT'!$J$95","'siets LAT'!$J$95"}</definedName>
    <definedName name="Dandy_new" localSheetId="7" hidden="1">{"'siets LAT'!$J$95","'siets LAT'!$J$95"}</definedName>
    <definedName name="Dandy_new" hidden="1">{"'siets LAT'!$J$95","'siets LAT'!$J$95"}</definedName>
    <definedName name="Database">#REF!</definedName>
    <definedName name="dd">'[13]MP 2007'!#REF!</definedName>
    <definedName name="ddd" localSheetId="0">#REF!</definedName>
    <definedName name="ddd">#REF!</definedName>
    <definedName name="de">[14]Spee!$A$63</definedName>
    <definedName name="debby" localSheetId="0">#REF!</definedName>
    <definedName name="debby">#REF!</definedName>
    <definedName name="DEBORA" localSheetId="0">#REF!</definedName>
    <definedName name="DEBORA">#REF!</definedName>
    <definedName name="description" localSheetId="0">#REF!</definedName>
    <definedName name="description">#REF!</definedName>
    <definedName name="dez" localSheetId="0">#REF!</definedName>
    <definedName name="dez">#REF!</definedName>
    <definedName name="dfg" localSheetId="0" hidden="1">[10]XLR_NoRangeSheet!$A$5</definedName>
    <definedName name="dfg" localSheetId="7" hidden="1">[10]XLR_NoRangeSheet!$A$5</definedName>
    <definedName name="dfg" hidden="1">[10]XLR_NoRangeSheet!$A$5</definedName>
    <definedName name="dgdg" localSheetId="0" hidden="1">[10]XLR_NoRangeSheet!$A$5</definedName>
    <definedName name="dgdg" localSheetId="7" hidden="1">[10]XLR_NoRangeSheet!$A$5</definedName>
    <definedName name="dgdg" hidden="1">[10]XLR_NoRangeSheet!$A$5</definedName>
    <definedName name="discMax" localSheetId="7" hidden="1">'[6]##'!$Q$20:$Q$42</definedName>
    <definedName name="discMax" hidden="1">'[6]##'!$Q$20:$Q$42</definedName>
    <definedName name="discReach" hidden="1">#N/A</definedName>
    <definedName name="dolzina">#REF!</definedName>
    <definedName name="dolzina_1" localSheetId="0">#REF!</definedName>
    <definedName name="dolzina_1">#REF!</definedName>
    <definedName name="dqsqqs" localSheetId="0">#REF!</definedName>
    <definedName name="dqsqqs">#REF!</definedName>
    <definedName name="Druckbereich_MI" localSheetId="0">#REF!</definedName>
    <definedName name="Druckbereich_MI">#REF!</definedName>
    <definedName name="Drucktitel2" localSheetId="0">#REF!</definedName>
    <definedName name="Drucktitel2">#REF!</definedName>
    <definedName name="dsdasadsfsf" hidden="1">4</definedName>
    <definedName name="echoDisc" localSheetId="7" hidden="1">'[6]ECHO.MSK.RU'!$E$49</definedName>
    <definedName name="echoDisc" hidden="1">'[6]ECHO.MSK.RU'!$E$49</definedName>
    <definedName name="echoDiscTotal" localSheetId="1" hidden="1">MAX((100%-splitDisc)*(100%-[0]!echoDisc)*(100%-agencyDisc)*(100%-[0]!discReach),[0]!maxEcho)</definedName>
    <definedName name="echoDiscTotal" localSheetId="0" hidden="1">MAX((100%-Total!splitDisc)*(100%-[0]!echoDisc)*(100%-Total!agencyDisc)*(100%-[0]!discReach),[0]!maxEcho)</definedName>
    <definedName name="echoDiscTotal" localSheetId="7" hidden="1">MAX((100%-splitDisc)*(100%-Поезда!echoDisc)*(100%-Поезда!agencyDisc)*(100%-[0]!discReach),Поезда!maxEcho)</definedName>
    <definedName name="echoDiscTotal" hidden="1">MAX((100%-splitDisc)*(100%-[0]!echoDisc)*(100%-agencyDisc)*(100%-[0]!discReach),[0]!maxEcho)</definedName>
    <definedName name="EDITION" localSheetId="0">#REF!</definedName>
    <definedName name="EDITION" localSheetId="7">#REF!</definedName>
    <definedName name="EDITION">#REF!</definedName>
    <definedName name="eeeeeee" hidden="1">4</definedName>
    <definedName name="eeeeeeeeeee" hidden="1">27</definedName>
    <definedName name="eh" localSheetId="1" hidden="1">{#N/A,#N/A,TRUE,"Пресса";#N/A,#N/A,TRUE,"Метро";#N/A,#N/A,TRUE,"Щиты";#N/A,#N/A,TRUE,"График";#N/A,#N/A,TRUE,"График"}</definedName>
    <definedName name="eh" localSheetId="0" hidden="1">{#N/A,#N/A,TRUE,"Пресса";#N/A,#N/A,TRUE,"Метро";#N/A,#N/A,TRUE,"Щиты";#N/A,#N/A,TRUE,"График";#N/A,#N/A,TRUE,"График"}</definedName>
    <definedName name="eh" localSheetId="7" hidden="1">{#N/A,#N/A,TRUE,"Пресса";#N/A,#N/A,TRUE,"Метро";#N/A,#N/A,TRUE,"Щиты";#N/A,#N/A,TRUE,"График";#N/A,#N/A,TRUE,"График"}</definedName>
    <definedName name="eh" hidden="1">{#N/A,#N/A,TRUE,"Пресса";#N/A,#N/A,TRUE,"Метро";#N/A,#N/A,TRUE,"Щиты";#N/A,#N/A,TRUE,"График";#N/A,#N/A,TRUE,"График"}</definedName>
    <definedName name="ehars" localSheetId="1" hidden="1">{#N/A,#N/A,TRUE,"Пресса";#N/A,#N/A,TRUE,"Метро";#N/A,#N/A,TRUE,"Щиты";#N/A,#N/A,TRUE,"График";#N/A,#N/A,TRUE,"График"}</definedName>
    <definedName name="ehars" localSheetId="0" hidden="1">{#N/A,#N/A,TRUE,"Пресса";#N/A,#N/A,TRUE,"Метро";#N/A,#N/A,TRUE,"Щиты";#N/A,#N/A,TRUE,"График";#N/A,#N/A,TRUE,"График"}</definedName>
    <definedName name="ehars" localSheetId="7" hidden="1">{#N/A,#N/A,TRUE,"Пресса";#N/A,#N/A,TRUE,"Метро";#N/A,#N/A,TRUE,"Щиты";#N/A,#N/A,TRUE,"График";#N/A,#N/A,TRUE,"График"}</definedName>
    <definedName name="ehars" hidden="1">{#N/A,#N/A,TRUE,"Пресса";#N/A,#N/A,TRUE,"Метро";#N/A,#N/A,TRUE,"Щиты";#N/A,#N/A,TRUE,"График";#N/A,#N/A,TRUE,"График"}</definedName>
    <definedName name="ehfos" localSheetId="1" hidden="1">{#N/A,#N/A,TRUE,"Пресса";#N/A,#N/A,TRUE,"Метро";#N/A,#N/A,TRUE,"Щиты";#N/A,#N/A,TRUE,"График";#N/A,#N/A,TRUE,"График"}</definedName>
    <definedName name="ehfos" localSheetId="0" hidden="1">{#N/A,#N/A,TRUE,"Пресса";#N/A,#N/A,TRUE,"Метро";#N/A,#N/A,TRUE,"Щиты";#N/A,#N/A,TRUE,"График";#N/A,#N/A,TRUE,"График"}</definedName>
    <definedName name="ehfos" localSheetId="7" hidden="1">{#N/A,#N/A,TRUE,"Пресса";#N/A,#N/A,TRUE,"Метро";#N/A,#N/A,TRUE,"Щиты";#N/A,#N/A,TRUE,"График";#N/A,#N/A,TRUE,"График"}</definedName>
    <definedName name="ehfos" hidden="1">{#N/A,#N/A,TRUE,"Пресса";#N/A,#N/A,TRUE,"Метро";#N/A,#N/A,TRUE,"Щиты";#N/A,#N/A,TRUE,"График";#N/A,#N/A,TRUE,"График"}</definedName>
    <definedName name="eqwqeq">#REF!</definedName>
    <definedName name="Estimacion" localSheetId="0">#REF!</definedName>
    <definedName name="Estimacion">#REF!</definedName>
    <definedName name="Excel_BuiltIn__FilterDatabase_1" localSheetId="0">#REF!</definedName>
    <definedName name="Excel_BuiltIn__FilterDatabase_1">#REF!</definedName>
    <definedName name="Excel_BuiltIn__FilterDatabase_2" localSheetId="0">#REF!</definedName>
    <definedName name="Excel_BuiltIn__FilterDatabase_2">#REF!</definedName>
    <definedName name="Excel_BuiltIn__FilterDatabase_3" localSheetId="0">#REF!</definedName>
    <definedName name="Excel_BuiltIn__FilterDatabase_3">#REF!</definedName>
    <definedName name="Excel_BuiltIn_Criteria" localSheetId="0">[15]LODI!#REF!</definedName>
    <definedName name="Excel_BuiltIn_Criteria">[15]LODI!#REF!</definedName>
    <definedName name="Excel_BuiltIn_Extract" localSheetId="0">[15]LODI!#REF!</definedName>
    <definedName name="Excel_BuiltIn_Extract">[15]LODI!#REF!</definedName>
    <definedName name="expertDisc" localSheetId="7" hidden="1">[6]EXPERT.RU!$E$50</definedName>
    <definedName name="expertDisc" hidden="1">[6]EXPERT.RU!$E$50</definedName>
    <definedName name="expertDiscTotal" localSheetId="1" hidden="1">MAX((100%-splitDisc)*(100%-[0]!expertDisc)*(100%-agencyDisc)*(100%-[0]!discReach),[0]!maxExpert)</definedName>
    <definedName name="expertDiscTotal" localSheetId="0" hidden="1">MAX((100%-Total!splitDisc)*(100%-[0]!expertDisc)*(100%-Total!agencyDisc)*(100%-[0]!discReach),[0]!maxExpert)</definedName>
    <definedName name="expertDiscTotal" localSheetId="7" hidden="1">MAX((100%-splitDisc)*(100%-Поезда!expertDisc)*(100%-Поезда!agencyDisc)*(100%-[0]!discReach),Поезда!maxExpert)</definedName>
    <definedName name="expertDiscTotal" hidden="1">MAX((100%-splitDisc)*(100%-[0]!expertDisc)*(100%-agencyDisc)*(100%-[0]!discReach),[0]!maxExpert)</definedName>
    <definedName name="extraDelay" localSheetId="1" hidden="1">IF([0]!fixDelay,10%,0)</definedName>
    <definedName name="extraDelay" localSheetId="0" hidden="1">IF([0]!fixDelay,10%,0)</definedName>
    <definedName name="extraDelay" localSheetId="7" hidden="1">IF(Поезда!fixDelay,10%,0)</definedName>
    <definedName name="extraDelay" hidden="1">IF([0]!fixDelay,10%,0)</definedName>
    <definedName name="f" localSheetId="0">#REF!</definedName>
    <definedName name="f" localSheetId="7">#REF!</definedName>
    <definedName name="f">#REF!</definedName>
    <definedName name="FA" localSheetId="0">#REF!,#REF!,#REF!,#REF!,#REF!,#REF!,#REF!,#REF!,#REF!,#REF!,#REF!,#REF!,#REF!,#REF!,#REF!,#REF!,#REF!,#REF!,#REF!,#REF!,#REF!,#REF!,#REF!</definedName>
    <definedName name="FA" localSheetId="7">#REF!,#REF!,#REF!,#REF!,#REF!,#REF!,#REF!,#REF!,#REF!,#REF!,#REF!,#REF!,#REF!,#REF!,#REF!,#REF!,#REF!,#REF!,#REF!,#REF!,#REF!,#REF!,#REF!</definedName>
    <definedName name="FA">#REF!,#REF!,#REF!,#REF!,#REF!,#REF!,#REF!,#REF!,#REF!,#REF!,#REF!,#REF!,#REF!,#REF!,#REF!,#REF!,#REF!,#REF!,#REF!,#REF!,#REF!,#REF!,#REF!</definedName>
    <definedName name="FactsCount">1</definedName>
    <definedName name="FASCIA1" localSheetId="0">#REF!,#REF!,#REF!,#REF!,#REF!,#REF!,#REF!,#REF!,#REF!,#REF!,#REF!,#REF!,#REF!,#REF!,#REF!,#REF!,#REF!,#REF!,#REF!,#REF!,#REF!,#REF!,#REF!</definedName>
    <definedName name="FASCIA1" localSheetId="7">#REF!,#REF!,#REF!,#REF!,#REF!,#REF!,#REF!,#REF!,#REF!,#REF!,#REF!,#REF!,#REF!,#REF!,#REF!,#REF!,#REF!,#REF!,#REF!,#REF!,#REF!,#REF!,#REF!</definedName>
    <definedName name="FASCIA1">#REF!,#REF!,#REF!,#REF!,#REF!,#REF!,#REF!,#REF!,#REF!,#REF!,#REF!,#REF!,#REF!,#REF!,#REF!,#REF!,#REF!,#REF!,#REF!,#REF!,#REF!,#REF!,#REF!</definedName>
    <definedName name="FASCIAA" localSheetId="0">#REF!,#REF!,#REF!,#REF!,#REF!,#REF!,#REF!,#REF!,#REF!,#REF!,#REF!,#REF!,#REF!,#REF!,#REF!,#REF!,#REF!,#REF!,#REF!,#REF!,#REF!,#REF!,#REF!,#REF!</definedName>
    <definedName name="FASCIAA" localSheetId="7">#REF!,#REF!,#REF!,#REF!,#REF!,#REF!,#REF!,#REF!,#REF!,#REF!,#REF!,#REF!,#REF!,#REF!,#REF!,#REF!,#REF!,#REF!,#REF!,#REF!,#REF!,#REF!,#REF!,#REF!</definedName>
    <definedName name="FASCIAA">#REF!,#REF!,#REF!,#REF!,#REF!,#REF!,#REF!,#REF!,#REF!,#REF!,#REF!,#REF!,#REF!,#REF!,#REF!,#REF!,#REF!,#REF!,#REF!,#REF!,#REF!,#REF!,#REF!,#REF!</definedName>
    <definedName name="FB" localSheetId="0">#REF!</definedName>
    <definedName name="FB">#REF!</definedName>
    <definedName name="FD" localSheetId="0">#REF!</definedName>
    <definedName name="FD">#REF!</definedName>
    <definedName name="Feb" localSheetId="1" hidden="1">{#N/A,#N/A,TRUE,"Пресса";#N/A,#N/A,TRUE,"Метро";#N/A,#N/A,TRUE,"Щиты";#N/A,#N/A,TRUE,"График";#N/A,#N/A,TRUE,"График"}</definedName>
    <definedName name="Feb" localSheetId="0" hidden="1">{#N/A,#N/A,TRUE,"Пресса";#N/A,#N/A,TRUE,"Метро";#N/A,#N/A,TRUE,"Щиты";#N/A,#N/A,TRUE,"График";#N/A,#N/A,TRUE,"График"}</definedName>
    <definedName name="Feb" localSheetId="7" hidden="1">{#N/A,#N/A,TRUE,"Пресса";#N/A,#N/A,TRUE,"Метро";#N/A,#N/A,TRUE,"Щиты";#N/A,#N/A,TRUE,"График";#N/A,#N/A,TRUE,"График"}</definedName>
    <definedName name="Feb" hidden="1">{#N/A,#N/A,TRUE,"Пресса";#N/A,#N/A,TRUE,"Метро";#N/A,#N/A,TRUE,"Щиты";#N/A,#N/A,TRUE,"График";#N/A,#N/A,TRUE,"График"}</definedName>
    <definedName name="Fehl1">'[2]Data CpGRP'!$A$60</definedName>
    <definedName name="Fehl2">'[2]Data CpGRP'!$A$61</definedName>
    <definedName name="Fehl3">'[2]Data CpGRP'!$A$62</definedName>
    <definedName name="ffdffdf" hidden="1">27</definedName>
    <definedName name="fff">'[16]MP NEON 2008'!#REF!</definedName>
    <definedName name="fg" localSheetId="1" hidden="1">{#N/A,#N/A,TRUE,"Пресса";#N/A,#N/A,TRUE,"Метро";#N/A,#N/A,TRUE,"Щиты";#N/A,#N/A,TRUE,"График";#N/A,#N/A,TRUE,"График"}</definedName>
    <definedName name="fg" localSheetId="0" hidden="1">{#N/A,#N/A,TRUE,"Пресса";#N/A,#N/A,TRUE,"Метро";#N/A,#N/A,TRUE,"Щиты";#N/A,#N/A,TRUE,"График";#N/A,#N/A,TRUE,"График"}</definedName>
    <definedName name="fg" localSheetId="7" hidden="1">{#N/A,#N/A,TRUE,"Пресса";#N/A,#N/A,TRUE,"Метро";#N/A,#N/A,TRUE,"Щиты";#N/A,#N/A,TRUE,"График";#N/A,#N/A,TRUE,"График"}</definedName>
    <definedName name="fg" hidden="1">{#N/A,#N/A,TRUE,"Пресса";#N/A,#N/A,TRUE,"Метро";#N/A,#N/A,TRUE,"Щиты";#N/A,#N/A,TRUE,"График";#N/A,#N/A,TRUE,"График"}</definedName>
    <definedName name="fixAfisha" localSheetId="7" hidden="1">'[17]##'!$I$24</definedName>
    <definedName name="fixAfisha" hidden="1">'[17]##'!$I$24</definedName>
    <definedName name="fixAmedia" localSheetId="7" hidden="1">'[17]##'!$I$35</definedName>
    <definedName name="fixAmedia" hidden="1">'[17]##'!$I$35</definedName>
    <definedName name="fixAuto" localSheetId="7" hidden="1">'[17]##'!$I$29</definedName>
    <definedName name="fixAuto" hidden="1">'[17]##'!$I$29</definedName>
    <definedName name="fixAvto" localSheetId="7" hidden="1">'[17]##'!$I$30</definedName>
    <definedName name="fixAvto" hidden="1">'[17]##'!$I$30</definedName>
    <definedName name="fixd3" localSheetId="7" hidden="1">'[17]##'!$I$39</definedName>
    <definedName name="fixd3" hidden="1">'[17]##'!$I$39</definedName>
    <definedName name="fixDelay" localSheetId="7" hidden="1">'[6]##'!$F$6</definedName>
    <definedName name="fixDelay" hidden="1">'[6]##'!$F$6</definedName>
    <definedName name="fixEcho" localSheetId="7" hidden="1">'[17]##'!$I$33</definedName>
    <definedName name="fixEcho" hidden="1">'[17]##'!$I$33</definedName>
    <definedName name="fixExpert" localSheetId="7" hidden="1">'[17]##'!$I$26</definedName>
    <definedName name="fixExpert" hidden="1">'[17]##'!$I$26</definedName>
    <definedName name="fixFt" localSheetId="7" hidden="1">'[17]##'!$I$40</definedName>
    <definedName name="fixFt" hidden="1">'[17]##'!$I$40</definedName>
    <definedName name="fixGazeta" localSheetId="7" hidden="1">'[17]##'!$I$23</definedName>
    <definedName name="fixGazeta" hidden="1">'[17]##'!$I$23</definedName>
    <definedName name="fixIno" localSheetId="7" hidden="1">'[17]##'!$I$31</definedName>
    <definedName name="fixIno" hidden="1">'[17]##'!$I$31</definedName>
    <definedName name="fixKomm" localSheetId="7" hidden="1">'[17]##'!$I$27</definedName>
    <definedName name="fixKomm" hidden="1">'[17]##'!$I$27</definedName>
    <definedName name="fixLive" localSheetId="7" hidden="1">'[17]##'!$I$38</definedName>
    <definedName name="fixLive" hidden="1">'[17]##'!$I$38</definedName>
    <definedName name="fixMail" localSheetId="7" hidden="1">'[17]##'!$I$21</definedName>
    <definedName name="fixMail" hidden="1">'[17]##'!$I$21</definedName>
    <definedName name="fixMtv" localSheetId="7" hidden="1">'[17]##'!$I$37</definedName>
    <definedName name="fixMtv" hidden="1">'[17]##'!$I$37</definedName>
    <definedName name="fixN" localSheetId="7" hidden="1">'[6]##'!$I$43</definedName>
    <definedName name="fixN" hidden="1">'[6]##'!$I$43</definedName>
    <definedName name="fixNewsru" localSheetId="7" hidden="1">'[17]##'!$I$25</definedName>
    <definedName name="fixNewsru" hidden="1">'[17]##'!$I$25</definedName>
    <definedName name="fixo24" localSheetId="7" hidden="1">'[17]##'!$I$42</definedName>
    <definedName name="fixo24" hidden="1">'[17]##'!$I$42</definedName>
    <definedName name="fixPlan" localSheetId="7" hidden="1">'[6]##'!$H$3</definedName>
    <definedName name="fixPlan" hidden="1">'[6]##'!$H$3</definedName>
    <definedName name="fixReach" localSheetId="7" hidden="1">'[6]##'!$F$3</definedName>
    <definedName name="fixReach" hidden="1">'[6]##'!$F$3</definedName>
    <definedName name="fixRian" localSheetId="7" hidden="1">'[17]##'!$I$34</definedName>
    <definedName name="fixRian" hidden="1">'[17]##'!$I$34</definedName>
    <definedName name="fixSp" localSheetId="7" hidden="1">'[17]##'!$I$41</definedName>
    <definedName name="fixSp" hidden="1">'[17]##'!$I$41</definedName>
    <definedName name="fixStyle" localSheetId="7" hidden="1">'[17]##'!$I$32</definedName>
    <definedName name="fixStyle" hidden="1">'[17]##'!$I$32</definedName>
    <definedName name="fixSubscribe" localSheetId="7" hidden="1">'[17]##'!$I$28</definedName>
    <definedName name="fixSubscribe" hidden="1">'[17]##'!$I$28</definedName>
    <definedName name="fixVokrug" localSheetId="7" hidden="1">'[17]##'!$I$36</definedName>
    <definedName name="fixVokrug" hidden="1">'[17]##'!$I$36</definedName>
    <definedName name="fixVzglyad" localSheetId="7" hidden="1">'[17]##'!$I$22</definedName>
    <definedName name="fixVzglyad" hidden="1">'[17]##'!$I$22</definedName>
    <definedName name="fixYa" localSheetId="7" hidden="1">'[17]##'!$I$20</definedName>
    <definedName name="fixYa" hidden="1">'[17]##'!$I$20</definedName>
    <definedName name="fjk" localSheetId="1" hidden="1">{#N/A,#N/A,TRUE,"Пресса";#N/A,#N/A,TRUE,"Метро";#N/A,#N/A,TRUE,"Щиты";#N/A,#N/A,TRUE,"График";#N/A,#N/A,TRUE,"График"}</definedName>
    <definedName name="fjk" localSheetId="0" hidden="1">{#N/A,#N/A,TRUE,"Пресса";#N/A,#N/A,TRUE,"Метро";#N/A,#N/A,TRUE,"Щиты";#N/A,#N/A,TRUE,"График";#N/A,#N/A,TRUE,"График"}</definedName>
    <definedName name="fjk" localSheetId="7" hidden="1">{#N/A,#N/A,TRUE,"Пресса";#N/A,#N/A,TRUE,"Метро";#N/A,#N/A,TRUE,"Щиты";#N/A,#N/A,TRUE,"График";#N/A,#N/A,TRUE,"График"}</definedName>
    <definedName name="fjk" hidden="1">{#N/A,#N/A,TRUE,"Пресса";#N/A,#N/A,TRUE,"Метро";#N/A,#N/A,TRUE,"Щиты";#N/A,#N/A,TRUE,"График";#N/A,#N/A,TRUE,"График"}</definedName>
    <definedName name="fjkars" localSheetId="1" hidden="1">{#N/A,#N/A,TRUE,"Пресса";#N/A,#N/A,TRUE,"Метро";#N/A,#N/A,TRUE,"Щиты";#N/A,#N/A,TRUE,"График";#N/A,#N/A,TRUE,"График"}</definedName>
    <definedName name="fjkars" localSheetId="0" hidden="1">{#N/A,#N/A,TRUE,"Пресса";#N/A,#N/A,TRUE,"Метро";#N/A,#N/A,TRUE,"Щиты";#N/A,#N/A,TRUE,"График";#N/A,#N/A,TRUE,"График"}</definedName>
    <definedName name="fjkars" localSheetId="7" hidden="1">{#N/A,#N/A,TRUE,"Пресса";#N/A,#N/A,TRUE,"Метро";#N/A,#N/A,TRUE,"Щиты";#N/A,#N/A,TRUE,"График";#N/A,#N/A,TRUE,"График"}</definedName>
    <definedName name="fjkars" hidden="1">{#N/A,#N/A,TRUE,"Пресса";#N/A,#N/A,TRUE,"Метро";#N/A,#N/A,TRUE,"Щиты";#N/A,#N/A,TRUE,"График";#N/A,#N/A,TRUE,"График"}</definedName>
    <definedName name="fjkfos" localSheetId="1" hidden="1">{#N/A,#N/A,TRUE,"Пресса";#N/A,#N/A,TRUE,"Метро";#N/A,#N/A,TRUE,"Щиты";#N/A,#N/A,TRUE,"График";#N/A,#N/A,TRUE,"График"}</definedName>
    <definedName name="fjkfos" localSheetId="0" hidden="1">{#N/A,#N/A,TRUE,"Пресса";#N/A,#N/A,TRUE,"Метро";#N/A,#N/A,TRUE,"Щиты";#N/A,#N/A,TRUE,"График";#N/A,#N/A,TRUE,"График"}</definedName>
    <definedName name="fjkfos" localSheetId="7" hidden="1">{#N/A,#N/A,TRUE,"Пресса";#N/A,#N/A,TRUE,"Метро";#N/A,#N/A,TRUE,"Щиты";#N/A,#N/A,TRUE,"График";#N/A,#N/A,TRUE,"График"}</definedName>
    <definedName name="fjkfos" hidden="1">{#N/A,#N/A,TRUE,"Пресса";#N/A,#N/A,TRUE,"Метро";#N/A,#N/A,TRUE,"Щиты";#N/A,#N/A,TRUE,"График";#N/A,#N/A,TRUE,"График"}</definedName>
    <definedName name="Flowchart2" localSheetId="1" hidden="1">{#N/A,#N/A,TRUE,"Пресса";#N/A,#N/A,TRUE,"Метро";#N/A,#N/A,TRUE,"Щиты";#N/A,#N/A,TRUE,"График";#N/A,#N/A,TRUE,"График"}</definedName>
    <definedName name="Flowchart2" localSheetId="0" hidden="1">{#N/A,#N/A,TRUE,"Пресса";#N/A,#N/A,TRUE,"Метро";#N/A,#N/A,TRUE,"Щиты";#N/A,#N/A,TRUE,"График";#N/A,#N/A,TRUE,"График"}</definedName>
    <definedName name="Flowchart2" localSheetId="7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reiplindex">#REF!</definedName>
    <definedName name="ftDisc" localSheetId="7" hidden="1">[6]FASHIONTIME.RU!$E$46</definedName>
    <definedName name="ftDisc" hidden="1">[6]FASHIONTIME.RU!$E$46</definedName>
    <definedName name="ftDiscTotal" localSheetId="1" hidden="1">MAX((100%-splitDisc)*(100%-[0]!ftDisc)*(100%-agencyDisc)*(100%-[0]!discReach),[0]!maxFt)</definedName>
    <definedName name="ftDiscTotal" localSheetId="0" hidden="1">MAX((100%-Total!splitDisc)*(100%-[0]!ftDisc)*(100%-Total!agencyDisc)*(100%-[0]!discReach),[0]!maxFt)</definedName>
    <definedName name="ftDiscTotal" localSheetId="7" hidden="1">MAX((100%-splitDisc)*(100%-Поезда!ftDisc)*(100%-Поезда!agencyDisc)*(100%-[0]!discReach),Поезда!maxFt)</definedName>
    <definedName name="ftDiscTotal" hidden="1">MAX((100%-splitDisc)*(100%-[0]!ftDisc)*(100%-agencyDisc)*(100%-[0]!discReach),[0]!maxFt)</definedName>
    <definedName name="Full" localSheetId="0">#REF!</definedName>
    <definedName name="Full" localSheetId="7">#REF!</definedName>
    <definedName name="Full">#REF!</definedName>
    <definedName name="FX" localSheetId="0">#REF!</definedName>
    <definedName name="FX">#REF!</definedName>
    <definedName name="G_F0" hidden="1">[18]XLRpt_TempSheet!$B$6</definedName>
    <definedName name="gazetaDisc" localSheetId="7" hidden="1">[6]GAZETA.RU!$E$53</definedName>
    <definedName name="gazetaDisc" hidden="1">[6]GAZETA.RU!$E$53</definedName>
    <definedName name="gazetaDiscTotal" localSheetId="1" hidden="1">MAX((100%-splitDisc)*(100%-[0]!gazetaDisc)*(100%-agencyDisc)*(100%-[0]!discReach),[0]!maxGazeta)</definedName>
    <definedName name="gazetaDiscTotal" localSheetId="0" hidden="1">MAX((100%-Total!splitDisc)*(100%-[0]!gazetaDisc)*(100%-Total!agencyDisc)*(100%-[0]!discReach),[0]!maxGazeta)</definedName>
    <definedName name="gazetaDiscTotal" localSheetId="7" hidden="1">MAX((100%-splitDisc)*(100%-Поезда!gazetaDisc)*(100%-Поезда!agencyDisc)*(100%-[0]!discReach),Поезда!maxGazeta)</definedName>
    <definedName name="gazetaDiscTotal" hidden="1">MAX((100%-splitDisc)*(100%-[0]!gazetaDisc)*(100%-agencyDisc)*(100%-[0]!discReach),[0]!maxGazeta)</definedName>
    <definedName name="gflisa" localSheetId="0">#REF!</definedName>
    <definedName name="gflisa" localSheetId="7">#REF!</definedName>
    <definedName name="gflisa">#REF!</definedName>
    <definedName name="gg" localSheetId="0">#REF!</definedName>
    <definedName name="gg">#REF!</definedName>
    <definedName name="gh" localSheetId="0">#REF!</definedName>
    <definedName name="gh">#REF!</definedName>
    <definedName name="ghh" localSheetId="0" hidden="1">[10]XLR_NoRangeSheet!$B$5</definedName>
    <definedName name="ghh" localSheetId="7" hidden="1">[10]XLR_NoRangeSheet!$B$5</definedName>
    <definedName name="ghh" hidden="1">[10]XLR_NoRangeSheet!$B$5</definedName>
    <definedName name="ghjk" localSheetId="0">#REF!</definedName>
    <definedName name="ghjk">#REF!</definedName>
    <definedName name="ghvggg" localSheetId="0">#REF!</definedName>
    <definedName name="ghvggg">#REF!</definedName>
    <definedName name="ghvggg_1" localSheetId="0">#REF!</definedName>
    <definedName name="ghvggg_1">#REF!</definedName>
    <definedName name="ghvggg_2" localSheetId="0">#REF!</definedName>
    <definedName name="ghvggg_2">#REF!</definedName>
    <definedName name="gio" localSheetId="0">#REF!</definedName>
    <definedName name="gio">#REF!</definedName>
    <definedName name="gjhfg" hidden="1">[18]XLRpt_TempSheet!$B$6</definedName>
    <definedName name="gkfy" localSheetId="1" hidden="1">{#N/A,#N/A,TRUE,"Пресса";#N/A,#N/A,TRUE,"Метро";#N/A,#N/A,TRUE,"Щиты";#N/A,#N/A,TRUE,"График";#N/A,#N/A,TRUE,"График"}</definedName>
    <definedName name="gkfy" localSheetId="0" hidden="1">{#N/A,#N/A,TRUE,"Пресса";#N/A,#N/A,TRUE,"Метро";#N/A,#N/A,TRUE,"Щиты";#N/A,#N/A,TRUE,"График";#N/A,#N/A,TRUE,"График"}</definedName>
    <definedName name="gkfy" localSheetId="7" hidden="1">{#N/A,#N/A,TRUE,"Пресса";#N/A,#N/A,TRUE,"Метро";#N/A,#N/A,TRUE,"Щиты";#N/A,#N/A,TRUE,"График";#N/A,#N/A,TRUE,"График"}</definedName>
    <definedName name="gkfy" hidden="1">{#N/A,#N/A,TRUE,"Пресса";#N/A,#N/A,TRUE,"Метро";#N/A,#N/A,TRUE,"Щиты";#N/A,#N/A,TRUE,"График";#N/A,#N/A,TRUE,"График"}</definedName>
    <definedName name="gwer">#REF!</definedName>
    <definedName name="haa" localSheetId="0">#REF!</definedName>
    <definedName name="haa">#REF!</definedName>
    <definedName name="HeaderCols">2</definedName>
    <definedName name="HeaderRows">3</definedName>
    <definedName name="hen" localSheetId="1" hidden="1">{#N/A,#N/A,TRUE,"Пресса";#N/A,#N/A,TRUE,"Метро";#N/A,#N/A,TRUE,"Щиты";#N/A,#N/A,TRUE,"График";#N/A,#N/A,TRUE,"График"}</definedName>
    <definedName name="hen" localSheetId="0" hidden="1">{#N/A,#N/A,TRUE,"Пресса";#N/A,#N/A,TRUE,"Метро";#N/A,#N/A,TRUE,"Щиты";#N/A,#N/A,TRUE,"График";#N/A,#N/A,TRUE,"График"}</definedName>
    <definedName name="hen" localSheetId="7" hidden="1">{#N/A,#N/A,TRUE,"Пресса";#N/A,#N/A,TRUE,"Метро";#N/A,#N/A,TRUE,"Щиты";#N/A,#N/A,TRUE,"График";#N/A,#N/A,TRUE,"График"}</definedName>
    <definedName name="hen" hidden="1">{#N/A,#N/A,TRUE,"Пресса";#N/A,#N/A,TRUE,"Метро";#N/A,#N/A,TRUE,"Щиты";#N/A,#N/A,TRUE,"График";#N/A,#N/A,TRUE,"График"}</definedName>
    <definedName name="henars" localSheetId="1" hidden="1">{#N/A,#N/A,TRUE,"Пресса";#N/A,#N/A,TRUE,"Метро";#N/A,#N/A,TRUE,"Щиты";#N/A,#N/A,TRUE,"График";#N/A,#N/A,TRUE,"График"}</definedName>
    <definedName name="henars" localSheetId="0" hidden="1">{#N/A,#N/A,TRUE,"Пресса";#N/A,#N/A,TRUE,"Метро";#N/A,#N/A,TRUE,"Щиты";#N/A,#N/A,TRUE,"График";#N/A,#N/A,TRUE,"График"}</definedName>
    <definedName name="henars" localSheetId="7" hidden="1">{#N/A,#N/A,TRUE,"Пресса";#N/A,#N/A,TRUE,"Метро";#N/A,#N/A,TRUE,"Щиты";#N/A,#N/A,TRUE,"График";#N/A,#N/A,TRUE,"График"}</definedName>
    <definedName name="henars" hidden="1">{#N/A,#N/A,TRUE,"Пресса";#N/A,#N/A,TRUE,"Метро";#N/A,#N/A,TRUE,"Щиты";#N/A,#N/A,TRUE,"График";#N/A,#N/A,TRUE,"График"}</definedName>
    <definedName name="henfos" localSheetId="1" hidden="1">{#N/A,#N/A,TRUE,"Пресса";#N/A,#N/A,TRUE,"Метро";#N/A,#N/A,TRUE,"Щиты";#N/A,#N/A,TRUE,"График";#N/A,#N/A,TRUE,"График"}</definedName>
    <definedName name="henfos" localSheetId="0" hidden="1">{#N/A,#N/A,TRUE,"Пресса";#N/A,#N/A,TRUE,"Метро";#N/A,#N/A,TRUE,"Щиты";#N/A,#N/A,TRUE,"График";#N/A,#N/A,TRUE,"График"}</definedName>
    <definedName name="henfos" localSheetId="7" hidden="1">{#N/A,#N/A,TRUE,"Пресса";#N/A,#N/A,TRUE,"Метро";#N/A,#N/A,TRUE,"Щиты";#N/A,#N/A,TRUE,"График";#N/A,#N/A,TRUE,"График"}</definedName>
    <definedName name="henfos" hidden="1">{#N/A,#N/A,TRUE,"Пресса";#N/A,#N/A,TRUE,"Метро";#N/A,#N/A,TRUE,"Щиты";#N/A,#N/A,TRUE,"График";#N/A,#N/A,TRUE,"График"}</definedName>
    <definedName name="hgth">#REF!</definedName>
    <definedName name="hhhhhhh" localSheetId="0">#REF!</definedName>
    <definedName name="hhhhhhh">#REF!</definedName>
    <definedName name="HQLogo_1" localSheetId="0">#REF!</definedName>
    <definedName name="HQLogo_1">#REF!</definedName>
    <definedName name="HTML_CodePage" hidden="1">1257</definedName>
    <definedName name="HTML_Control" localSheetId="1" hidden="1">{"'siets LAT'!$J$95","'siets LAT'!$J$95"}</definedName>
    <definedName name="HTML_Control" localSheetId="0" hidden="1">{"'siets LAT'!$J$95","'siets LAT'!$J$95"}</definedName>
    <definedName name="HTML_Control" localSheetId="7" hidden="1">{"'siets LAT'!$J$95","'siets LAT'!$J$95"}</definedName>
    <definedName name="HTML_Control" hidden="1">{"'siets LAT'!$J$95","'siets LAT'!$J$95"}</definedName>
    <definedName name="HTML_Description" hidden="1">""</definedName>
    <definedName name="HTML_Email" hidden="1">""</definedName>
    <definedName name="HTML_Header" hidden="1">"siets LAT"</definedName>
    <definedName name="HTML_LastUpdate" hidden="1">"98.04.24."</definedName>
    <definedName name="HTML_LineAfter" hidden="1">FALSE</definedName>
    <definedName name="HTML_LineBefore" hidden="1">FALSE</definedName>
    <definedName name="HTML_Name" hidden="1">"Guru"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"5 CENU LISTES 1998A"</definedName>
    <definedName name="IL" localSheetId="0">#REF!,#REF!,#REF!,#REF!,#REF!,#REF!,#REF!,#REF!,#REF!,#REF!,#REF!,#REF!,#REF!</definedName>
    <definedName name="IL" localSheetId="7">#REF!,#REF!,#REF!,#REF!,#REF!,#REF!,#REF!,#REF!,#REF!,#REF!,#REF!,#REF!,#REF!</definedName>
    <definedName name="IL">#REF!,#REF!,#REF!,#REF!,#REF!,#REF!,#REF!,#REF!,#REF!,#REF!,#REF!,#REF!,#REF!</definedName>
    <definedName name="import" localSheetId="0">#REF!</definedName>
    <definedName name="import">#REF!</definedName>
    <definedName name="Indoor" localSheetId="0">#REF!</definedName>
    <definedName name="Indoor">#REF!</definedName>
    <definedName name="inoDisc" localSheetId="7" hidden="1">[6]INOPRESSA.RU!$E$49</definedName>
    <definedName name="inoDisc" hidden="1">[6]INOPRESSA.RU!$E$49</definedName>
    <definedName name="inoDiscTotal" localSheetId="1" hidden="1">MAX((100%-splitDisc)*(100%-[0]!inoDisc)*(100%-agencyDisc)*(100%-[0]!discReach),[0]!maxIno)</definedName>
    <definedName name="inoDiscTotal" localSheetId="0" hidden="1">MAX((100%-Total!splitDisc)*(100%-[0]!inoDisc)*(100%-Total!agencyDisc)*(100%-[0]!discReach),[0]!maxIno)</definedName>
    <definedName name="inoDiscTotal" localSheetId="7" hidden="1">MAX((100%-splitDisc)*(100%-Поезда!inoDisc)*(100%-Поезда!agencyDisc)*(100%-[0]!discReach),Поезда!maxIno)</definedName>
    <definedName name="inoDiscTotal" hidden="1">MAX((100%-splitDisc)*(100%-[0]!inoDisc)*(100%-agencyDisc)*(100%-[0]!discReach),[0]!maxIno)</definedName>
    <definedName name="Internet" localSheetId="0">#REF!</definedName>
    <definedName name="Internet" localSheetId="7">#REF!</definedName>
    <definedName name="Internet">#REF!</definedName>
    <definedName name="io" localSheetId="1" hidden="1">{#N/A,#N/A,TRUE,"Пресса";#N/A,#N/A,TRUE,"Метро";#N/A,#N/A,TRUE,"Щиты";#N/A,#N/A,TRUE,"График";#N/A,#N/A,TRUE,"График"}</definedName>
    <definedName name="io" localSheetId="0" hidden="1">{#N/A,#N/A,TRUE,"Пресса";#N/A,#N/A,TRUE,"Метро";#N/A,#N/A,TRUE,"Щиты";#N/A,#N/A,TRUE,"График";#N/A,#N/A,TRUE,"График"}</definedName>
    <definedName name="io" localSheetId="7" hidden="1">{#N/A,#N/A,TRUE,"Пресса";#N/A,#N/A,TRUE,"Метро";#N/A,#N/A,TRUE,"Щиты";#N/A,#N/A,TRUE,"График";#N/A,#N/A,TRUE,"График"}</definedName>
    <definedName name="io" hidden="1">{#N/A,#N/A,TRUE,"Пресса";#N/A,#N/A,TRUE,"Метро";#N/A,#N/A,TRUE,"Щиты";#N/A,#N/A,TRUE,"График";#N/A,#N/A,TRUE,"График"}</definedName>
    <definedName name="ir">#REF!</definedName>
    <definedName name="italia1" localSheetId="0">#REF!,#REF!,#REF!,#REF!,#REF!,#REF!,#REF!,#REF!,#REF!,#REF!,#REF!,#REF!,#REF!</definedName>
    <definedName name="italia1" localSheetId="7">#REF!,#REF!,#REF!,#REF!,#REF!,#REF!,#REF!,#REF!,#REF!,#REF!,#REF!,#REF!,#REF!</definedName>
    <definedName name="italia1">#REF!,#REF!,#REF!,#REF!,#REF!,#REF!,#REF!,#REF!,#REF!,#REF!,#REF!,#REF!,#REF!</definedName>
    <definedName name="ITCCBDG" localSheetId="0">#REF!</definedName>
    <definedName name="ITCCBDG">#REF!</definedName>
    <definedName name="ITCCCOM" localSheetId="0">#REF!</definedName>
    <definedName name="ITCCCOM">#REF!</definedName>
    <definedName name="ITCCLIST" localSheetId="0">#REF!</definedName>
    <definedName name="ITCCLIST">#REF!</definedName>
    <definedName name="j" localSheetId="0">'[19]MP NEON 2007'!#REF!</definedName>
    <definedName name="j">'[19]MP NEON 2007'!#REF!</definedName>
    <definedName name="jan" localSheetId="0">#REF!</definedName>
    <definedName name="jan">#REF!</definedName>
    <definedName name="jhgjgg" localSheetId="1" hidden="1">{#N/A,#N/A,TRUE,"Пресса";#N/A,#N/A,TRUE,"Метро";#N/A,#N/A,TRUE,"Щиты";#N/A,#N/A,TRUE,"График";#N/A,#N/A,TRUE,"График"}</definedName>
    <definedName name="jhgjgg" localSheetId="0" hidden="1">{#N/A,#N/A,TRUE,"Пресса";#N/A,#N/A,TRUE,"Метро";#N/A,#N/A,TRUE,"Щиты";#N/A,#N/A,TRUE,"График";#N/A,#N/A,TRUE,"График"}</definedName>
    <definedName name="jhgjgg" localSheetId="7" hidden="1">{#N/A,#N/A,TRUE,"Пресса";#N/A,#N/A,TRUE,"Метро";#N/A,#N/A,TRUE,"Щиты";#N/A,#N/A,TRUE,"График";#N/A,#N/A,TRUE,"График"}</definedName>
    <definedName name="jhgjgg" hidden="1">{#N/A,#N/A,TRUE,"Пресса";#N/A,#N/A,TRUE,"Метро";#N/A,#N/A,TRUE,"Щиты";#N/A,#N/A,TRUE,"График";#N/A,#N/A,TRUE,"График"}</definedName>
    <definedName name="jul">#REF!</definedName>
    <definedName name="jun" localSheetId="0">#REF!</definedName>
    <definedName name="jun">#REF!</definedName>
    <definedName name="k" localSheetId="0">[15]LODI!#REF!</definedName>
    <definedName name="k">[15]LODI!#REF!</definedName>
    <definedName name="katja" localSheetId="0">'[2]Data CpGRP'!#REF!</definedName>
    <definedName name="katja">'[2]Data CpGRP'!#REF!</definedName>
    <definedName name="Kino" localSheetId="0">#REF!</definedName>
    <definedName name="Kino">#REF!</definedName>
    <definedName name="km" localSheetId="0">#REF!</definedName>
    <definedName name="km">#REF!</definedName>
    <definedName name="kommDisc" localSheetId="7" hidden="1">[6]KOMMERSANT.RU!$E$44</definedName>
    <definedName name="kommDisc" hidden="1">[6]KOMMERSANT.RU!$E$44</definedName>
    <definedName name="kommDiscTotal" localSheetId="1" hidden="1">MAX((100%-splitDisc)*(100%-[0]!kommDisc)*(100%-agencyDisc)*(100%-[0]!discReach),[0]!maxKomm)</definedName>
    <definedName name="kommDiscTotal" localSheetId="0" hidden="1">MAX((100%-Total!splitDisc)*(100%-[0]!kommDisc)*(100%-Total!agencyDisc)*(100%-[0]!discReach),[0]!maxKomm)</definedName>
    <definedName name="kommDiscTotal" localSheetId="7" hidden="1">MAX((100%-splitDisc)*(100%-Поезда!kommDisc)*(100%-Поезда!agencyDisc)*(100%-[0]!discReach),Поезда!maxKomm)</definedName>
    <definedName name="kommDiscTotal" hidden="1">MAX((100%-splitDisc)*(100%-[0]!kommDisc)*(100%-agencyDisc)*(100%-[0]!discReach),[0]!maxKomm)</definedName>
    <definedName name="KOSIA" localSheetId="1" hidden="1">{"'siets LAT'!$J$95","'siets LAT'!$J$95"}</definedName>
    <definedName name="KOSIA" localSheetId="0" hidden="1">{"'siets LAT'!$J$95","'siets LAT'!$J$95"}</definedName>
    <definedName name="KOSIA" localSheetId="7" hidden="1">{"'siets LAT'!$J$95","'siets LAT'!$J$95"}</definedName>
    <definedName name="KOSIA" hidden="1">{"'siets LAT'!$J$95","'siets LAT'!$J$95"}</definedName>
    <definedName name="KostProz_1">'[2]Data Sender-ZS'!$C$15,'[2]Data Sender-ZS'!$C$29,'[2]Data Sender-ZS'!$C$43,'[2]Data Sender-ZS'!$C$57,'[2]Data Sender-ZS'!$C$71,'[2]Data Sender-ZS'!$C$99,'[2]Data Sender-ZS'!$C$113,'[2]Data Sender-ZS'!$C$85</definedName>
    <definedName name="KostProz_10">'[2]Data Sender-ZS'!$L$15,'[2]Data Sender-ZS'!$L$29,'[2]Data Sender-ZS'!$L$43,'[2]Data Sender-ZS'!$L$57,'[2]Data Sender-ZS'!$L$71,'[2]Data Sender-ZS'!$L$85,'[2]Data Sender-ZS'!$L$99,'[2]Data Sender-ZS'!$L$113</definedName>
    <definedName name="KostProz_11">'[2]Data Sender-ZS'!$M$15,'[2]Data Sender-ZS'!$M$29,'[2]Data Sender-ZS'!$M$43,'[2]Data Sender-ZS'!$M$57,'[2]Data Sender-ZS'!$M$71,'[2]Data Sender-ZS'!$M$85,'[2]Data Sender-ZS'!$M$99,'[2]Data Sender-ZS'!$M$113</definedName>
    <definedName name="KostProz_12">'[2]Data Sender-ZS'!$N$15,'[2]Data Sender-ZS'!$N$29,'[2]Data Sender-ZS'!$N$43,'[2]Data Sender-ZS'!$N$57,'[2]Data Sender-ZS'!$N$71,'[2]Data Sender-ZS'!$N$85,'[2]Data Sender-ZS'!$N$99,'[2]Data Sender-ZS'!$N$113</definedName>
    <definedName name="KostProz_2">'[2]Data Sender-ZS'!$D$15,'[2]Data Sender-ZS'!$D$29,'[2]Data Sender-ZS'!$D$43,'[2]Data Sender-ZS'!$D$57,'[2]Data Sender-ZS'!$D$71,'[2]Data Sender-ZS'!$D$85,'[2]Data Sender-ZS'!$D$99,'[2]Data Sender-ZS'!$D$113</definedName>
    <definedName name="KostProz_3">'[2]Data Sender-ZS'!$E$15,'[2]Data Sender-ZS'!$E$29,'[2]Data Sender-ZS'!$E$43,'[2]Data Sender-ZS'!$E$57,'[2]Data Sender-ZS'!$E$71,'[2]Data Sender-ZS'!$E$85,'[2]Data Sender-ZS'!$E$99,'[2]Data Sender-ZS'!$E$113</definedName>
    <definedName name="KostProz_4">'[2]Data Sender-ZS'!$F$15,'[2]Data Sender-ZS'!$F$29,'[2]Data Sender-ZS'!$F$43,'[2]Data Sender-ZS'!$F$57,'[2]Data Sender-ZS'!$F$71,'[2]Data Sender-ZS'!$F$85,'[2]Data Sender-ZS'!$F$99,'[2]Data Sender-ZS'!$F$113</definedName>
    <definedName name="KostProz_5">'[2]Data Sender-ZS'!$G$15,'[2]Data Sender-ZS'!$G$29,'[2]Data Sender-ZS'!$G$43,'[2]Data Sender-ZS'!$G$57,'[2]Data Sender-ZS'!$G$71,'[2]Data Sender-ZS'!$G$85,'[2]Data Sender-ZS'!$G$99,'[2]Data Sender-ZS'!$G$113</definedName>
    <definedName name="KostProz_6">'[2]Data Sender-ZS'!$H$15,'[2]Data Sender-ZS'!$H$29,'[2]Data Sender-ZS'!$H$43,'[2]Data Sender-ZS'!$H$57,'[2]Data Sender-ZS'!$H$71,'[2]Data Sender-ZS'!$H$85,'[2]Data Sender-ZS'!$H$99,'[2]Data Sender-ZS'!$H$113</definedName>
    <definedName name="KostProz_7">'[2]Data Sender-ZS'!$I$15,'[2]Data Sender-ZS'!$I$29,'[2]Data Sender-ZS'!$I$43,'[2]Data Sender-ZS'!$I$57,'[2]Data Sender-ZS'!$I$71,'[2]Data Sender-ZS'!$I$85,'[2]Data Sender-ZS'!$I$99,'[2]Data Sender-ZS'!$I$113</definedName>
    <definedName name="KostProz_8">'[2]Data Sender-ZS'!$J$15,'[2]Data Sender-ZS'!$J$29,'[2]Data Sender-ZS'!$J$43,'[2]Data Sender-ZS'!$J$57,'[2]Data Sender-ZS'!$J$71,'[2]Data Sender-ZS'!$J$85,'[2]Data Sender-ZS'!$J$99,'[2]Data Sender-ZS'!$J$113</definedName>
    <definedName name="KostProz_9">'[2]Data Sender-ZS'!$K$15,'[2]Data Sender-ZS'!$K$29,'[2]Data Sender-ZS'!$K$43,'[2]Data Sender-ZS'!$K$57,'[2]Data Sender-ZS'!$K$71,'[2]Data Sender-ZS'!$K$85,'[2]Data Sender-ZS'!$K$99,'[2]Data Sender-ZS'!$K$113</definedName>
    <definedName name="Kunde">'[2]Data CpGRP'!$B$2</definedName>
    <definedName name="LCV">[1]Vehicles!$B$63:$O$71</definedName>
    <definedName name="Lieferant" localSheetId="0">#REF!</definedName>
    <definedName name="Lieferant">#REF!</definedName>
    <definedName name="linkedAfisha" localSheetId="7" hidden="1">'[6]##'!$C$24</definedName>
    <definedName name="linkedAfisha" hidden="1">'[6]##'!$C$24</definedName>
    <definedName name="linkedAll" localSheetId="7" hidden="1">'[6]##'!$C$20:$C$42</definedName>
    <definedName name="linkedAll" hidden="1">'[6]##'!$C$20:$C$42</definedName>
    <definedName name="linkedAmedia" localSheetId="7" hidden="1">'[6]##'!$C$35</definedName>
    <definedName name="linkedAmedia" hidden="1">'[6]##'!$C$35</definedName>
    <definedName name="linkedAuto" localSheetId="7" hidden="1">'[6]##'!$C$29</definedName>
    <definedName name="linkedAuto" hidden="1">'[6]##'!$C$29</definedName>
    <definedName name="linkedAvto" localSheetId="7" hidden="1">'[6]##'!$C$30</definedName>
    <definedName name="linkedAvto" hidden="1">'[6]##'!$C$30</definedName>
    <definedName name="linkedd3" localSheetId="7" hidden="1">'[6]##'!$C$39</definedName>
    <definedName name="linkedd3" hidden="1">'[6]##'!$C$39</definedName>
    <definedName name="linkedEcho" localSheetId="7" hidden="1">'[6]##'!$C$33</definedName>
    <definedName name="linkedEcho" hidden="1">'[6]##'!$C$33</definedName>
    <definedName name="linkedExpert" localSheetId="7" hidden="1">'[6]##'!$C$26</definedName>
    <definedName name="linkedExpert" hidden="1">'[6]##'!$C$26</definedName>
    <definedName name="linkedFt" localSheetId="7" hidden="1">'[6]##'!$C$40</definedName>
    <definedName name="linkedFt" hidden="1">'[6]##'!$C$40</definedName>
    <definedName name="linkedGazeta" localSheetId="7" hidden="1">'[6]##'!$C$23</definedName>
    <definedName name="linkedGazeta" hidden="1">'[6]##'!$C$23</definedName>
    <definedName name="linkedIno" localSheetId="7" hidden="1">'[6]##'!$C$31</definedName>
    <definedName name="linkedIno" hidden="1">'[6]##'!$C$31</definedName>
    <definedName name="linkedKomm" localSheetId="7" hidden="1">'[6]##'!$C$27</definedName>
    <definedName name="linkedKomm" hidden="1">'[6]##'!$C$27</definedName>
    <definedName name="linkedLive" localSheetId="7" hidden="1">'[6]##'!$C$38</definedName>
    <definedName name="linkedLive" hidden="1">'[6]##'!$C$38</definedName>
    <definedName name="linkedMail" localSheetId="7" hidden="1">'[6]##'!$C$21</definedName>
    <definedName name="linkedMail" hidden="1">'[6]##'!$C$21</definedName>
    <definedName name="linkedMtv" localSheetId="7" hidden="1">'[6]##'!$C$37</definedName>
    <definedName name="linkedMtv" hidden="1">'[6]##'!$C$37</definedName>
    <definedName name="linkedNewsru" localSheetId="7" hidden="1">'[6]##'!$C$25</definedName>
    <definedName name="linkedNewsru" hidden="1">'[6]##'!$C$25</definedName>
    <definedName name="linkedo24" localSheetId="7" hidden="1">'[6]##'!$C$42</definedName>
    <definedName name="linkedo24" hidden="1">'[6]##'!$C$42</definedName>
    <definedName name="linkedRian" localSheetId="7" hidden="1">'[6]##'!$C$34</definedName>
    <definedName name="linkedRian" hidden="1">'[6]##'!$C$34</definedName>
    <definedName name="linkedSp" localSheetId="7" hidden="1">'[6]##'!$C$41</definedName>
    <definedName name="linkedSp" hidden="1">'[6]##'!$C$41</definedName>
    <definedName name="linkedStyle" localSheetId="7" hidden="1">'[6]##'!$C$32</definedName>
    <definedName name="linkedStyle" hidden="1">'[6]##'!$C$32</definedName>
    <definedName name="linkedSubscribe" localSheetId="7" hidden="1">'[6]##'!$C$28</definedName>
    <definedName name="linkedSubscribe" hidden="1">'[6]##'!$C$28</definedName>
    <definedName name="linkedVokrug" localSheetId="7" hidden="1">'[6]##'!$C$36</definedName>
    <definedName name="linkedVokrug" hidden="1">'[6]##'!$C$36</definedName>
    <definedName name="linkedVzglyad" localSheetId="7" hidden="1">'[6]##'!$C$22</definedName>
    <definedName name="linkedVzglyad" hidden="1">'[6]##'!$C$22</definedName>
    <definedName name="linkedYa" localSheetId="7" hidden="1">'[6]##'!$C$20</definedName>
    <definedName name="linkedYa" hidden="1">'[6]##'!$C$20</definedName>
    <definedName name="lisa" localSheetId="0">#REF!</definedName>
    <definedName name="lisa">#REF!</definedName>
    <definedName name="lisquo" localSheetId="0">#REF!</definedName>
    <definedName name="lisquo">#REF!</definedName>
    <definedName name="LISTMTV" localSheetId="0">#REF!</definedName>
    <definedName name="LISTMTV">#REF!</definedName>
    <definedName name="LISTPBL" localSheetId="0">#REF!</definedName>
    <definedName name="LISTPBL">#REF!</definedName>
    <definedName name="LISTPER" localSheetId="0">#REF!</definedName>
    <definedName name="LISTPER">#REF!</definedName>
    <definedName name="LISTPRS" localSheetId="0">#REF!</definedName>
    <definedName name="LISTPRS">#REF!</definedName>
    <definedName name="LISTQUO" localSheetId="0">#REF!</definedName>
    <definedName name="LISTQUO">#REF!</definedName>
    <definedName name="LISTTMC" localSheetId="0">#REF!</definedName>
    <definedName name="LISTTMC">#REF!</definedName>
    <definedName name="liveDisc" localSheetId="7" hidden="1">[6]LIVEINTERNET.RU!$E$55</definedName>
    <definedName name="liveDisc" hidden="1">[6]LIVEINTERNET.RU!$E$55</definedName>
    <definedName name="liveDiscTotal" localSheetId="1" hidden="1">MAX((100%-splitDisc)*(100%-[0]!liveDisc)*(100%-agencyDisc)*(100%-[0]!discReach),[0]!maxLive)</definedName>
    <definedName name="liveDiscTotal" localSheetId="0" hidden="1">MAX((100%-Total!splitDisc)*(100%-[0]!liveDisc)*(100%-Total!agencyDisc)*(100%-[0]!discReach),[0]!maxLive)</definedName>
    <definedName name="liveDiscTotal" localSheetId="7" hidden="1">MAX((100%-splitDisc)*(100%-Поезда!liveDisc)*(100%-Поезда!agencyDisc)*(100%-[0]!discReach),Поезда!maxLive)</definedName>
    <definedName name="liveDiscTotal" hidden="1">MAX((100%-splitDisc)*(100%-[0]!liveDisc)*(100%-agencyDisc)*(100%-[0]!discReach),[0]!maxLive)</definedName>
    <definedName name="lm" localSheetId="0">#REF!</definedName>
    <definedName name="lm" localSheetId="7">#REF!</definedName>
    <definedName name="lm">#REF!</definedName>
    <definedName name="LTV_6MONTHNEW" localSheetId="1" hidden="1">{"'siets LAT'!$J$95","'siets LAT'!$J$95"}</definedName>
    <definedName name="LTV_6MONTHNEW" localSheetId="0" hidden="1">{"'siets LAT'!$J$95","'siets LAT'!$J$95"}</definedName>
    <definedName name="LTV_6MONTHNEW" localSheetId="7" hidden="1">{"'siets LAT'!$J$95","'siets LAT'!$J$95"}</definedName>
    <definedName name="LTV_6MONTHNEW" hidden="1">{"'siets LAT'!$J$95","'siets LAT'!$J$95"}</definedName>
    <definedName name="m_plan" localSheetId="1" hidden="1">{#N/A,#N/A,TRUE,"Пресса";#N/A,#N/A,TRUE,"Метро";#N/A,#N/A,TRUE,"Щиты";#N/A,#N/A,TRUE,"График";#N/A,#N/A,TRUE,"График"}</definedName>
    <definedName name="m_plan" localSheetId="0" hidden="1">{#N/A,#N/A,TRUE,"Пресса";#N/A,#N/A,TRUE,"Метро";#N/A,#N/A,TRUE,"Щиты";#N/A,#N/A,TRUE,"График";#N/A,#N/A,TRUE,"График"}</definedName>
    <definedName name="m_plan" localSheetId="7" hidden="1">{#N/A,#N/A,TRUE,"Пресса";#N/A,#N/A,TRUE,"Метро";#N/A,#N/A,TRUE,"Щиты";#N/A,#N/A,TRUE,"График";#N/A,#N/A,TRUE,"График"}</definedName>
    <definedName name="m_plan" hidden="1">{#N/A,#N/A,TRUE,"Пресса";#N/A,#N/A,TRUE,"Метро";#N/A,#N/A,TRUE,"Щиты";#N/A,#N/A,TRUE,"График";#N/A,#N/A,TRUE,"График"}</definedName>
    <definedName name="Magazyny">#REF!</definedName>
    <definedName name="mai" localSheetId="0">#REF!</definedName>
    <definedName name="mai">#REF!</definedName>
    <definedName name="mailDisc" localSheetId="7" hidden="1">[6]MAIL.RU!$E$59</definedName>
    <definedName name="mailDisc" hidden="1">[6]MAIL.RU!$E$59</definedName>
    <definedName name="mailDiscTotal" localSheetId="1" hidden="1">MAX((100%-splitDisc)*(100%-[0]!mailDisc)*(100%-agencyDisc)*(100%-[0]!discReach),[0]!maxMail)</definedName>
    <definedName name="mailDiscTotal" localSheetId="0" hidden="1">MAX((100%-Total!splitDisc)*(100%-[0]!mailDisc)*(100%-Total!agencyDisc)*(100%-[0]!discReach),[0]!maxMail)</definedName>
    <definedName name="mailDiscTotal" localSheetId="7" hidden="1">MAX((100%-splitDisc)*(100%-Поезда!mailDisc)*(100%-Поезда!agencyDisc)*(100%-[0]!discReach),Поезда!maxMail)</definedName>
    <definedName name="mailDiscTotal" hidden="1">MAX((100%-splitDisc)*(100%-[0]!mailDisc)*(100%-agencyDisc)*(100%-[0]!discReach),[0]!maxMail)</definedName>
    <definedName name="Martini" localSheetId="1" hidden="1">{"'siets LAT'!$J$95","'siets LAT'!$J$95"}</definedName>
    <definedName name="Martini" localSheetId="0" hidden="1">{"'siets LAT'!$J$95","'siets LAT'!$J$95"}</definedName>
    <definedName name="Martini" localSheetId="7" hidden="1">{"'siets LAT'!$J$95","'siets LAT'!$J$95"}</definedName>
    <definedName name="Martini" hidden="1">{"'siets LAT'!$J$95","'siets LAT'!$J$95"}</definedName>
    <definedName name="material_number">#REF!</definedName>
    <definedName name="maxAfisha" localSheetId="7" hidden="1">'[6]##'!$O$24</definedName>
    <definedName name="maxAfisha" hidden="1">'[6]##'!$O$24</definedName>
    <definedName name="maxAmedia" localSheetId="7" hidden="1">'[6]##'!$O$35</definedName>
    <definedName name="maxAmedia" hidden="1">'[6]##'!$O$35</definedName>
    <definedName name="maxAuto" localSheetId="7" hidden="1">'[6]##'!$O$29</definedName>
    <definedName name="maxAuto" hidden="1">'[6]##'!$O$29</definedName>
    <definedName name="maxAvto" localSheetId="7" hidden="1">'[6]##'!$O$30</definedName>
    <definedName name="maxAvto" hidden="1">'[6]##'!$O$30</definedName>
    <definedName name="maxd3" localSheetId="7" hidden="1">'[6]##'!$O$39</definedName>
    <definedName name="maxd3" hidden="1">'[6]##'!$O$39</definedName>
    <definedName name="maxEcho" localSheetId="7" hidden="1">'[6]##'!$O$33</definedName>
    <definedName name="maxEcho" hidden="1">'[6]##'!$O$33</definedName>
    <definedName name="maxExpert" localSheetId="7" hidden="1">'[6]##'!$O$26</definedName>
    <definedName name="maxExpert" hidden="1">'[6]##'!$O$26</definedName>
    <definedName name="maxFt" localSheetId="7" hidden="1">'[6]##'!$O$40</definedName>
    <definedName name="maxFt" hidden="1">'[6]##'!$O$40</definedName>
    <definedName name="maxGazeta" localSheetId="7" hidden="1">'[6]##'!$O$23</definedName>
    <definedName name="maxGazeta" hidden="1">'[6]##'!$O$23</definedName>
    <definedName name="maxIno" localSheetId="7" hidden="1">'[6]##'!$O$31</definedName>
    <definedName name="maxIno" hidden="1">'[6]##'!$O$31</definedName>
    <definedName name="maxKomm" localSheetId="7" hidden="1">'[6]##'!$O$27</definedName>
    <definedName name="maxKomm" hidden="1">'[6]##'!$O$27</definedName>
    <definedName name="maxLive" localSheetId="7" hidden="1">'[6]##'!$O$38</definedName>
    <definedName name="maxLive" hidden="1">'[6]##'!$O$38</definedName>
    <definedName name="maxMail" localSheetId="7" hidden="1">'[6]##'!$O$21</definedName>
    <definedName name="maxMail" hidden="1">'[6]##'!$O$21</definedName>
    <definedName name="maxMtv" localSheetId="7" hidden="1">'[6]##'!$O$37</definedName>
    <definedName name="maxMtv" hidden="1">'[6]##'!$O$37</definedName>
    <definedName name="maxNewsru" localSheetId="7" hidden="1">'[6]##'!$O$25</definedName>
    <definedName name="maxNewsru" hidden="1">'[6]##'!$O$25</definedName>
    <definedName name="maxo24" localSheetId="7" hidden="1">'[6]##'!$O$42</definedName>
    <definedName name="maxo24" hidden="1">'[6]##'!$O$42</definedName>
    <definedName name="MaxRange">'[20]MA-BL'!#REF!</definedName>
    <definedName name="maxRian" localSheetId="7" hidden="1">'[6]##'!$O$34</definedName>
    <definedName name="maxRian" hidden="1">'[6]##'!$O$34</definedName>
    <definedName name="maxSp" localSheetId="7" hidden="1">'[6]##'!$O$41</definedName>
    <definedName name="maxSp" hidden="1">'[6]##'!$O$41</definedName>
    <definedName name="maxStyle" localSheetId="7" hidden="1">'[6]##'!$O$32</definedName>
    <definedName name="maxStyle" hidden="1">'[6]##'!$O$32</definedName>
    <definedName name="maxSubscribe" localSheetId="7" hidden="1">'[6]##'!$O$28</definedName>
    <definedName name="maxSubscribe" hidden="1">'[6]##'!$O$28</definedName>
    <definedName name="maxVokrug" localSheetId="7" hidden="1">'[6]##'!$O$36</definedName>
    <definedName name="maxVokrug" hidden="1">'[6]##'!$O$36</definedName>
    <definedName name="maxVzglyad" localSheetId="7" hidden="1">'[6]##'!$O$22</definedName>
    <definedName name="maxVzglyad" hidden="1">'[6]##'!$O$22</definedName>
    <definedName name="maxYa" localSheetId="7" hidden="1">'[6]##'!$O$20</definedName>
    <definedName name="maxYa" hidden="1">'[6]##'!$O$20</definedName>
    <definedName name="MC">[1]Vehicles!$B$91:$O$99</definedName>
    <definedName name="MCV">[1]Vehicles!$B$49:$O$57</definedName>
    <definedName name="Mfc" localSheetId="0">#REF!</definedName>
    <definedName name="Mfc">#REF!</definedName>
    <definedName name="mmmm" localSheetId="0">#REF!</definedName>
    <definedName name="mmmm">#REF!</definedName>
    <definedName name="monthCol" localSheetId="0" hidden="1">#REF!</definedName>
    <definedName name="monthCol" hidden="1">#REF!</definedName>
    <definedName name="monthFinish" localSheetId="0" hidden="1">#REF!</definedName>
    <definedName name="monthFinish" hidden="1">#REF!</definedName>
    <definedName name="months" localSheetId="7" hidden="1">'[6]##'!$B$3:$B$14</definedName>
    <definedName name="months" hidden="1">'[6]##'!$B$3:$B$14</definedName>
    <definedName name="monthSel" localSheetId="0" hidden="1">#REF!</definedName>
    <definedName name="monthSel" hidden="1">#REF!</definedName>
    <definedName name="monthStart" localSheetId="0" hidden="1">#REF!</definedName>
    <definedName name="monthStart" hidden="1">#REF!</definedName>
    <definedName name="mrz" localSheetId="0">#REF!</definedName>
    <definedName name="mrz">#REF!</definedName>
    <definedName name="mtvDisc" localSheetId="7" hidden="1">[6]MTV.RU!$E$48</definedName>
    <definedName name="mtvDisc" hidden="1">[6]MTV.RU!$E$48</definedName>
    <definedName name="mtvDiscTotal" localSheetId="1" hidden="1">MAX((100%-splitDisc)*(100%-[0]!mtvDisc)*(100%-agencyDisc)*(100%-[0]!discReach),[0]!maxMtv)</definedName>
    <definedName name="mtvDiscTotal" localSheetId="0" hidden="1">MAX((100%-Total!splitDisc)*(100%-[0]!mtvDisc)*(100%-Total!agencyDisc)*(100%-[0]!discReach),[0]!maxMtv)</definedName>
    <definedName name="mtvDiscTotal" localSheetId="7" hidden="1">MAX((100%-splitDisc)*(100%-Поезда!mtvDisc)*(100%-Поезда!agencyDisc)*(100%-[0]!discReach),Поезда!maxMtv)</definedName>
    <definedName name="mtvDiscTotal" hidden="1">MAX((100%-splitDisc)*(100%-[0]!mtvDisc)*(100%-agencyDisc)*(100%-[0]!discReach),[0]!maxMtv)</definedName>
    <definedName name="nameSites">[4]SitesVermarkter!$C:$C</definedName>
    <definedName name="NETMTV" localSheetId="0">#REF!</definedName>
    <definedName name="NETMTV">#REF!</definedName>
    <definedName name="NETPBL" localSheetId="0">#REF!</definedName>
    <definedName name="NETPBL">#REF!</definedName>
    <definedName name="NETPER" localSheetId="0">#REF!</definedName>
    <definedName name="NETPER">#REF!</definedName>
    <definedName name="NETQUO" localSheetId="0">#REF!</definedName>
    <definedName name="NETQUO">#REF!</definedName>
    <definedName name="NETTOMTV" localSheetId="0">#REF!</definedName>
    <definedName name="NETTOMTV">#REF!</definedName>
    <definedName name="NETTOSIPRA" localSheetId="0">#REF!</definedName>
    <definedName name="NETTOSIPRA">#REF!</definedName>
    <definedName name="NETWORK" localSheetId="0">#REF!,#REF!,#REF!,#REF!,#REF!,#REF!,#REF!,#REF!,#REF!,#REF!,#REF!,#REF!,#REF!,#REF!,#REF!</definedName>
    <definedName name="NETWORK" localSheetId="7">#REF!,#REF!,#REF!,#REF!,#REF!,#REF!,#REF!,#REF!,#REF!,#REF!,#REF!,#REF!,#REF!,#REF!,#REF!</definedName>
    <definedName name="NETWORK">#REF!,#REF!,#REF!,#REF!,#REF!,#REF!,#REF!,#REF!,#REF!,#REF!,#REF!,#REF!,#REF!,#REF!,#REF!</definedName>
    <definedName name="newsruDisc" localSheetId="7" hidden="1">[6]NEWSRU.COM!$E$49</definedName>
    <definedName name="newsruDisc" hidden="1">[6]NEWSRU.COM!$E$49</definedName>
    <definedName name="newsruDiscTotal" localSheetId="1" hidden="1">MAX((100%-splitDisc)*(100%-[0]!newsruDisc)*(100%-agencyDisc)*(100%-[0]!discReach),[0]!maxNewsru)</definedName>
    <definedName name="newsruDiscTotal" localSheetId="0" hidden="1">MAX((100%-Total!splitDisc)*(100%-[0]!newsruDisc)*(100%-Total!agencyDisc)*(100%-[0]!discReach),[0]!maxNewsru)</definedName>
    <definedName name="newsruDiscTotal" localSheetId="7" hidden="1">MAX((100%-splitDisc)*(100%-Поезда!newsruDisc)*(100%-Поезда!agencyDisc)*(100%-[0]!discReach),Поезда!maxNewsru)</definedName>
    <definedName name="newsruDiscTotal" hidden="1">MAX((100%-splitDisc)*(100%-[0]!newsruDisc)*(100%-agencyDisc)*(100%-[0]!discReach),[0]!maxNewsru)</definedName>
    <definedName name="normal" localSheetId="3">[7]OT97QUAR!normal</definedName>
    <definedName name="normal" localSheetId="2">[7]OT97QUAR!normal</definedName>
    <definedName name="normal" localSheetId="1">[7]OT97QUAR!normal</definedName>
    <definedName name="normal" localSheetId="0">[7]OT97QUAR!normal</definedName>
    <definedName name="normal" localSheetId="6">[7]OT97QUAR!normal</definedName>
    <definedName name="normal" localSheetId="5">[7]OT97QUAR!normal</definedName>
    <definedName name="normal" localSheetId="7">[7]OT97QUAR!normal</definedName>
    <definedName name="normal" localSheetId="4">[7]OT97QUAR!normal</definedName>
    <definedName name="normal">[7]OT97QUAR!normal</definedName>
    <definedName name="nov" localSheetId="0">#REF!</definedName>
    <definedName name="nov">#REF!</definedName>
    <definedName name="NTSSPRS" localSheetId="0">#REF!</definedName>
    <definedName name="NTSSPRS">#REF!</definedName>
    <definedName name="NZ" localSheetId="0">#REF!</definedName>
    <definedName name="NZ">#REF!</definedName>
    <definedName name="o24Disc" localSheetId="7" hidden="1">'[6]24OPEN.RU'!$E$52</definedName>
    <definedName name="o24Disc" hidden="1">'[6]24OPEN.RU'!$E$52</definedName>
    <definedName name="o24DiscTotal" localSheetId="1" hidden="1">MAX((100%-splitDisc)*(100%-[0]!o24Disc)*(100%-agencyDisc)*(100%-[0]!discReach),[0]!maxo24)</definedName>
    <definedName name="o24DiscTotal" localSheetId="0" hidden="1">MAX((100%-Total!splitDisc)*(100%-[0]!o24Disc)*(100%-Total!agencyDisc)*(100%-[0]!discReach),[0]!maxo24)</definedName>
    <definedName name="o24DiscTotal" localSheetId="7" hidden="1">MAX((100%-splitDisc)*(100%-Поезда!o24Disc)*(100%-Поезда!agencyDisc)*(100%-[0]!discReach),Поезда!maxo24)</definedName>
    <definedName name="o24DiscTotal" hidden="1">MAX((100%-splitDisc)*(100%-[0]!o24Disc)*(100%-agencyDisc)*(100%-[0]!discReach),[0]!maxo24)</definedName>
    <definedName name="obla" localSheetId="1" hidden="1">{"'siets LAT'!$J$95","'siets LAT'!$J$95"}</definedName>
    <definedName name="obla" localSheetId="0" hidden="1">{"'siets LAT'!$J$95","'siets LAT'!$J$95"}</definedName>
    <definedName name="obla" localSheetId="7" hidden="1">{"'siets LAT'!$J$95","'siets LAT'!$J$95"}</definedName>
    <definedName name="obla" hidden="1">{"'siets LAT'!$J$95","'siets LAT'!$J$95"}</definedName>
    <definedName name="okt">#REF!</definedName>
    <definedName name="old" localSheetId="1" hidden="1">{#N/A,#N/A,TRUE,"Пресса";#N/A,#N/A,TRUE,"Метро";#N/A,#N/A,TRUE,"Щиты";#N/A,#N/A,TRUE,"График";#N/A,#N/A,TRUE,"График"}</definedName>
    <definedName name="old" localSheetId="0" hidden="1">{#N/A,#N/A,TRUE,"Пресса";#N/A,#N/A,TRUE,"Метро";#N/A,#N/A,TRUE,"Щиты";#N/A,#N/A,TRUE,"График";#N/A,#N/A,TRUE,"График"}</definedName>
    <definedName name="old" localSheetId="7" hidden="1">{#N/A,#N/A,TRUE,"Пресса";#N/A,#N/A,TRUE,"Метро";#N/A,#N/A,TRUE,"Щиты";#N/A,#N/A,TRUE,"График";#N/A,#N/A,TRUE,"График"}</definedName>
    <definedName name="old" hidden="1">{#N/A,#N/A,TRUE,"Пресса";#N/A,#N/A,TRUE,"Метро";#N/A,#N/A,TRUE,"Щиты";#N/A,#N/A,TRUE,"График";#N/A,#N/A,TRUE,"График"}</definedName>
    <definedName name="oldars" localSheetId="1" hidden="1">{#N/A,#N/A,TRUE,"Пресса";#N/A,#N/A,TRUE,"Метро";#N/A,#N/A,TRUE,"Щиты";#N/A,#N/A,TRUE,"График";#N/A,#N/A,TRUE,"График"}</definedName>
    <definedName name="oldars" localSheetId="0" hidden="1">{#N/A,#N/A,TRUE,"Пресса";#N/A,#N/A,TRUE,"Метро";#N/A,#N/A,TRUE,"Щиты";#N/A,#N/A,TRUE,"График";#N/A,#N/A,TRUE,"График"}</definedName>
    <definedName name="oldars" localSheetId="7" hidden="1">{#N/A,#N/A,TRUE,"Пресса";#N/A,#N/A,TRUE,"Метро";#N/A,#N/A,TRUE,"Щиты";#N/A,#N/A,TRUE,"График";#N/A,#N/A,TRUE,"График"}</definedName>
    <definedName name="oldars" hidden="1">{#N/A,#N/A,TRUE,"Пресса";#N/A,#N/A,TRUE,"Метро";#N/A,#N/A,TRUE,"Щиты";#N/A,#N/A,TRUE,"График";#N/A,#N/A,TRUE,"График"}</definedName>
    <definedName name="oldfos" localSheetId="1" hidden="1">{#N/A,#N/A,TRUE,"Пресса";#N/A,#N/A,TRUE,"Метро";#N/A,#N/A,TRUE,"Щиты";#N/A,#N/A,TRUE,"График";#N/A,#N/A,TRUE,"График"}</definedName>
    <definedName name="oldfos" localSheetId="0" hidden="1">{#N/A,#N/A,TRUE,"Пресса";#N/A,#N/A,TRUE,"Метро";#N/A,#N/A,TRUE,"Щиты";#N/A,#N/A,TRUE,"График";#N/A,#N/A,TRUE,"График"}</definedName>
    <definedName name="oldfos" localSheetId="7" hidden="1">{#N/A,#N/A,TRUE,"Пресса";#N/A,#N/A,TRUE,"Метро";#N/A,#N/A,TRUE,"Щиты";#N/A,#N/A,TRUE,"График";#N/A,#N/A,TRUE,"График"}</definedName>
    <definedName name="oldfos" hidden="1">{#N/A,#N/A,TRUE,"Пресса";#N/A,#N/A,TRUE,"Метро";#N/A,#N/A,TRUE,"Щиты";#N/A,#N/A,TRUE,"График";#N/A,#N/A,TRUE,"График"}</definedName>
    <definedName name="onl">#REF!</definedName>
    <definedName name="OOG" localSheetId="1" hidden="1">OFFSET(Anch,MATCH("Amedia.ru",resList,0),3,COUNTIF(resList,"Amedia.ru")-1,1)</definedName>
    <definedName name="OOG" localSheetId="0" hidden="1">OFFSET(Anch,MATCH("Amedia.ru",resList,0),3,COUNTIF(resList,"Amedia.ru")-1,1)</definedName>
    <definedName name="OOG" localSheetId="6" hidden="1">OFFSET(Anch,MATCH("Amedia.ru",resList,0),3,COUNTIF(resList,"Amedia.ru")-1,1)</definedName>
    <definedName name="OOG" localSheetId="7" hidden="1">OFFSET(Anch,MATCH("Amedia.ru",resList,0),3,COUNTIF(resList,"Amedia.ru")-1,1)</definedName>
    <definedName name="OOG" hidden="1">OFFSET(Anch,MATCH("Amedia.ru",resList,0),3,COUNTIF(resList,"Amedia.ru")-1,1)</definedName>
    <definedName name="OOh" localSheetId="1" hidden="1">OFFSET(Anch,MATCH("Expert.ru",resList,0),3,COUNTIF(resList,"Expert.ru")-1,1)</definedName>
    <definedName name="OOh" localSheetId="0" hidden="1">OFFSET(Anch,MATCH("Expert.ru",resList,0),3,COUNTIF(resList,"Expert.ru")-1,1)</definedName>
    <definedName name="OOh" localSheetId="6" hidden="1">OFFSET(Anch,MATCH("Expert.ru",resList,0),3,COUNTIF(resList,"Expert.ru")-1,1)</definedName>
    <definedName name="OOh" localSheetId="7" hidden="1">OFFSET(Anch,MATCH("Expert.ru",resList,0),3,COUNTIF(resList,"Expert.ru")-1,1)</definedName>
    <definedName name="OOh" hidden="1">OFFSET(Anch,MATCH("Expert.ru",resList,0),3,COUNTIF(resList,"Expert.ru")-1,1)</definedName>
    <definedName name="op" localSheetId="0">#REF!</definedName>
    <definedName name="op" localSheetId="7">#REF!</definedName>
    <definedName name="op">#REF!</definedName>
    <definedName name="Opti" localSheetId="0">'[2]Data CpGRP'!#REF!</definedName>
    <definedName name="Opti" localSheetId="7">'[2]Data CpGRP'!#REF!</definedName>
    <definedName name="Opti">'[2]Data CpGRP'!#REF!</definedName>
    <definedName name="Outdoor" localSheetId="0">#REF!</definedName>
    <definedName name="Outdoor">#REF!</definedName>
    <definedName name="PA" localSheetId="0">#REF!</definedName>
    <definedName name="PA">#REF!</definedName>
    <definedName name="pathfinder" localSheetId="0" hidden="1">[10]XLR_NoRangeSheet!$A$5</definedName>
    <definedName name="pathfinder" localSheetId="7" hidden="1">[10]XLR_NoRangeSheet!$A$5</definedName>
    <definedName name="pathfinder" hidden="1">[10]XLR_NoRangeSheet!$A$5</definedName>
    <definedName name="PB" localSheetId="0">#REF!</definedName>
    <definedName name="PB">#REF!</definedName>
    <definedName name="PC" localSheetId="0">#REF!</definedName>
    <definedName name="PC">#REF!</definedName>
    <definedName name="PD" localSheetId="0">#REF!</definedName>
    <definedName name="PD">#REF!</definedName>
    <definedName name="Pemolux" localSheetId="1" hidden="1">{#N/A,#N/A,TRUE,"Пресса";#N/A,#N/A,TRUE,"Метро";#N/A,#N/A,TRUE,"Щиты";#N/A,#N/A,TRUE,"График";#N/A,#N/A,TRUE,"График"}</definedName>
    <definedName name="Pemolux" localSheetId="0" hidden="1">{#N/A,#N/A,TRUE,"Пресса";#N/A,#N/A,TRUE,"Метро";#N/A,#N/A,TRUE,"Щиты";#N/A,#N/A,TRUE,"График";#N/A,#N/A,TRUE,"График"}</definedName>
    <definedName name="Pemolux" localSheetId="7" hidden="1">{#N/A,#N/A,TRUE,"Пресса";#N/A,#N/A,TRUE,"Метро";#N/A,#N/A,TRUE,"Щиты";#N/A,#N/A,TRUE,"График";#N/A,#N/A,TRUE,"График"}</definedName>
    <definedName name="Pemolux" hidden="1">{#N/A,#N/A,TRUE,"Пресса";#N/A,#N/A,TRUE,"Метро";#N/A,#N/A,TRUE,"Щиты";#N/A,#N/A,TRUE,"График";#N/A,#N/A,TRUE,"График"}</definedName>
    <definedName name="Persil" localSheetId="1" hidden="1">{#N/A,#N/A,TRUE,"Пресса";#N/A,#N/A,TRUE,"Метро";#N/A,#N/A,TRUE,"Щиты";#N/A,#N/A,TRUE,"График";#N/A,#N/A,TRUE,"График"}</definedName>
    <definedName name="Persil" localSheetId="0" hidden="1">{#N/A,#N/A,TRUE,"Пресса";#N/A,#N/A,TRUE,"Метро";#N/A,#N/A,TRUE,"Щиты";#N/A,#N/A,TRUE,"График";#N/A,#N/A,TRUE,"График"}</definedName>
    <definedName name="Persil" localSheetId="7" hidden="1">{#N/A,#N/A,TRUE,"Пресса";#N/A,#N/A,TRUE,"Метро";#N/A,#N/A,TRUE,"Щиты";#N/A,#N/A,TRUE,"График";#N/A,#N/A,TRUE,"График"}</definedName>
    <definedName name="Persil" hidden="1">{#N/A,#N/A,TRUE,"Пресса";#N/A,#N/A,TRUE,"Метро";#N/A,#N/A,TRUE,"Щиты";#N/A,#N/A,TRUE,"График";#N/A,#N/A,TRUE,"График"}</definedName>
    <definedName name="persil1" localSheetId="1" hidden="1">{#N/A,#N/A,TRUE,"Пресса";#N/A,#N/A,TRUE,"Метро";#N/A,#N/A,TRUE,"Щиты";#N/A,#N/A,TRUE,"График";#N/A,#N/A,TRUE,"График"}</definedName>
    <definedName name="persil1" localSheetId="0" hidden="1">{#N/A,#N/A,TRUE,"Пресса";#N/A,#N/A,TRUE,"Метро";#N/A,#N/A,TRUE,"Щиты";#N/A,#N/A,TRUE,"График";#N/A,#N/A,TRUE,"График"}</definedName>
    <definedName name="persil1" localSheetId="7" hidden="1">{#N/A,#N/A,TRUE,"Пресса";#N/A,#N/A,TRUE,"Метро";#N/A,#N/A,TRUE,"Щиты";#N/A,#N/A,TRUE,"График";#N/A,#N/A,TRUE,"График"}</definedName>
    <definedName name="persil1" hidden="1">{#N/A,#N/A,TRUE,"Пресса";#N/A,#N/A,TRUE,"Метро";#N/A,#N/A,TRUE,"Щиты";#N/A,#N/A,TRUE,"График";#N/A,#N/A,TRUE,"График"}</definedName>
    <definedName name="PIANO">#REF!</definedName>
    <definedName name="pippo" localSheetId="0">#REF!</definedName>
    <definedName name="pippo">#REF!</definedName>
    <definedName name="Platform" localSheetId="0">#REF!</definedName>
    <definedName name="Platform">#REF!</definedName>
    <definedName name="pluto" localSheetId="0">#REF!</definedName>
    <definedName name="pluto">#REF!</definedName>
    <definedName name="poiugt" localSheetId="0" hidden="1">[10]XLR_NoRangeSheet!$A$5</definedName>
    <definedName name="poiugt" localSheetId="7" hidden="1">[10]XLR_NoRangeSheet!$A$5</definedName>
    <definedName name="poiugt" hidden="1">[10]XLR_NoRangeSheet!$A$5</definedName>
    <definedName name="Pos1_Clicks" localSheetId="0">#REF!</definedName>
    <definedName name="Pos1_Clicks">#REF!</definedName>
    <definedName name="Pos1_CostClick" localSheetId="0">#REF!</definedName>
    <definedName name="Pos1_CostClick">#REF!</definedName>
    <definedName name="Pos1_Monthly" localSheetId="0">#REF!</definedName>
    <definedName name="Pos1_Monthly">#REF!</definedName>
    <definedName name="Pos1_Row_First" localSheetId="0">#REF!</definedName>
    <definedName name="Pos1_Row_First">#REF!</definedName>
    <definedName name="Pos1_Search" localSheetId="0">#REF!</definedName>
    <definedName name="Pos1_Search">#REF!</definedName>
    <definedName name="Pos2_Clicks" localSheetId="0">#REF!</definedName>
    <definedName name="Pos2_Clicks">#REF!</definedName>
    <definedName name="Pos2_CostClick" localSheetId="0">#REF!</definedName>
    <definedName name="Pos2_CostClick">#REF!</definedName>
    <definedName name="Pos2_Monthly" localSheetId="0">#REF!</definedName>
    <definedName name="Pos2_Monthly">#REF!</definedName>
    <definedName name="Pos2_Row_First" localSheetId="0">#REF!</definedName>
    <definedName name="Pos2_Row_First">#REF!</definedName>
    <definedName name="Pos2_Search" localSheetId="0">#REF!</definedName>
    <definedName name="Pos2_Search">#REF!</definedName>
    <definedName name="Pos3_Clicks" localSheetId="0">#REF!</definedName>
    <definedName name="Pos3_Clicks">#REF!</definedName>
    <definedName name="Pos3_CostClick" localSheetId="0">#REF!</definedName>
    <definedName name="Pos3_CostClick">#REF!</definedName>
    <definedName name="Pos3_Monthly" localSheetId="0">#REF!</definedName>
    <definedName name="Pos3_Monthly">#REF!</definedName>
    <definedName name="Pos3_Row_First" localSheetId="0">#REF!</definedName>
    <definedName name="Pos3_Row_First">#REF!</definedName>
    <definedName name="Pos3_Search" localSheetId="0">#REF!</definedName>
    <definedName name="Pos3_Search">#REF!</definedName>
    <definedName name="Print_BE" localSheetId="0">#REF!</definedName>
    <definedName name="Print_BE">#REF!</definedName>
    <definedName name="Print_DE" localSheetId="0">#REF!</definedName>
    <definedName name="Print_DE">#REF!</definedName>
    <definedName name="Print_FR" localSheetId="0">#REF!</definedName>
    <definedName name="Print_FR">#REF!</definedName>
    <definedName name="Print_main" localSheetId="0">#REF!</definedName>
    <definedName name="Print_main">#REF!</definedName>
    <definedName name="Print_NL" localSheetId="0">#REF!</definedName>
    <definedName name="Print_NL">#REF!</definedName>
    <definedName name="Print_SE" localSheetId="0">#REF!</definedName>
    <definedName name="Print_SE">#REF!</definedName>
    <definedName name="Print_UK" localSheetId="0">#REF!</definedName>
    <definedName name="Print_UK">#REF!</definedName>
    <definedName name="Prod">'[2]Data CpGRP'!$B$3</definedName>
    <definedName name="Product" localSheetId="0">#REF!</definedName>
    <definedName name="Product">#REF!</definedName>
    <definedName name="PVariant">'[2]Data CpGRP'!$B$6</definedName>
    <definedName name="PX" localSheetId="0">#REF!</definedName>
    <definedName name="PX">#REF!</definedName>
    <definedName name="qduua" localSheetId="0" hidden="1">#REF!</definedName>
    <definedName name="qduua" hidden="1">#REF!</definedName>
    <definedName name="qff" localSheetId="0">#REF!</definedName>
    <definedName name="qff">#REF!</definedName>
    <definedName name="qq" hidden="1">4</definedName>
    <definedName name="qqqqqqq" hidden="1">4</definedName>
    <definedName name="qqqqqqqq" hidden="1">27</definedName>
    <definedName name="qsdf" localSheetId="0">#REF!</definedName>
    <definedName name="qsdf">#REF!</definedName>
    <definedName name="Radio" localSheetId="0">#REF!</definedName>
    <definedName name="Radio">#REF!</definedName>
    <definedName name="RAI" localSheetId="0">#REF!,#REF!,#REF!,#REF!,#REF!,#REF!,#REF!,#REF!,#REF!,#REF!,#REF!,#REF!,#REF!,#REF!,#REF!,#REF!,#REF!,#REF!,#REF!,#REF!,#REF!,#REF!,#REF!</definedName>
    <definedName name="RAI" localSheetId="7">#REF!,#REF!,#REF!,#REF!,#REF!,#REF!,#REF!,#REF!,#REF!,#REF!,#REF!,#REF!,#REF!,#REF!,#REF!,#REF!,#REF!,#REF!,#REF!,#REF!,#REF!,#REF!,#REF!</definedName>
    <definedName name="RAI">#REF!,#REF!,#REF!,#REF!,#REF!,#REF!,#REF!,#REF!,#REF!,#REF!,#REF!,#REF!,#REF!,#REF!,#REF!,#REF!,#REF!,#REF!,#REF!,#REF!,#REF!,#REF!,#REF!</definedName>
    <definedName name="Range_1" localSheetId="0">#REF!</definedName>
    <definedName name="Range_1">#REF!</definedName>
    <definedName name="Range_2" localSheetId="0">#REF!</definedName>
    <definedName name="Range_2">#REF!</definedName>
    <definedName name="Range_3" localSheetId="0">#REF!</definedName>
    <definedName name="Range_3">#REF!</definedName>
    <definedName name="Range_4" localSheetId="0">#REF!</definedName>
    <definedName name="Range_4">#REF!</definedName>
    <definedName name="Range_5" localSheetId="0">#REF!</definedName>
    <definedName name="Range_5">#REF!</definedName>
    <definedName name="Recorder">#REF!</definedName>
    <definedName name="Report_1_Range_1" localSheetId="0">#REF!</definedName>
    <definedName name="Report_1_Range_1">#REF!</definedName>
    <definedName name="Report_1_Range_2" localSheetId="0">#REF!</definedName>
    <definedName name="Report_1_Range_2">#REF!</definedName>
    <definedName name="Report_1_Range_3" localSheetId="0">#REF!</definedName>
    <definedName name="Report_1_Range_3">#REF!</definedName>
    <definedName name="Report_1_Range_4" localSheetId="0">#REF!</definedName>
    <definedName name="Report_1_Range_4">#REF!</definedName>
    <definedName name="Report_1_Range_5" localSheetId="0">#REF!</definedName>
    <definedName name="Report_1_Range_5">#REF!</definedName>
    <definedName name="Report_2_Range_1" localSheetId="0">#REF!</definedName>
    <definedName name="Report_2_Range_1">#REF!</definedName>
    <definedName name="rete4" localSheetId="0">#REF!,#REF!,#REF!,#REF!,#REF!,#REF!,#REF!,#REF!,#REF!,#REF!,#REF!,#REF!</definedName>
    <definedName name="rete4" localSheetId="7">#REF!,#REF!,#REF!,#REF!,#REF!,#REF!,#REF!,#REF!,#REF!,#REF!,#REF!,#REF!</definedName>
    <definedName name="rete4">#REF!,#REF!,#REF!,#REF!,#REF!,#REF!,#REF!,#REF!,#REF!,#REF!,#REF!,#REF!</definedName>
    <definedName name="rianDisc" localSheetId="7" hidden="1">'[6]RIAN.RU'!$E$46</definedName>
    <definedName name="rianDisc" hidden="1">'[6]RIAN.RU'!$E$46</definedName>
    <definedName name="rianDiscTotal" localSheetId="1" hidden="1">MAX((100%-splitDisc)*(100%-[0]!rianDisc)*(100%-agencyDisc)*(100%-[0]!discReach),[0]!maxRian)</definedName>
    <definedName name="rianDiscTotal" localSheetId="0" hidden="1">MAX((100%-Total!splitDisc)*(100%-[0]!rianDisc)*(100%-Total!agencyDisc)*(100%-[0]!discReach),[0]!maxRian)</definedName>
    <definedName name="rianDiscTotal" localSheetId="7" hidden="1">MAX((100%-splitDisc)*(100%-Поезда!rianDisc)*(100%-Поезда!agencyDisc)*(100%-[0]!discReach),Поезда!maxRian)</definedName>
    <definedName name="rianDiscTotal" hidden="1">MAX((100%-splitDisc)*(100%-[0]!rianDisc)*(100%-agencyDisc)*(100%-[0]!discReach),[0]!maxRian)</definedName>
    <definedName name="rMain" localSheetId="0">'[21]Teleport FIX'!#REF!</definedName>
    <definedName name="rMain" localSheetId="7">'[21]Teleport FIX'!#REF!</definedName>
    <definedName name="rMain">'[21]Teleport FIX'!#REF!</definedName>
    <definedName name="rngCommentsBlank" localSheetId="0">#REF!</definedName>
    <definedName name="rngCommentsBlank" localSheetId="7">#REF!</definedName>
    <definedName name="rngCommentsBlank">#REF!</definedName>
    <definedName name="rngDescription" localSheetId="0">#REF!</definedName>
    <definedName name="rngDescription" localSheetId="7">#REF!</definedName>
    <definedName name="rngDescription">#REF!</definedName>
    <definedName name="rngIOyourcontact" localSheetId="0">#REF!</definedName>
    <definedName name="rngIOyourcontact">#REF!</definedName>
    <definedName name="rngTitle" localSheetId="0">#REF!</definedName>
    <definedName name="rngTitle">#REF!</definedName>
    <definedName name="Rollton" localSheetId="1" hidden="1">{#N/A,#N/A,TRUE,"Пресса";#N/A,#N/A,TRUE,"Метро";#N/A,#N/A,TRUE,"Щиты";#N/A,#N/A,TRUE,"График";#N/A,#N/A,TRUE,"График"}</definedName>
    <definedName name="Rollton" localSheetId="0" hidden="1">{#N/A,#N/A,TRUE,"Пресса";#N/A,#N/A,TRUE,"Метро";#N/A,#N/A,TRUE,"Щиты";#N/A,#N/A,TRUE,"График";#N/A,#N/A,TRUE,"График"}</definedName>
    <definedName name="Rollton" localSheetId="7" hidden="1">{#N/A,#N/A,TRUE,"Пресса";#N/A,#N/A,TRUE,"Метро";#N/A,#N/A,TRUE,"Щиты";#N/A,#N/A,TRUE,"График";#N/A,#N/A,TRUE,"График"}</definedName>
    <definedName name="Rollton" hidden="1">{#N/A,#N/A,TRUE,"Пресса";#N/A,#N/A,TRUE,"Метро";#N/A,#N/A,TRUE,"Щиты";#N/A,#N/A,TRUE,"График";#N/A,#N/A,TRUE,"График"}</definedName>
    <definedName name="rrrr" localSheetId="1" hidden="1">{#N/A,#N/A,TRUE,"Пресса";#N/A,#N/A,TRUE,"Метро";#N/A,#N/A,TRUE,"Щиты";#N/A,#N/A,TRUE,"График";#N/A,#N/A,TRUE,"График"}</definedName>
    <definedName name="rrrr" localSheetId="0" hidden="1">{#N/A,#N/A,TRUE,"Пресса";#N/A,#N/A,TRUE,"Метро";#N/A,#N/A,TRUE,"Щиты";#N/A,#N/A,TRUE,"График";#N/A,#N/A,TRUE,"График"}</definedName>
    <definedName name="rrrr" localSheetId="7" hidden="1">{#N/A,#N/A,TRUE,"Пресса";#N/A,#N/A,TRUE,"Метро";#N/A,#N/A,TRUE,"Щиты";#N/A,#N/A,TRUE,"График";#N/A,#N/A,TRUE,"График"}</definedName>
    <definedName name="rrrr" hidden="1">{#N/A,#N/A,TRUE,"Пресса";#N/A,#N/A,TRUE,"Метро";#N/A,#N/A,TRUE,"Щиты";#N/A,#N/A,TRUE,"График";#N/A,#N/A,TRUE,"График"}</definedName>
    <definedName name="sadfedfr">#REF!</definedName>
    <definedName name="SAPBEXrevision" hidden="1">6</definedName>
    <definedName name="SAPBEXsysID" hidden="1">"HBP"</definedName>
    <definedName name="SAPBEXwbID" hidden="1">"3ZIPRQHC3J68QW4YD9OZ5AYYW"</definedName>
    <definedName name="sasa" hidden="1">#REF!</definedName>
    <definedName name="SC">[1]Vehicles!$B$77:$O$85</definedName>
    <definedName name="Schaltzeitraum">'[22]12'!$D$13</definedName>
    <definedName name="SCHEDA">[15]LODI!#REF!</definedName>
    <definedName name="SCV">[1]Vehicles!$B$34:$O$42</definedName>
    <definedName name="sd" localSheetId="1" hidden="1">{#N/A,#N/A,TRUE,"Пресса";#N/A,#N/A,TRUE,"Метро";#N/A,#N/A,TRUE,"Щиты";#N/A,#N/A,TRUE,"График";#N/A,#N/A,TRUE,"График"}</definedName>
    <definedName name="sd" localSheetId="0" hidden="1">{#N/A,#N/A,TRUE,"Пресса";#N/A,#N/A,TRUE,"Метро";#N/A,#N/A,TRUE,"Щиты";#N/A,#N/A,TRUE,"График";#N/A,#N/A,TRUE,"График"}</definedName>
    <definedName name="sd" localSheetId="7" hidden="1">{#N/A,#N/A,TRUE,"Пресса";#N/A,#N/A,TRUE,"Метро";#N/A,#N/A,TRUE,"Щиты";#N/A,#N/A,TRUE,"График";#N/A,#N/A,TRUE,"График"}</definedName>
    <definedName name="sd" hidden="1">{#N/A,#N/A,TRUE,"Пресса";#N/A,#N/A,TRUE,"Метро";#N/A,#N/A,TRUE,"Щиты";#N/A,#N/A,TRUE,"График";#N/A,#N/A,TRUE,"График"}</definedName>
    <definedName name="sep">#REF!</definedName>
    <definedName name="solver_rh" hidden="1">4</definedName>
    <definedName name="solver_tmE" hidden="1">0</definedName>
    <definedName name="solver_tmÊ" hidden="1">0</definedName>
    <definedName name="solver_tmК" hidden="1">0</definedName>
    <definedName name="solver_ty?" hidden="1">3</definedName>
    <definedName name="solver_tyð" hidden="1">3</definedName>
    <definedName name="solver_tyр" hidden="1">3</definedName>
    <definedName name="solver_va" hidden="1">27</definedName>
    <definedName name="spDisc" localSheetId="7" hidden="1">[6]SPORTS.RU!$E$46</definedName>
    <definedName name="spDisc" hidden="1">[6]SPORTS.RU!$E$46</definedName>
    <definedName name="spDiscTotal" localSheetId="1" hidden="1">MAX((100%-splitDisc)*(100%-[0]!spDisc)*(100%-agencyDisc)*(100%-[0]!discReach),[0]!maxSp)</definedName>
    <definedName name="spDiscTotal" localSheetId="0" hidden="1">MAX((100%-Total!splitDisc)*(100%-[0]!spDisc)*(100%-Total!agencyDisc)*(100%-[0]!discReach),[0]!maxSp)</definedName>
    <definedName name="spDiscTotal" localSheetId="7" hidden="1">MAX((100%-splitDisc)*(100%-Поезда!spDisc)*(100%-Поезда!agencyDisc)*(100%-[0]!discReach),Поезда!maxSp)</definedName>
    <definedName name="spDiscTotal" hidden="1">MAX((100%-splitDisc)*(100%-[0]!spDisc)*(100%-agencyDisc)*(100%-[0]!discReach),[0]!maxSp)</definedName>
    <definedName name="SPESE" localSheetId="0">#REF!</definedName>
    <definedName name="SPESE" localSheetId="7">#REF!</definedName>
    <definedName name="SPESE">#REF!</definedName>
    <definedName name="splitDisc" localSheetId="0" hidden="1">#REF!</definedName>
    <definedName name="splitDisc" hidden="1">#REF!</definedName>
    <definedName name="SpotForm">'[2]Data CpGRP'!$B$5</definedName>
    <definedName name="Spotl1">'[2]Data CpGRP'!$B$30</definedName>
    <definedName name="Spotl2">'[2]Data CpGRP'!$B$31</definedName>
    <definedName name="Spotl3">'[2]Data CpGRP'!$B$32</definedName>
    <definedName name="Spotl4">'[2]Data CpGRP'!$B$33</definedName>
    <definedName name="Spotl5">'[2]Data CpGRP'!$B$34</definedName>
    <definedName name="Spotl6">'[2]Data CpGRP'!$B$35</definedName>
    <definedName name="Spotl7">'[2]Data CpGRP'!$B$36</definedName>
    <definedName name="Spotl8">'[2]Data CpGRP'!$B$37</definedName>
    <definedName name="status12_6" localSheetId="0">#REF!</definedName>
    <definedName name="status12_6">#REF!</definedName>
    <definedName name="status12_6_1" localSheetId="0">#REF!</definedName>
    <definedName name="status12_6_1">#REF!</definedName>
    <definedName name="status12_6_2" localSheetId="0">#REF!</definedName>
    <definedName name="status12_6_2">#REF!</definedName>
    <definedName name="STIMA" localSheetId="0">[11]GRP!#REF!</definedName>
    <definedName name="STIMA">[11]GRP!#REF!</definedName>
    <definedName name="StudiaforTNK" localSheetId="1" hidden="1">{#N/A,#N/A,TRUE,"Пресса";#N/A,#N/A,TRUE,"Метро";#N/A,#N/A,TRUE,"Щиты";#N/A,#N/A,TRUE,"График";#N/A,#N/A,TRUE,"График"}</definedName>
    <definedName name="StudiaforTNK" localSheetId="0" hidden="1">{#N/A,#N/A,TRUE,"Пресса";#N/A,#N/A,TRUE,"Метро";#N/A,#N/A,TRUE,"Щиты";#N/A,#N/A,TRUE,"График";#N/A,#N/A,TRUE,"График"}</definedName>
    <definedName name="StudiaforTNK" localSheetId="7" hidden="1">{#N/A,#N/A,TRUE,"Пресса";#N/A,#N/A,TRUE,"Метро";#N/A,#N/A,TRUE,"Щиты";#N/A,#N/A,TRUE,"График";#N/A,#N/A,TRUE,"График"}</definedName>
    <definedName name="StudiaforTNK" hidden="1">{#N/A,#N/A,TRUE,"Пресса";#N/A,#N/A,TRUE,"Метро";#N/A,#N/A,TRUE,"Щиты";#N/A,#N/A,TRUE,"График";#N/A,#N/A,TRUE,"График"}</definedName>
    <definedName name="styleDisc" localSheetId="7" hidden="1">[6]SUPERSTYLE.RU!$E$48</definedName>
    <definedName name="styleDisc" hidden="1">[6]SUPERSTYLE.RU!$E$48</definedName>
    <definedName name="styleDiscTotal" localSheetId="1" hidden="1">MAX((100%-splitDisc)*(100%-[0]!styleDisc)*(100%-agencyDisc)*(100%-[0]!discReach),[0]!maxStyle)</definedName>
    <definedName name="styleDiscTotal" localSheetId="0" hidden="1">MAX((100%-Total!splitDisc)*(100%-[0]!styleDisc)*(100%-Total!agencyDisc)*(100%-[0]!discReach),[0]!maxStyle)</definedName>
    <definedName name="styleDiscTotal" localSheetId="7" hidden="1">MAX((100%-splitDisc)*(100%-Поезда!styleDisc)*(100%-Поезда!agencyDisc)*(100%-[0]!discReach),Поезда!maxStyle)</definedName>
    <definedName name="styleDiscTotal" hidden="1">MAX((100%-splitDisc)*(100%-[0]!styleDisc)*(100%-agencyDisc)*(100%-[0]!discReach),[0]!maxStyle)</definedName>
    <definedName name="subscribeDisc" localSheetId="7" hidden="1">[6]SUBSCRIBE.RU!$E$63</definedName>
    <definedName name="subscribeDisc" hidden="1">[6]SUBSCRIBE.RU!$E$63</definedName>
    <definedName name="subscribeDiscTotal" localSheetId="1" hidden="1">MAX((100%-splitDisc)*(100%-[0]!subscribeDisc)*(100%-agencyDisc)*(100%-[0]!discReach),[0]!maxSubscribe)</definedName>
    <definedName name="subscribeDiscTotal" localSheetId="0" hidden="1">MAX((100%-Total!splitDisc)*(100%-[0]!subscribeDisc)*(100%-Total!agencyDisc)*(100%-[0]!discReach),[0]!maxSubscribe)</definedName>
    <definedName name="subscribeDiscTotal" localSheetId="7" hidden="1">MAX((100%-splitDisc)*(100%-Поезда!subscribeDisc)*(100%-Поезда!agencyDisc)*(100%-[0]!discReach),Поезда!maxSubscribe)</definedName>
    <definedName name="subscribeDiscTotal" hidden="1">MAX((100%-splitDisc)*(100%-[0]!subscribeDisc)*(100%-agencyDisc)*(100%-[0]!discReach),[0]!maxSubscribe)</definedName>
    <definedName name="supplier" localSheetId="0">#REF!</definedName>
    <definedName name="supplier" localSheetId="7">#REF!</definedName>
    <definedName name="supplier">#REF!</definedName>
    <definedName name="t" localSheetId="0">#REF!</definedName>
    <definedName name="t">#REF!</definedName>
    <definedName name="ta" localSheetId="0">#REF!</definedName>
    <definedName name="ta">#REF!</definedName>
    <definedName name="TABELLE" localSheetId="0">#REF!</definedName>
    <definedName name="TABELLE">#REF!</definedName>
    <definedName name="TABLE1" localSheetId="0">#REF!</definedName>
    <definedName name="TABLE1">#REF!</definedName>
    <definedName name="TABLE1_1" localSheetId="0">#REF!</definedName>
    <definedName name="TABLE1_1">#REF!</definedName>
    <definedName name="taft1" localSheetId="1" hidden="1">{#N/A,#N/A,TRUE,"Пресса";#N/A,#N/A,TRUE,"Метро";#N/A,#N/A,TRUE,"Щиты";#N/A,#N/A,TRUE,"График";#N/A,#N/A,TRUE,"График"}</definedName>
    <definedName name="taft1" localSheetId="0" hidden="1">{#N/A,#N/A,TRUE,"Пресса";#N/A,#N/A,TRUE,"Метро";#N/A,#N/A,TRUE,"Щиты";#N/A,#N/A,TRUE,"График";#N/A,#N/A,TRUE,"График"}</definedName>
    <definedName name="taft1" localSheetId="7" hidden="1">{#N/A,#N/A,TRUE,"Пресса";#N/A,#N/A,TRUE,"Метро";#N/A,#N/A,TRUE,"Щиты";#N/A,#N/A,TRUE,"График";#N/A,#N/A,TRUE,"График"}</definedName>
    <definedName name="taft1" hidden="1">{#N/A,#N/A,TRUE,"Пресса";#N/A,#N/A,TRUE,"Метро";#N/A,#N/A,TRUE,"Щиты";#N/A,#N/A,TRUE,"График";#N/A,#N/A,TRUE,"График"}</definedName>
    <definedName name="tc">#REF!</definedName>
    <definedName name="td" localSheetId="0">#REF!</definedName>
    <definedName name="td">#REF!</definedName>
    <definedName name="tecaj" localSheetId="0">#REF!</definedName>
    <definedName name="tecaj">#REF!</definedName>
    <definedName name="tecaj_1" localSheetId="0">#REF!</definedName>
    <definedName name="tecaj_1">#REF!</definedName>
    <definedName name="tecaj_frf" localSheetId="0">#REF!</definedName>
    <definedName name="tecaj_frf">#REF!</definedName>
    <definedName name="tecaj_frf_1" localSheetId="0">#REF!</definedName>
    <definedName name="tecaj_frf_1">#REF!</definedName>
    <definedName name="TelePlan">'[2]Data CpGRP'!$B$11</definedName>
    <definedName name="Telewizja" localSheetId="0">#REF!</definedName>
    <definedName name="Telewizja">#REF!</definedName>
    <definedName name="temp.xls" localSheetId="0">#REF!</definedName>
    <definedName name="temp.xls">#REF!</definedName>
    <definedName name="term" localSheetId="0">#REF!</definedName>
    <definedName name="term">#REF!</definedName>
    <definedName name="test" localSheetId="0">#REF!</definedName>
    <definedName name="test">#REF!</definedName>
    <definedName name="Titolo" localSheetId="0">#REF!</definedName>
    <definedName name="Titolo">#REF!</definedName>
    <definedName name="titre">"Texte 1"</definedName>
    <definedName name="total">#REF!</definedName>
    <definedName name="TOTCOM" localSheetId="0">#REF!</definedName>
    <definedName name="TOTCOM">#REF!</definedName>
    <definedName name="totquo" localSheetId="0">#REF!</definedName>
    <definedName name="totquo">#REF!</definedName>
    <definedName name="tt" localSheetId="0">#REF!</definedName>
    <definedName name="tt">#REF!</definedName>
    <definedName name="TV" localSheetId="1" hidden="1">{#N/A,#N/A,TRUE,"Пресса";#N/A,#N/A,TRUE,"Метро";#N/A,#N/A,TRUE,"Щиты";#N/A,#N/A,TRUE,"График";#N/A,#N/A,TRUE,"График"}</definedName>
    <definedName name="TV" localSheetId="0" hidden="1">{#N/A,#N/A,TRUE,"Пресса";#N/A,#N/A,TRUE,"Метро";#N/A,#N/A,TRUE,"Щиты";#N/A,#N/A,TRUE,"График";#N/A,#N/A,TRUE,"График"}</definedName>
    <definedName name="TV" localSheetId="7" hidden="1">{#N/A,#N/A,TRUE,"Пресса";#N/A,#N/A,TRUE,"Метро";#N/A,#N/A,TRUE,"Щиты";#N/A,#N/A,TRUE,"График";#N/A,#N/A,TRUE,"График"}</definedName>
    <definedName name="TV" hidden="1">{#N/A,#N/A,TRUE,"Пресса";#N/A,#N/A,TRUE,"Метро";#N/A,#N/A,TRUE,"Щиты";#N/A,#N/A,TRUE,"График";#N/A,#N/A,TRUE,"График"}</definedName>
    <definedName name="ty" localSheetId="0" hidden="1">[10]XLR_NoRangeSheet!$A$5</definedName>
    <definedName name="ty" localSheetId="7" hidden="1">[10]XLR_NoRangeSheet!$A$5</definedName>
    <definedName name="ty" hidden="1">[10]XLR_NoRangeSheet!$A$5</definedName>
    <definedName name="tyui" localSheetId="0">#REF!</definedName>
    <definedName name="tyui">#REF!</definedName>
    <definedName name="u" localSheetId="1" hidden="1">{#N/A,#N/A,TRUE,"Пресса";#N/A,#N/A,TRUE,"Метро";#N/A,#N/A,TRUE,"Щиты";#N/A,#N/A,TRUE,"График";#N/A,#N/A,TRUE,"График"}</definedName>
    <definedName name="u" localSheetId="0" hidden="1">{#N/A,#N/A,TRUE,"Пресса";#N/A,#N/A,TRUE,"Метро";#N/A,#N/A,TRUE,"Щиты";#N/A,#N/A,TRUE,"График";#N/A,#N/A,TRUE,"График"}</definedName>
    <definedName name="u" localSheetId="7" hidden="1">{#N/A,#N/A,TRUE,"Пресса";#N/A,#N/A,TRUE,"Метро";#N/A,#N/A,TRUE,"Щиты";#N/A,#N/A,TRUE,"График";#N/A,#N/A,TRUE,"График"}</definedName>
    <definedName name="u" hidden="1">{#N/A,#N/A,TRUE,"Пресса";#N/A,#N/A,TRUE,"Метро";#N/A,#N/A,TRUE,"Щиты";#N/A,#N/A,TRUE,"График";#N/A,#N/A,TRUE,"График"}</definedName>
    <definedName name="USIA" localSheetId="1" hidden="1">{"'siets LAT'!$J$95","'siets LAT'!$J$95"}</definedName>
    <definedName name="USIA" localSheetId="0" hidden="1">{"'siets LAT'!$J$95","'siets LAT'!$J$95"}</definedName>
    <definedName name="USIA" localSheetId="7" hidden="1">{"'siets LAT'!$J$95","'siets LAT'!$J$95"}</definedName>
    <definedName name="USIA" hidden="1">{"'siets LAT'!$J$95","'siets LAT'!$J$95"}</definedName>
    <definedName name="uu">#REF!</definedName>
    <definedName name="V_F0" localSheetId="7" hidden="1">[23]XLR_NoRangeSheet!$B$6</definedName>
    <definedName name="V_F0" hidden="1">[23]XLR_NoRangeSheet!$B$6</definedName>
    <definedName name="V_F1" localSheetId="7" hidden="1">[23]XLR_NoRangeSheet!$C$6</definedName>
    <definedName name="V_F1" hidden="1">[23]XLR_NoRangeSheet!$C$6</definedName>
    <definedName name="V_F10" localSheetId="7" hidden="1">[23]XLR_NoRangeSheet!$L$6</definedName>
    <definedName name="V_F10" hidden="1">[23]XLR_NoRangeSheet!$L$6</definedName>
    <definedName name="V_F11" localSheetId="7" hidden="1">[23]XLR_NoRangeSheet!$M$6</definedName>
    <definedName name="V_F11" hidden="1">[23]XLR_NoRangeSheet!$M$6</definedName>
    <definedName name="V_F12" localSheetId="7" hidden="1">[23]XLR_NoRangeSheet!$N$6</definedName>
    <definedName name="V_F12" hidden="1">[23]XLR_NoRangeSheet!$N$6</definedName>
    <definedName name="V_F13" localSheetId="7" hidden="1">[23]XLR_NoRangeSheet!$O$6</definedName>
    <definedName name="V_F13" hidden="1">[23]XLR_NoRangeSheet!$O$6</definedName>
    <definedName name="V_F14" hidden="1">[24]XLR_NoRangeSheet!$P$6</definedName>
    <definedName name="V_F15" hidden="1">[24]XLR_NoRangeSheet!$Q$6</definedName>
    <definedName name="V_F2" localSheetId="7" hidden="1">[23]XLR_NoRangeSheet!$D$6</definedName>
    <definedName name="V_F2" hidden="1">[23]XLR_NoRangeSheet!$D$6</definedName>
    <definedName name="V_F3" localSheetId="7" hidden="1">[23]XLR_NoRangeSheet!$E$6</definedName>
    <definedName name="V_F3" hidden="1">[23]XLR_NoRangeSheet!$E$6</definedName>
    <definedName name="V_F4" localSheetId="7" hidden="1">[23]XLR_NoRangeSheet!$F$6</definedName>
    <definedName name="V_F4" hidden="1">[23]XLR_NoRangeSheet!$F$6</definedName>
    <definedName name="V_F5" localSheetId="7" hidden="1">[23]XLR_NoRangeSheet!$G$6</definedName>
    <definedName name="V_F5" hidden="1">[23]XLR_NoRangeSheet!$G$6</definedName>
    <definedName name="V_F6" localSheetId="7" hidden="1">[23]XLR_NoRangeSheet!$H$6</definedName>
    <definedName name="V_F6" hidden="1">[23]XLR_NoRangeSheet!$H$6</definedName>
    <definedName name="V_F7" localSheetId="7" hidden="1">[23]XLR_NoRangeSheet!$I$6</definedName>
    <definedName name="V_F7" hidden="1">[23]XLR_NoRangeSheet!$I$6</definedName>
    <definedName name="V_F8" localSheetId="7" hidden="1">[23]XLR_NoRangeSheet!$J$6</definedName>
    <definedName name="V_F8" hidden="1">[23]XLR_NoRangeSheet!$J$6</definedName>
    <definedName name="V_F9" localSheetId="7" hidden="1">[23]XLR_NoRangeSheet!$K$6</definedName>
    <definedName name="V_F9" hidden="1">[23]XLR_NoRangeSheet!$K$6</definedName>
    <definedName name="va" hidden="1">27</definedName>
    <definedName name="vaffanculo">#REF!</definedName>
    <definedName name="vasia" localSheetId="1" hidden="1">{"'siets LAT'!$J$95","'siets LAT'!$J$95"}</definedName>
    <definedName name="vasia" localSheetId="0" hidden="1">{"'siets LAT'!$J$95","'siets LAT'!$J$95"}</definedName>
    <definedName name="vasia" localSheetId="7" hidden="1">{"'siets LAT'!$J$95","'siets LAT'!$J$95"}</definedName>
    <definedName name="vasia" hidden="1">{"'siets LAT'!$J$95","'siets LAT'!$J$95"}</definedName>
    <definedName name="vdsydv" localSheetId="1" hidden="1">{#N/A,#N/A,FALSE,"Kostenplan"}</definedName>
    <definedName name="vdsydv" localSheetId="0" hidden="1">{#N/A,#N/A,FALSE,"Kostenplan"}</definedName>
    <definedName name="vdsydv" localSheetId="7" hidden="1">{#N/A,#N/A,FALSE,"Kostenplan"}</definedName>
    <definedName name="vdsydv" hidden="1">{#N/A,#N/A,FALSE,"Kostenplan"}</definedName>
    <definedName name="ver" localSheetId="1" hidden="1">{#N/A,#N/A,TRUE,"Пресса";#N/A,#N/A,TRUE,"Метро";#N/A,#N/A,TRUE,"Щиты";#N/A,#N/A,TRUE,"График";#N/A,#N/A,TRUE,"График"}</definedName>
    <definedName name="ver" localSheetId="0" hidden="1">{#N/A,#N/A,TRUE,"Пресса";#N/A,#N/A,TRUE,"Метро";#N/A,#N/A,TRUE,"Щиты";#N/A,#N/A,TRUE,"График";#N/A,#N/A,TRUE,"График"}</definedName>
    <definedName name="ver" localSheetId="7" hidden="1">{#N/A,#N/A,TRUE,"Пресса";#N/A,#N/A,TRUE,"Метро";#N/A,#N/A,TRUE,"Щиты";#N/A,#N/A,TRUE,"График";#N/A,#N/A,TRUE,"График"}</definedName>
    <definedName name="ver" hidden="1">{#N/A,#N/A,TRUE,"Пресса";#N/A,#N/A,TRUE,"Метро";#N/A,#N/A,TRUE,"Щиты";#N/A,#N/A,TRUE,"График";#N/A,#N/A,TRUE,"График"}</definedName>
    <definedName name="vg">#REF!</definedName>
    <definedName name="vokrugDisc" localSheetId="7" hidden="1">[6]VOKRUGSVETA.RU!$E$46</definedName>
    <definedName name="vokrugDisc" hidden="1">[6]VOKRUGSVETA.RU!$E$46</definedName>
    <definedName name="vokrugDiscTotal" localSheetId="1" hidden="1">MAX((100%-splitDisc)*(100%-[0]!vokrugDisc)*(100%-agencyDisc)*(100%-[0]!discReach),[0]!maxVokrug)</definedName>
    <definedName name="vokrugDiscTotal" localSheetId="0" hidden="1">MAX((100%-Total!splitDisc)*(100%-[0]!vokrugDisc)*(100%-Total!agencyDisc)*(100%-[0]!discReach),[0]!maxVokrug)</definedName>
    <definedName name="vokrugDiscTotal" localSheetId="7" hidden="1">MAX((100%-splitDisc)*(100%-Поезда!vokrugDisc)*(100%-Поезда!agencyDisc)*(100%-[0]!discReach),Поезда!maxVokrug)</definedName>
    <definedName name="vokrugDiscTotal" hidden="1">MAX((100%-splitDisc)*(100%-[0]!vokrugDisc)*(100%-agencyDisc)*(100%-[0]!discReach),[0]!maxVokrug)</definedName>
    <definedName name="volume" localSheetId="0">#REF!</definedName>
    <definedName name="volume" localSheetId="7">#REF!</definedName>
    <definedName name="volume">#REF!</definedName>
    <definedName name="Volumen" localSheetId="0">#REF!</definedName>
    <definedName name="Volumen">#REF!</definedName>
    <definedName name="Vorspalte_1" localSheetId="0">#REF!</definedName>
    <definedName name="Vorspalte_1">#REF!</definedName>
    <definedName name="Vorspalte_3" localSheetId="0">#REF!</definedName>
    <definedName name="Vorspalte_3">#REF!</definedName>
    <definedName name="VP" localSheetId="1" hidden="1">{"'siets LAT'!$J$95","'siets LAT'!$J$95"}</definedName>
    <definedName name="VP" localSheetId="0" hidden="1">{"'siets LAT'!$J$95","'siets LAT'!$J$95"}</definedName>
    <definedName name="VP" localSheetId="7" hidden="1">{"'siets LAT'!$J$95","'siets LAT'!$J$95"}</definedName>
    <definedName name="VP" hidden="1">{"'siets LAT'!$J$95","'siets LAT'!$J$95"}</definedName>
    <definedName name="VW_SKODA">#REF!</definedName>
    <definedName name="vzglyadDisc" localSheetId="7" hidden="1">[6]VZGLYAD.RU!$E$51</definedName>
    <definedName name="vzglyadDisc" hidden="1">[6]VZGLYAD.RU!$E$51</definedName>
    <definedName name="vzglyadDiscTotal" localSheetId="1" hidden="1">MAX((100%-splitDisc)*(100%-[0]!vzglyadDisc)*(100%-agencyDisc)*(100%-[0]!discReach),[0]!maxVzglyad)</definedName>
    <definedName name="vzglyadDiscTotal" localSheetId="0" hidden="1">MAX((100%-Total!splitDisc)*(100%-[0]!vzglyadDisc)*(100%-Total!agencyDisc)*(100%-[0]!discReach),[0]!maxVzglyad)</definedName>
    <definedName name="vzglyadDiscTotal" localSheetId="7" hidden="1">MAX((100%-splitDisc)*(100%-Поезда!vzglyadDisc)*(100%-Поезда!agencyDisc)*(100%-[0]!discReach),Поезда!maxVzglyad)</definedName>
    <definedName name="vzglyadDiscTotal" hidden="1">MAX((100%-splitDisc)*(100%-[0]!vzglyadDisc)*(100%-agencyDisc)*(100%-[0]!discReach),[0]!maxVzglyad)</definedName>
    <definedName name="w" localSheetId="1" hidden="1">{"'siets LAT'!$J$95","'siets LAT'!$J$95"}</definedName>
    <definedName name="w" localSheetId="0" hidden="1">{"'siets LAT'!$J$95","'siets LAT'!$J$95"}</definedName>
    <definedName name="w" localSheetId="7" hidden="1">{"'siets LAT'!$J$95","'siets LAT'!$J$95"}</definedName>
    <definedName name="w" hidden="1">{"'siets LAT'!$J$95","'siets LAT'!$J$95"}</definedName>
    <definedName name="wege">#REF!</definedName>
    <definedName name="weger" localSheetId="0">#REF!</definedName>
    <definedName name="weger">#REF!</definedName>
    <definedName name="wger" localSheetId="0">#REF!</definedName>
    <definedName name="wger">#REF!</definedName>
    <definedName name="wgw" localSheetId="0">#REF!</definedName>
    <definedName name="wgw">#REF!</definedName>
    <definedName name="wree2" hidden="1">4</definedName>
    <definedName name="wrn.astek." localSheetId="1" hidden="1">{#N/A,#N/A,TRUE,"Пресса";#N/A,#N/A,TRUE,"Метро";#N/A,#N/A,TRUE,"Щиты";#N/A,#N/A,TRUE,"График";#N/A,#N/A,TRUE,"График"}</definedName>
    <definedName name="wrn.astek." localSheetId="0" hidden="1">{#N/A,#N/A,TRUE,"Пресса";#N/A,#N/A,TRUE,"Метро";#N/A,#N/A,TRUE,"Щиты";#N/A,#N/A,TRUE,"График";#N/A,#N/A,TRUE,"График"}</definedName>
    <definedName name="wrn.astek." localSheetId="7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astek.2" localSheetId="1" hidden="1">{#N/A,#N/A,TRUE,"Пресса";#N/A,#N/A,TRUE,"Метро";#N/A,#N/A,TRUE,"Щиты";#N/A,#N/A,TRUE,"График";#N/A,#N/A,TRUE,"График"}</definedName>
    <definedName name="wrn.astek.2" localSheetId="0" hidden="1">{#N/A,#N/A,TRUE,"Пресса";#N/A,#N/A,TRUE,"Метро";#N/A,#N/A,TRUE,"Щиты";#N/A,#N/A,TRUE,"График";#N/A,#N/A,TRUE,"График"}</definedName>
    <definedName name="wrn.astek.2" localSheetId="7" hidden="1">{#N/A,#N/A,TRUE,"Пресса";#N/A,#N/A,TRUE,"Метро";#N/A,#N/A,TRUE,"Щиты";#N/A,#N/A,TRUE,"График";#N/A,#N/A,TRUE,"График"}</definedName>
    <definedName name="wrn.astek.2" hidden="1">{#N/A,#N/A,TRUE,"Пресса";#N/A,#N/A,TRUE,"Метро";#N/A,#N/A,TRUE,"Щиты";#N/A,#N/A,TRUE,"График";#N/A,#N/A,TRUE,"График"}</definedName>
    <definedName name="wrn.astek.ars" localSheetId="1" hidden="1">{#N/A,#N/A,TRUE,"Пресса";#N/A,#N/A,TRUE,"Метро";#N/A,#N/A,TRUE,"Щиты";#N/A,#N/A,TRUE,"График";#N/A,#N/A,TRUE,"График"}</definedName>
    <definedName name="wrn.astek.ars" localSheetId="0" hidden="1">{#N/A,#N/A,TRUE,"Пресса";#N/A,#N/A,TRUE,"Метро";#N/A,#N/A,TRUE,"Щиты";#N/A,#N/A,TRUE,"График";#N/A,#N/A,TRUE,"График"}</definedName>
    <definedName name="wrn.astek.ars" localSheetId="7" hidden="1">{#N/A,#N/A,TRUE,"Пресса";#N/A,#N/A,TRUE,"Метро";#N/A,#N/A,TRUE,"Щиты";#N/A,#N/A,TRUE,"График";#N/A,#N/A,TRUE,"График"}</definedName>
    <definedName name="wrn.astek.ars" hidden="1">{#N/A,#N/A,TRUE,"Пресса";#N/A,#N/A,TRUE,"Метро";#N/A,#N/A,TRUE,"Щиты";#N/A,#N/A,TRUE,"График";#N/A,#N/A,TRUE,"График"}</definedName>
    <definedName name="wrn.astek.fos" localSheetId="1" hidden="1">{#N/A,#N/A,TRUE,"Пресса";#N/A,#N/A,TRUE,"Метро";#N/A,#N/A,TRUE,"Щиты";#N/A,#N/A,TRUE,"График";#N/A,#N/A,TRUE,"График"}</definedName>
    <definedName name="wrn.astek.fos" localSheetId="0" hidden="1">{#N/A,#N/A,TRUE,"Пресса";#N/A,#N/A,TRUE,"Метро";#N/A,#N/A,TRUE,"Щиты";#N/A,#N/A,TRUE,"График";#N/A,#N/A,TRUE,"График"}</definedName>
    <definedName name="wrn.astek.fos" localSheetId="7" hidden="1">{#N/A,#N/A,TRUE,"Пресса";#N/A,#N/A,TRUE,"Метро";#N/A,#N/A,TRUE,"Щиты";#N/A,#N/A,TRUE,"График";#N/A,#N/A,TRUE,"График"}</definedName>
    <definedName name="wrn.astek.fos" hidden="1">{#N/A,#N/A,TRUE,"Пресса";#N/A,#N/A,TRUE,"Метро";#N/A,#N/A,TRUE,"Щиты";#N/A,#N/A,TRUE,"График";#N/A,#N/A,TRUE,"График"}</definedName>
    <definedName name="wrn.Kostenplan._.national." localSheetId="1" hidden="1">{#N/A,#N/A,FALSE,"Kostenplan"}</definedName>
    <definedName name="wrn.Kostenplan._.national." localSheetId="0" hidden="1">{#N/A,#N/A,FALSE,"Kostenplan"}</definedName>
    <definedName name="wrn.Kostenplan._.national." localSheetId="7" hidden="1">{#N/A,#N/A,FALSE,"Kostenplan"}</definedName>
    <definedName name="wrn.Kostenplan._.national." hidden="1">{#N/A,#N/A,FALSE,"Kostenplan"}</definedName>
    <definedName name="wrn.test." localSheetId="1" hidden="1">{"Valuation_Common",#N/A,FALSE,"Valuation"}</definedName>
    <definedName name="wrn.test." localSheetId="0" hidden="1">{"Valuation_Common",#N/A,FALSE,"Valuation"}</definedName>
    <definedName name="wrn.test." localSheetId="7" hidden="1">{"Valuation_Common",#N/A,FALSE,"Valuation"}</definedName>
    <definedName name="wrn.test." hidden="1">{"Valuation_Common",#N/A,FALSE,"Valuation"}</definedName>
    <definedName name="wxcv">#REF!</definedName>
    <definedName name="x" localSheetId="0">#REF!</definedName>
    <definedName name="x">#REF!</definedName>
    <definedName name="XLR_ERRNAMESTR" localSheetId="0" hidden="1">[10]XLR_NoRangeSheet!$B$5</definedName>
    <definedName name="XLR_ERRNAMESTR" localSheetId="7" hidden="1">[10]XLR_NoRangeSheet!$B$5</definedName>
    <definedName name="XLR_ERRNAMESTR" hidden="1">[10]XLR_NoRangeSheet!$B$5</definedName>
    <definedName name="XLR_VERSION" localSheetId="0" hidden="1">[10]XLR_NoRangeSheet!$A$5</definedName>
    <definedName name="XLR_VERSION" localSheetId="7" hidden="1">[10]XLR_NoRangeSheet!$A$5</definedName>
    <definedName name="XLR_VERSION" hidden="1">[10]XLR_NoRangeSheet!$A$5</definedName>
    <definedName name="XX" localSheetId="0">#REF!</definedName>
    <definedName name="XX">#REF!</definedName>
    <definedName name="XXX" localSheetId="0">'[25]MP 2008'!#REF!</definedName>
    <definedName name="XXX">'[25]MP 2008'!#REF!</definedName>
    <definedName name="y" localSheetId="1" hidden="1">{#N/A,#N/A,TRUE,"Пресса";#N/A,#N/A,TRUE,"Метро";#N/A,#N/A,TRUE,"Щиты";#N/A,#N/A,TRUE,"График";#N/A,#N/A,TRUE,"График"}</definedName>
    <definedName name="y" localSheetId="0" hidden="1">{#N/A,#N/A,TRUE,"Пресса";#N/A,#N/A,TRUE,"Метро";#N/A,#N/A,TRUE,"Щиты";#N/A,#N/A,TRUE,"График";#N/A,#N/A,TRUE,"График"}</definedName>
    <definedName name="y" localSheetId="7" hidden="1">{#N/A,#N/A,TRUE,"Пресса";#N/A,#N/A,TRUE,"Метро";#N/A,#N/A,TRUE,"Щиты";#N/A,#N/A,TRUE,"График";#N/A,#N/A,TRUE,"График"}</definedName>
    <definedName name="y" hidden="1">{#N/A,#N/A,TRUE,"Пресса";#N/A,#N/A,TRUE,"Метро";#N/A,#N/A,TRUE,"Щиты";#N/A,#N/A,TRUE,"График";#N/A,#N/A,TRUE,"График"}</definedName>
    <definedName name="yaDisc" localSheetId="7" hidden="1">[6]YANDEX.RU!$E$58</definedName>
    <definedName name="yaDisc" hidden="1">[6]YANDEX.RU!$E$58</definedName>
    <definedName name="yaDiscTotal" localSheetId="1" hidden="1">MAX((100%-splitDisc)*(100%-[0]!yaDisc)*(100%-agencyDisc)*(100%-[0]!discReach),[0]!maxYa)</definedName>
    <definedName name="yaDiscTotal" localSheetId="0" hidden="1">MAX((100%-Total!splitDisc)*(100%-[0]!yaDisc)*(100%-Total!agencyDisc)*(100%-[0]!discReach),[0]!maxYa)</definedName>
    <definedName name="yaDiscTotal" localSheetId="7" hidden="1">MAX((100%-splitDisc)*(100%-Поезда!yaDisc)*(100%-Поезда!agencyDisc)*(100%-[0]!discReach),Поезда!maxYa)</definedName>
    <definedName name="yaDiscTotal" hidden="1">MAX((100%-splitDisc)*(100%-[0]!yaDisc)*(100%-agencyDisc)*(100%-[0]!discReach),[0]!maxYa)</definedName>
    <definedName name="Z_6C8421F6_CFBF_4FDF_B4DC_68139B9CA901_.wvu.Cols" localSheetId="0" hidden="1">#REF!,#REF!</definedName>
    <definedName name="Z_6C8421F6_CFBF_4FDF_B4DC_68139B9CA901_.wvu.Cols" localSheetId="7" hidden="1">#REF!,#REF!</definedName>
    <definedName name="Z_6C8421F6_CFBF_4FDF_B4DC_68139B9CA901_.wvu.Cols" hidden="1">#REF!,#REF!</definedName>
    <definedName name="Z_EE74EB5D_6A9A_434D_951C_A4EF7F3B129B_.wvu.FilterData" localSheetId="0" hidden="1">#REF!</definedName>
    <definedName name="Z_EE74EB5D_6A9A_434D_951C_A4EF7F3B129B_.wvu.FilterData" hidden="1">#REF!</definedName>
    <definedName name="zd" hidden="1">#N/A</definedName>
    <definedName name="Zielgruppe">'[2]Data CpGRP'!$B$10</definedName>
    <definedName name="ZZ" localSheetId="0">#REF!</definedName>
    <definedName name="ZZ">#REF!</definedName>
    <definedName name="АААФ" localSheetId="0">#REF!</definedName>
    <definedName name="АААФ">#REF!</definedName>
    <definedName name="арапр" localSheetId="3" hidden="1">OFFSET(Anch,MATCH("Amedia.ru",resList,0),3,COUNTIF(resList,"Amedia.ru")-1,1)</definedName>
    <definedName name="арапр" localSheetId="2" hidden="1">OFFSET(Anch,MATCH("Amedia.ru",resList,0),3,COUNTIF(resList,"Amedia.ru")-1,1)</definedName>
    <definedName name="арапр" localSheetId="1" hidden="1">OFFSET(Anch,MATCH("Amedia.ru",resList,0),3,COUNTIF(resList,"Amedia.ru")-1,1)</definedName>
    <definedName name="арапр" localSheetId="0" hidden="1">OFFSET(Anch,MATCH("Amedia.ru",resList,0),3,COUNTIF(resList,"Amedia.ru")-1,1)</definedName>
    <definedName name="арапр" localSheetId="6" hidden="1">OFFSET(Anch,MATCH("Amedia.ru",resList,0),3,COUNTIF(resList,"Amedia.ru")-1,1)</definedName>
    <definedName name="арапр" localSheetId="5" hidden="1">OFFSET(Anch,MATCH("Amedia.ru",resList,0),3,COUNTIF(resList,"Amedia.ru")-1,1)</definedName>
    <definedName name="арапр" localSheetId="7" hidden="1">OFFSET(Anch,MATCH("Amedia.ru",resList,0),3,COUNTIF(resList,"Amedia.ru")-1,1)</definedName>
    <definedName name="арапр" localSheetId="4" hidden="1">OFFSET(Anch,MATCH("Amedia.ru",resList,0),3,COUNTIF(resList,"Amedia.ru")-1,1)</definedName>
    <definedName name="арапр" hidden="1">OFFSET(Anch,MATCH("Amedia.ru",resList,0),3,COUNTIF(resList,"Amedia.ru")-1,1)</definedName>
    <definedName name="б" localSheetId="1" hidden="1">{#N/A,#N/A,TRUE,"Пресса";#N/A,#N/A,TRUE,"Метро";#N/A,#N/A,TRUE,"Щиты";#N/A,#N/A,TRUE,"График";#N/A,#N/A,TRUE,"График"}</definedName>
    <definedName name="б" localSheetId="0" hidden="1">{#N/A,#N/A,TRUE,"Пресса";#N/A,#N/A,TRUE,"Метро";#N/A,#N/A,TRUE,"Щиты";#N/A,#N/A,TRUE,"График";#N/A,#N/A,TRUE,"График"}</definedName>
    <definedName name="б" localSheetId="7" hidden="1">{#N/A,#N/A,TRUE,"Пресса";#N/A,#N/A,TRUE,"Метро";#N/A,#N/A,TRUE,"Щиты";#N/A,#N/A,TRUE,"График";#N/A,#N/A,TRUE,"График"}</definedName>
    <definedName name="б" hidden="1">{#N/A,#N/A,TRUE,"Пресса";#N/A,#N/A,TRUE,"Метро";#N/A,#N/A,TRUE,"Щиты";#N/A,#N/A,TRUE,"График";#N/A,#N/A,TRUE,"График"}</definedName>
    <definedName name="_xlnm.Database" localSheetId="0">#REF!</definedName>
    <definedName name="_xlnm.Database">#REF!</definedName>
    <definedName name="ввв" localSheetId="1" hidden="1">{#N/A,#N/A,TRUE,"Пресса";#N/A,#N/A,TRUE,"Метро";#N/A,#N/A,TRUE,"Щиты";#N/A,#N/A,TRUE,"График";#N/A,#N/A,TRUE,"График"}</definedName>
    <definedName name="ввв" localSheetId="0" hidden="1">{#N/A,#N/A,TRUE,"Пресса";#N/A,#N/A,TRUE,"Метро";#N/A,#N/A,TRUE,"Щиты";#N/A,#N/A,TRUE,"График";#N/A,#N/A,TRUE,"График"}</definedName>
    <definedName name="ввв" localSheetId="7" hidden="1">{#N/A,#N/A,TRUE,"Пресса";#N/A,#N/A,TRUE,"Метро";#N/A,#N/A,TRUE,"Щиты";#N/A,#N/A,TRUE,"График";#N/A,#N/A,TRUE,"График"}</definedName>
    <definedName name="ввв" hidden="1">{#N/A,#N/A,TRUE,"Пресса";#N/A,#N/A,TRUE,"Метро";#N/A,#N/A,TRUE,"Щиты";#N/A,#N/A,TRUE,"График";#N/A,#N/A,TRUE,"График"}</definedName>
    <definedName name="днп" hidden="1">#REF!</definedName>
    <definedName name="_xlnm.Print_Titles" localSheetId="0">#REF!</definedName>
    <definedName name="_xlnm.Print_Titles">#REF!</definedName>
    <definedName name="зщд" hidden="1">4</definedName>
    <definedName name="_xlnm.Extract" localSheetId="0">#REF!</definedName>
    <definedName name="_xlnm.Extract">#REF!</definedName>
    <definedName name="йф" localSheetId="0" hidden="1">#REF!</definedName>
    <definedName name="йф" hidden="1">#REF!</definedName>
    <definedName name="йцйцыычмии" localSheetId="0">#REF!</definedName>
    <definedName name="йцйцыычмии">#REF!</definedName>
    <definedName name="йцццй" localSheetId="1" hidden="1">{#N/A,#N/A,TRUE,"Пресса";#N/A,#N/A,TRUE,"Метро";#N/A,#N/A,TRUE,"Щиты";#N/A,#N/A,TRUE,"График";#N/A,#N/A,TRUE,"График"}</definedName>
    <definedName name="йцццй" localSheetId="0" hidden="1">{#N/A,#N/A,TRUE,"Пресса";#N/A,#N/A,TRUE,"Метро";#N/A,#N/A,TRUE,"Щиты";#N/A,#N/A,TRUE,"График";#N/A,#N/A,TRUE,"График"}</definedName>
    <definedName name="йцццй" localSheetId="7" hidden="1">{#N/A,#N/A,TRUE,"Пресса";#N/A,#N/A,TRUE,"Метро";#N/A,#N/A,TRUE,"Щиты";#N/A,#N/A,TRUE,"График";#N/A,#N/A,TRUE,"График"}</definedName>
    <definedName name="йцццй" hidden="1">{#N/A,#N/A,TRUE,"Пресса";#N/A,#N/A,TRUE,"Метро";#N/A,#N/A,TRUE,"Щиты";#N/A,#N/A,TRUE,"График";#N/A,#N/A,TRUE,"График"}</definedName>
    <definedName name="комб">#REF!</definedName>
    <definedName name="_xlnm.Criteria" localSheetId="0">[26]Kostenplan!#REF!</definedName>
    <definedName name="_xlnm.Criteria">[26]Kostenplan!#REF!</definedName>
    <definedName name="куукку" localSheetId="3" hidden="1">OFFSET(Anch,MATCH("Expert.ru",resList,0),3,COUNTIF(resList,"Expert.ru")-1,1)</definedName>
    <definedName name="куукку" localSheetId="2" hidden="1">OFFSET(Anch,MATCH("Expert.ru",resList,0),3,COUNTIF(resList,"Expert.ru")-1,1)</definedName>
    <definedName name="куукку" localSheetId="1" hidden="1">OFFSET(Anch,MATCH("Expert.ru",resList,0),3,COUNTIF(resList,"Expert.ru")-1,1)</definedName>
    <definedName name="куукку" localSheetId="0" hidden="1">OFFSET(Anch,MATCH("Expert.ru",resList,0),3,COUNTIF(resList,"Expert.ru")-1,1)</definedName>
    <definedName name="куукку" localSheetId="6" hidden="1">OFFSET(Anch,MATCH("Expert.ru",resList,0),3,COUNTIF(resList,"Expert.ru")-1,1)</definedName>
    <definedName name="куукку" localSheetId="5" hidden="1">OFFSET(Anch,MATCH("Expert.ru",resList,0),3,COUNTIF(resList,"Expert.ru")-1,1)</definedName>
    <definedName name="куукку" localSheetId="7" hidden="1">OFFSET(Anch,MATCH("Expert.ru",resList,0),3,COUNTIF(resList,"Expert.ru")-1,1)</definedName>
    <definedName name="куукку" localSheetId="4" hidden="1">OFFSET(Anch,MATCH("Expert.ru",resList,0),3,COUNTIF(resList,"Expert.ru")-1,1)</definedName>
    <definedName name="куукку" hidden="1">OFFSET(Anch,MATCH("Expert.ru",resList,0),3,COUNTIF(resList,"Expert.ru")-1,1)</definedName>
    <definedName name="Кууку" localSheetId="3" hidden="1">OFFSET(Anch,MATCH("Expert.ru",resList,0),3,COUNTIF(resList,"Expert.ru")-1,1)</definedName>
    <definedName name="Кууку" localSheetId="2" hidden="1">OFFSET(Anch,MATCH("Expert.ru",resList,0),3,COUNTIF(resList,"Expert.ru")-1,1)</definedName>
    <definedName name="Кууку" localSheetId="1" hidden="1">OFFSET(Anch,MATCH("Expert.ru",resList,0),3,COUNTIF(resList,"Expert.ru")-1,1)</definedName>
    <definedName name="Кууку" localSheetId="0" hidden="1">OFFSET(Anch,MATCH("Expert.ru",resList,0),3,COUNTIF(resList,"Expert.ru")-1,1)</definedName>
    <definedName name="Кууку" localSheetId="6" hidden="1">OFFSET(Anch,MATCH("Expert.ru",resList,0),3,COUNTIF(resList,"Expert.ru")-1,1)</definedName>
    <definedName name="Кууку" localSheetId="5" hidden="1">OFFSET(Anch,MATCH("Expert.ru",resList,0),3,COUNTIF(resList,"Expert.ru")-1,1)</definedName>
    <definedName name="Кууку" localSheetId="7" hidden="1">OFFSET(Anch,MATCH("Expert.ru",resList,0),3,COUNTIF(resList,"Expert.ru")-1,1)</definedName>
    <definedName name="Кууку" localSheetId="4" hidden="1">OFFSET(Anch,MATCH("Expert.ru",resList,0),3,COUNTIF(resList,"Expert.ru")-1,1)</definedName>
    <definedName name="Кууку" hidden="1">OFFSET(Anch,MATCH("Expert.ru",resList,0),3,COUNTIF(resList,"Expert.ru")-1,1)</definedName>
    <definedName name="л" localSheetId="1" hidden="1">{#N/A,#N/A,TRUE,"Пресса";#N/A,#N/A,TRUE,"Метро";#N/A,#N/A,TRUE,"Щиты";#N/A,#N/A,TRUE,"График";#N/A,#N/A,TRUE,"График"}</definedName>
    <definedName name="л" localSheetId="0" hidden="1">{#N/A,#N/A,TRUE,"Пресса";#N/A,#N/A,TRUE,"Метро";#N/A,#N/A,TRUE,"Щиты";#N/A,#N/A,TRUE,"График";#N/A,#N/A,TRUE,"График"}</definedName>
    <definedName name="л" localSheetId="7" hidden="1">{#N/A,#N/A,TRUE,"Пресса";#N/A,#N/A,TRUE,"Метро";#N/A,#N/A,TRUE,"Щиты";#N/A,#N/A,TRUE,"График";#N/A,#N/A,TRUE,"График"}</definedName>
    <definedName name="л" hidden="1">{#N/A,#N/A,TRUE,"Пресса";#N/A,#N/A,TRUE,"Метро";#N/A,#N/A,TRUE,"Щиты";#N/A,#N/A,TRUE,"График";#N/A,#N/A,TRUE,"График"}</definedName>
    <definedName name="л2" localSheetId="1" hidden="1">{#N/A,#N/A,TRUE,"Пресса";#N/A,#N/A,TRUE,"Метро";#N/A,#N/A,TRUE,"Щиты";#N/A,#N/A,TRUE,"График";#N/A,#N/A,TRUE,"График"}</definedName>
    <definedName name="л2" localSheetId="0" hidden="1">{#N/A,#N/A,TRUE,"Пресса";#N/A,#N/A,TRUE,"Метро";#N/A,#N/A,TRUE,"Щиты";#N/A,#N/A,TRUE,"График";#N/A,#N/A,TRUE,"График"}</definedName>
    <definedName name="л2" localSheetId="7" hidden="1">{#N/A,#N/A,TRUE,"Пресса";#N/A,#N/A,TRUE,"Метро";#N/A,#N/A,TRUE,"Щиты";#N/A,#N/A,TRUE,"График";#N/A,#N/A,TRUE,"График"}</definedName>
    <definedName name="л2" hidden="1">{#N/A,#N/A,TRUE,"Пресса";#N/A,#N/A,TRUE,"Метро";#N/A,#N/A,TRUE,"Щиты";#N/A,#N/A,TRUE,"График";#N/A,#N/A,TRUE,"График"}</definedName>
    <definedName name="лars" localSheetId="1" hidden="1">{#N/A,#N/A,TRUE,"Пресса";#N/A,#N/A,TRUE,"Метро";#N/A,#N/A,TRUE,"Щиты";#N/A,#N/A,TRUE,"График";#N/A,#N/A,TRUE,"График"}</definedName>
    <definedName name="лars" localSheetId="0" hidden="1">{#N/A,#N/A,TRUE,"Пресса";#N/A,#N/A,TRUE,"Метро";#N/A,#N/A,TRUE,"Щиты";#N/A,#N/A,TRUE,"График";#N/A,#N/A,TRUE,"График"}</definedName>
    <definedName name="лars" localSheetId="7" hidden="1">{#N/A,#N/A,TRUE,"Пресса";#N/A,#N/A,TRUE,"Метро";#N/A,#N/A,TRUE,"Щиты";#N/A,#N/A,TRUE,"График";#N/A,#N/A,TRUE,"График"}</definedName>
    <definedName name="лars" hidden="1">{#N/A,#N/A,TRUE,"Пресса";#N/A,#N/A,TRUE,"Метро";#N/A,#N/A,TRUE,"Щиты";#N/A,#N/A,TRUE,"График";#N/A,#N/A,TRUE,"График"}</definedName>
    <definedName name="лfos" localSheetId="1" hidden="1">{#N/A,#N/A,TRUE,"Пресса";#N/A,#N/A,TRUE,"Метро";#N/A,#N/A,TRUE,"Щиты";#N/A,#N/A,TRUE,"График";#N/A,#N/A,TRUE,"График"}</definedName>
    <definedName name="лfos" localSheetId="0" hidden="1">{#N/A,#N/A,TRUE,"Пресса";#N/A,#N/A,TRUE,"Метро";#N/A,#N/A,TRUE,"Щиты";#N/A,#N/A,TRUE,"График";#N/A,#N/A,TRUE,"График"}</definedName>
    <definedName name="лfos" localSheetId="7" hidden="1">{#N/A,#N/A,TRUE,"Пресса";#N/A,#N/A,TRUE,"Метро";#N/A,#N/A,TRUE,"Щиты";#N/A,#N/A,TRUE,"График";#N/A,#N/A,TRUE,"График"}</definedName>
    <definedName name="лfos" hidden="1">{#N/A,#N/A,TRUE,"Пресса";#N/A,#N/A,TRUE,"Метро";#N/A,#N/A,TRUE,"Щиты";#N/A,#N/A,TRUE,"График";#N/A,#N/A,TRUE,"График"}</definedName>
    <definedName name="лж" localSheetId="1" hidden="1">OFFSET(Anch,MATCH("Echo.Msk.ru",resList,0),3,COUNTIF(resList,"Echo.Msk.ru")-1,1)</definedName>
    <definedName name="лж" localSheetId="0" hidden="1">OFFSET(Anch,MATCH("Echo.Msk.ru",resList,0),3,COUNTIF(resList,"Echo.Msk.ru")-1,1)</definedName>
    <definedName name="лж" localSheetId="6" hidden="1">OFFSET(Anch,MATCH("Echo.Msk.ru",resList,0),3,COUNTIF(resList,"Echo.Msk.ru")-1,1)</definedName>
    <definedName name="лж" localSheetId="7" hidden="1">OFFSET(Anch,MATCH("Echo.Msk.ru",resList,0),3,COUNTIF(resList,"Echo.Msk.ru")-1,1)</definedName>
    <definedName name="лж" hidden="1">OFFSET(Anch,MATCH("Echo.Msk.ru",resList,0),3,COUNTIF(resList,"Echo.Msk.ru")-1,1)</definedName>
    <definedName name="о" localSheetId="0" hidden="1">[10]XLR_NoRangeSheet!$A$5</definedName>
    <definedName name="о" localSheetId="7" hidden="1">[10]XLR_NoRangeSheet!$A$5</definedName>
    <definedName name="о" hidden="1">[10]XLR_NoRangeSheet!$A$5</definedName>
    <definedName name="олд" hidden="1">27</definedName>
    <definedName name="ор" localSheetId="0" hidden="1">[10]XLR_NoRangeSheet!$A$5</definedName>
    <definedName name="ор" localSheetId="7" hidden="1">[10]XLR_NoRangeSheet!$A$5</definedName>
    <definedName name="ор" hidden="1">[10]XLR_NoRangeSheet!$A$5</definedName>
    <definedName name="пифдлу" localSheetId="0" hidden="1">#REF!</definedName>
    <definedName name="пифдлу" hidden="1">#REF!</definedName>
    <definedName name="погода" localSheetId="3" hidden="1">OFFSET(Anch,MATCH("Auto.ru",resList,0),3,COUNTIF(resList,"Auto.ru")-1,1)</definedName>
    <definedName name="погода" localSheetId="2" hidden="1">OFFSET(Anch,MATCH("Auto.ru",resList,0),3,COUNTIF(resList,"Auto.ru")-1,1)</definedName>
    <definedName name="погода" localSheetId="1" hidden="1">OFFSET(Anch,MATCH("Auto.ru",resList,0),3,COUNTIF(resList,"Auto.ru")-1,1)</definedName>
    <definedName name="погода" localSheetId="0" hidden="1">OFFSET(Anch,MATCH("Auto.ru",resList,0),3,COUNTIF(resList,"Auto.ru")-1,1)</definedName>
    <definedName name="погода" localSheetId="6" hidden="1">OFFSET(Anch,MATCH("Auto.ru",resList,0),3,COUNTIF(resList,"Auto.ru")-1,1)</definedName>
    <definedName name="погода" localSheetId="5" hidden="1">OFFSET(Anch,MATCH("Auto.ru",resList,0),3,COUNTIF(resList,"Auto.ru")-1,1)</definedName>
    <definedName name="погода" localSheetId="7" hidden="1">OFFSET(Anch,MATCH("Auto.ru",resList,0),3,COUNTIF(resList,"Auto.ru")-1,1)</definedName>
    <definedName name="погода" localSheetId="4" hidden="1">OFFSET(Anch,MATCH("Auto.ru",resList,0),3,COUNTIF(resList,"Auto.ru")-1,1)</definedName>
    <definedName name="погода" hidden="1">OFFSET(Anch,MATCH("Auto.ru",resList,0),3,COUNTIF(resList,"Auto.ru")-1,1)</definedName>
    <definedName name="про" hidden="1">4</definedName>
    <definedName name="прп" localSheetId="1" hidden="1">{"'siets LAT'!$J$95","'siets LAT'!$J$95"}</definedName>
    <definedName name="прп" localSheetId="0" hidden="1">{"'siets LAT'!$J$95","'siets LAT'!$J$95"}</definedName>
    <definedName name="прп" localSheetId="7" hidden="1">{"'siets LAT'!$J$95","'siets LAT'!$J$95"}</definedName>
    <definedName name="прп" hidden="1">{"'siets LAT'!$J$95","'siets LAT'!$J$95"}</definedName>
    <definedName name="_xlnm.Recorder" localSheetId="0">#REF!</definedName>
    <definedName name="_xlnm.Recorder">#REF!</definedName>
    <definedName name="свааао" localSheetId="1" hidden="1">{#N/A,#N/A,TRUE,"Пресса";#N/A,#N/A,TRUE,"Метро";#N/A,#N/A,TRUE,"Щиты";#N/A,#N/A,TRUE,"График";#N/A,#N/A,TRUE,"График"}</definedName>
    <definedName name="свааао" localSheetId="0" hidden="1">{#N/A,#N/A,TRUE,"Пресса";#N/A,#N/A,TRUE,"Метро";#N/A,#N/A,TRUE,"Щиты";#N/A,#N/A,TRUE,"График";#N/A,#N/A,TRUE,"График"}</definedName>
    <definedName name="свааао" localSheetId="7" hidden="1">{#N/A,#N/A,TRUE,"Пресса";#N/A,#N/A,TRUE,"Метро";#N/A,#N/A,TRUE,"Щиты";#N/A,#N/A,TRUE,"График";#N/A,#N/A,TRUE,"График"}</definedName>
    <definedName name="свааао" hidden="1">{#N/A,#N/A,TRUE,"Пресса";#N/A,#N/A,TRUE,"Метро";#N/A,#N/A,TRUE,"Щиты";#N/A,#N/A,TRUE,"График";#N/A,#N/A,TRUE,"График"}</definedName>
    <definedName name="Тв_Називин" localSheetId="1" hidden="1">{#N/A,#N/A,TRUE,"Пресса";#N/A,#N/A,TRUE,"Метро";#N/A,#N/A,TRUE,"Щиты";#N/A,#N/A,TRUE,"График";#N/A,#N/A,TRUE,"График"}</definedName>
    <definedName name="Тв_Називин" localSheetId="0" hidden="1">{#N/A,#N/A,TRUE,"Пресса";#N/A,#N/A,TRUE,"Метро";#N/A,#N/A,TRUE,"Щиты";#N/A,#N/A,TRUE,"График";#N/A,#N/A,TRUE,"График"}</definedName>
    <definedName name="Тв_Називин" localSheetId="7" hidden="1">{#N/A,#N/A,TRUE,"Пресса";#N/A,#N/A,TRUE,"Метро";#N/A,#N/A,TRUE,"Щиты";#N/A,#N/A,TRUE,"График";#N/A,#N/A,TRUE,"График"}</definedName>
    <definedName name="Тв_Називин" hidden="1">{#N/A,#N/A,TRUE,"Пресса";#N/A,#N/A,TRUE,"Метро";#N/A,#N/A,TRUE,"Щиты";#N/A,#N/A,TRUE,"График";#N/A,#N/A,TRUE,"График"}</definedName>
    <definedName name="ук" localSheetId="3" hidden="1">OFFSET(Anch,MATCH("Echo.Msk.ru",resList,0),3,COUNTIF(resList,"Echo.Msk.ru")-1,1)</definedName>
    <definedName name="ук" localSheetId="2" hidden="1">OFFSET(Anch,MATCH("Echo.Msk.ru",resList,0),3,COUNTIF(resList,"Echo.Msk.ru")-1,1)</definedName>
    <definedName name="ук" localSheetId="1" hidden="1">OFFSET(Anch,MATCH("Echo.Msk.ru",resList,0),3,COUNTIF(resList,"Echo.Msk.ru")-1,1)</definedName>
    <definedName name="ук" localSheetId="0" hidden="1">OFFSET(Anch,MATCH("Echo.Msk.ru",resList,0),3,COUNTIF(resList,"Echo.Msk.ru")-1,1)</definedName>
    <definedName name="ук" localSheetId="6" hidden="1">OFFSET(Anch,MATCH("Echo.Msk.ru",resList,0),3,COUNTIF(resList,"Echo.Msk.ru")-1,1)</definedName>
    <definedName name="ук" localSheetId="5" hidden="1">OFFSET(Anch,MATCH("Echo.Msk.ru",resList,0),3,COUNTIF(resList,"Echo.Msk.ru")-1,1)</definedName>
    <definedName name="ук" localSheetId="7" hidden="1">OFFSET(Anch,MATCH("Echo.Msk.ru",resList,0),3,COUNTIF(resList,"Echo.Msk.ru")-1,1)</definedName>
    <definedName name="ук" localSheetId="4" hidden="1">OFFSET(Anch,MATCH("Echo.Msk.ru",resList,0),3,COUNTIF(resList,"Echo.Msk.ru")-1,1)</definedName>
    <definedName name="ук" hidden="1">OFFSET(Anch,MATCH("Echo.Msk.ru",resList,0),3,COUNTIF(resList,"Echo.Msk.ru")-1,1)</definedName>
    <definedName name="укаука" localSheetId="3" hidden="1">OFFSET(Anch,MATCH("Amedia.ru",resList,0),3,COUNTIF(resList,"Amedia.ru")-1,1)</definedName>
    <definedName name="укаука" localSheetId="2" hidden="1">OFFSET(Anch,MATCH("Amedia.ru",resList,0),3,COUNTIF(resList,"Amedia.ru")-1,1)</definedName>
    <definedName name="укаука" localSheetId="1" hidden="1">OFFSET(Anch,MATCH("Amedia.ru",resList,0),3,COUNTIF(resList,"Amedia.ru")-1,1)</definedName>
    <definedName name="укаука" localSheetId="0" hidden="1">OFFSET(Anch,MATCH("Amedia.ru",resList,0),3,COUNTIF(resList,"Amedia.ru")-1,1)</definedName>
    <definedName name="укаука" localSheetId="6" hidden="1">OFFSET(Anch,MATCH("Amedia.ru",resList,0),3,COUNTIF(resList,"Amedia.ru")-1,1)</definedName>
    <definedName name="укаука" localSheetId="5" hidden="1">OFFSET(Anch,MATCH("Amedia.ru",resList,0),3,COUNTIF(resList,"Amedia.ru")-1,1)</definedName>
    <definedName name="укаука" localSheetId="7" hidden="1">OFFSET(Anch,MATCH("Amedia.ru",resList,0),3,COUNTIF(resList,"Amedia.ru")-1,1)</definedName>
    <definedName name="укаука" localSheetId="4" hidden="1">OFFSET(Anch,MATCH("Amedia.ru",resList,0),3,COUNTIF(resList,"Amedia.ru")-1,1)</definedName>
    <definedName name="укаука" hidden="1">OFFSET(Anch,MATCH("Amedia.ru",resList,0),3,COUNTIF(resList,"Amedia.ru")-1,1)</definedName>
    <definedName name="Фары" localSheetId="0">#REF!</definedName>
    <definedName name="Фары" localSheetId="7">#REF!</definedName>
    <definedName name="Фары">#REF!</definedName>
    <definedName name="фвфыв" localSheetId="1" hidden="1">MAX((100%-[0]!splitDisc)*(100%-[0]!avtoDisc)*(100%-sasa)*(100%-[0]!discReach),[0]!maxAvto)</definedName>
    <definedName name="фвфыв" localSheetId="0" hidden="1">MAX((100%-Total!splitDisc)*(100%-[0]!avtoDisc)*(100%-sasa)*(100%-[0]!discReach),[0]!maxAvto)</definedName>
    <definedName name="фвфыв" localSheetId="7" hidden="1">MAX((100%-[0]!splitDisc)*(100%-Поезда!avtoDisc)*(100%-sasa)*(100%-[0]!discReach),Поезда!maxAvto)</definedName>
    <definedName name="фвфыв" hidden="1">MAX((100%-[0]!splitDisc)*(100%-[0]!avtoDisc)*(100%-sasa)*(100%-[0]!discReach),[0]!maxAvto)</definedName>
    <definedName name="ФлоучартСтарый" localSheetId="1" hidden="1">{#N/A,#N/A,TRUE,"Пресса";#N/A,#N/A,TRUE,"Метро";#N/A,#N/A,TRUE,"Щиты";#N/A,#N/A,TRUE,"График";#N/A,#N/A,TRUE,"График"}</definedName>
    <definedName name="ФлоучартСтарый" localSheetId="0" hidden="1">{#N/A,#N/A,TRUE,"Пресса";#N/A,#N/A,TRUE,"Метро";#N/A,#N/A,TRUE,"Щиты";#N/A,#N/A,TRUE,"График";#N/A,#N/A,TRUE,"График"}</definedName>
    <definedName name="ФлоучартСтарый" localSheetId="7" hidden="1">{#N/A,#N/A,TRUE,"Пресса";#N/A,#N/A,TRUE,"Метро";#N/A,#N/A,TRUE,"Щиты";#N/A,#N/A,TRUE,"График";#N/A,#N/A,TRUE,"График"}</definedName>
    <definedName name="ФлоучартСтарый" hidden="1">{#N/A,#N/A,TRUE,"Пресса";#N/A,#N/A,TRUE,"Метро";#N/A,#N/A,TRUE,"Щиты";#N/A,#N/A,TRUE,"График";#N/A,#N/A,TRUE,"График"}</definedName>
    <definedName name="ффффййц">#REF!</definedName>
    <definedName name="фыфцйцу" localSheetId="0">#REF!</definedName>
    <definedName name="фыфцйцу">#REF!</definedName>
    <definedName name="цыв" hidden="1">#N/A</definedName>
    <definedName name="щкуж" localSheetId="1" hidden="1">OFFSET(Anch,MATCH("Expert.ru",resList,0),3,COUNTIF(resList,"Expert.ru")-1,1)</definedName>
    <definedName name="щкуж" localSheetId="0" hidden="1">OFFSET(Anch,MATCH("Expert.ru",resList,0),3,COUNTIF(resList,"Expert.ru")-1,1)</definedName>
    <definedName name="щкуж" localSheetId="6" hidden="1">OFFSET(Anch,MATCH("Expert.ru",resList,0),3,COUNTIF(resList,"Expert.ru")-1,1)</definedName>
    <definedName name="щкуж" localSheetId="7" hidden="1">OFFSET(Anch,MATCH("Expert.ru",resList,0),3,COUNTIF(resList,"Expert.ru")-1,1)</definedName>
    <definedName name="щкуж" hidden="1">OFFSET(Anch,MATCH("Expert.ru",resList,0),3,COUNTIF(resList,"Expert.ru")-1,1)</definedName>
    <definedName name="ываыв" localSheetId="1" hidden="1">MAX((100%-splitDisc)*(100%-[0]!avtoDisc)*(100%-agencyDisc)*(100%-[0]!discReach),[0]!maxAvto)</definedName>
    <definedName name="ываыв" localSheetId="0" hidden="1">MAX((100%-Total!splitDisc)*(100%-[0]!avtoDisc)*(100%-Total!agencyDisc)*(100%-[0]!discReach),[0]!maxAvto)</definedName>
    <definedName name="ываыв" localSheetId="7" hidden="1">MAX((100%-splitDisc)*(100%-Поезда!avtoDisc)*(100%-Поезда!agencyDisc)*(100%-[0]!discReach),Поезда!maxAvto)</definedName>
    <definedName name="ываыв" hidden="1">MAX((100%-splitDisc)*(100%-[0]!avtoDisc)*(100%-agencyDisc)*(100%-[0]!discReach),[0]!maxAvto)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" i="13" l="1"/>
  <c r="T10" i="13"/>
  <c r="M9" i="22" l="1"/>
  <c r="L9" i="22"/>
  <c r="Q9" i="20"/>
  <c r="R9" i="22"/>
  <c r="N9" i="22"/>
  <c r="S9" i="12"/>
  <c r="P9" i="12"/>
  <c r="S83" i="12"/>
  <c r="R83" i="12"/>
  <c r="Q83" i="12"/>
  <c r="P83" i="12"/>
  <c r="N83" i="12"/>
  <c r="M83" i="12"/>
  <c r="Q11" i="20"/>
  <c r="P10" i="20"/>
  <c r="P9" i="20"/>
  <c r="O10" i="20"/>
  <c r="O9" i="20"/>
  <c r="L9" i="20"/>
  <c r="N9" i="20"/>
  <c r="S24" i="12"/>
  <c r="R14" i="22"/>
  <c r="R10" i="22"/>
  <c r="R11" i="22"/>
  <c r="R12" i="22"/>
  <c r="R13" i="22"/>
  <c r="P10" i="22"/>
  <c r="P11" i="22"/>
  <c r="P12" i="22"/>
  <c r="P13" i="22"/>
  <c r="P9" i="22"/>
  <c r="Q9" i="22"/>
  <c r="Q10" i="20"/>
  <c r="N11" i="20"/>
  <c r="N10" i="20"/>
  <c r="N14" i="22"/>
  <c r="N10" i="22"/>
  <c r="N11" i="22"/>
  <c r="N12" i="22"/>
  <c r="N13" i="2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11" i="13"/>
  <c r="L10" i="20" l="1"/>
  <c r="T21" i="8"/>
  <c r="R21" i="8"/>
  <c r="R9" i="12"/>
  <c r="Q9" i="12"/>
  <c r="T9" i="10" l="1"/>
  <c r="S9" i="10"/>
  <c r="Q9" i="10"/>
  <c r="O23" i="24"/>
  <c r="R10" i="12" l="1"/>
  <c r="R11" i="12"/>
  <c r="R12" i="12"/>
  <c r="R13" i="12"/>
  <c r="R14" i="12"/>
  <c r="R15" i="12"/>
  <c r="Q10" i="12"/>
  <c r="Q11" i="12"/>
  <c r="Q12" i="12"/>
  <c r="Q13" i="12"/>
  <c r="Q14" i="12"/>
  <c r="Q15" i="12"/>
  <c r="M78" i="12"/>
  <c r="N78" i="12" s="1"/>
  <c r="R78" i="12" s="1"/>
  <c r="M77" i="12"/>
  <c r="N77" i="12" s="1"/>
  <c r="R77" i="12" s="1"/>
  <c r="M76" i="12"/>
  <c r="N76" i="12" s="1"/>
  <c r="O76" i="12" s="1"/>
  <c r="M75" i="12"/>
  <c r="N75" i="12" s="1"/>
  <c r="O75" i="12" s="1"/>
  <c r="M74" i="12"/>
  <c r="N74" i="12" s="1"/>
  <c r="Q74" i="12" s="1"/>
  <c r="M73" i="12"/>
  <c r="N73" i="12" s="1"/>
  <c r="R73" i="12" s="1"/>
  <c r="M72" i="12"/>
  <c r="N72" i="12" s="1"/>
  <c r="R72" i="12" s="1"/>
  <c r="M71" i="12"/>
  <c r="N71" i="12" s="1"/>
  <c r="R71" i="12" s="1"/>
  <c r="M79" i="12"/>
  <c r="N79" i="12" s="1"/>
  <c r="Q79" i="12" s="1"/>
  <c r="M82" i="12"/>
  <c r="N82" i="12" s="1"/>
  <c r="R82" i="12" s="1"/>
  <c r="M81" i="12"/>
  <c r="N81" i="12" s="1"/>
  <c r="R81" i="12" s="1"/>
  <c r="M80" i="12"/>
  <c r="N80" i="12" s="1"/>
  <c r="R80" i="12" s="1"/>
  <c r="M45" i="12"/>
  <c r="N45" i="12" s="1"/>
  <c r="R45" i="12" s="1"/>
  <c r="M44" i="12"/>
  <c r="N44" i="12" s="1"/>
  <c r="Q44" i="12" s="1"/>
  <c r="M43" i="12"/>
  <c r="N43" i="12" s="1"/>
  <c r="Q43" i="12" s="1"/>
  <c r="M42" i="12"/>
  <c r="N42" i="12" s="1"/>
  <c r="Q42" i="12" s="1"/>
  <c r="M41" i="12"/>
  <c r="N41" i="12" s="1"/>
  <c r="R41" i="12" s="1"/>
  <c r="M40" i="12"/>
  <c r="N40" i="12" s="1"/>
  <c r="R40" i="12" s="1"/>
  <c r="M39" i="12"/>
  <c r="N39" i="12" s="1"/>
  <c r="R39" i="12" s="1"/>
  <c r="M38" i="12"/>
  <c r="N38" i="12" s="1"/>
  <c r="Q38" i="12" s="1"/>
  <c r="M37" i="12"/>
  <c r="N37" i="12" s="1"/>
  <c r="Q37" i="12" s="1"/>
  <c r="M36" i="12"/>
  <c r="N36" i="12" s="1"/>
  <c r="R36" i="12" s="1"/>
  <c r="M35" i="12"/>
  <c r="N35" i="12" s="1"/>
  <c r="R35" i="12" s="1"/>
  <c r="M34" i="12"/>
  <c r="N34" i="12" s="1"/>
  <c r="R34" i="12" s="1"/>
  <c r="M33" i="12"/>
  <c r="N33" i="12" s="1"/>
  <c r="Q33" i="12" s="1"/>
  <c r="M32" i="12"/>
  <c r="N32" i="12" s="1"/>
  <c r="Q32" i="12" s="1"/>
  <c r="M31" i="12"/>
  <c r="N31" i="12" s="1"/>
  <c r="Q31" i="12" s="1"/>
  <c r="M30" i="12"/>
  <c r="N30" i="12" s="1"/>
  <c r="R30" i="12" s="1"/>
  <c r="M29" i="12"/>
  <c r="N29" i="12" s="1"/>
  <c r="R29" i="12" s="1"/>
  <c r="M28" i="12"/>
  <c r="N28" i="12" s="1"/>
  <c r="R28" i="12" s="1"/>
  <c r="M27" i="12"/>
  <c r="N27" i="12" s="1"/>
  <c r="R27" i="12" s="1"/>
  <c r="M26" i="12"/>
  <c r="N26" i="12" s="1"/>
  <c r="Q26" i="12" s="1"/>
  <c r="M25" i="12"/>
  <c r="N25" i="12" s="1"/>
  <c r="Q25" i="12" s="1"/>
  <c r="M24" i="12"/>
  <c r="N24" i="12" s="1"/>
  <c r="R24" i="12" s="1"/>
  <c r="M23" i="12"/>
  <c r="N23" i="12" s="1"/>
  <c r="R23" i="12" s="1"/>
  <c r="M22" i="12"/>
  <c r="N22" i="12" s="1"/>
  <c r="R22" i="12" s="1"/>
  <c r="M21" i="12"/>
  <c r="N21" i="12" s="1"/>
  <c r="Q21" i="12" s="1"/>
  <c r="M20" i="12"/>
  <c r="N20" i="12" s="1"/>
  <c r="Q20" i="12" s="1"/>
  <c r="M19" i="12"/>
  <c r="N19" i="12" s="1"/>
  <c r="Q19" i="12" s="1"/>
  <c r="M18" i="12"/>
  <c r="N18" i="12" s="1"/>
  <c r="R18" i="12" s="1"/>
  <c r="M17" i="12"/>
  <c r="N17" i="12" s="1"/>
  <c r="R17" i="12" s="1"/>
  <c r="M16" i="12"/>
  <c r="M57" i="12"/>
  <c r="N57" i="12" s="1"/>
  <c r="O57" i="12" s="1"/>
  <c r="M56" i="12"/>
  <c r="N56" i="12" s="1"/>
  <c r="O56" i="12" s="1"/>
  <c r="M55" i="12"/>
  <c r="N55" i="12" s="1"/>
  <c r="O55" i="12" s="1"/>
  <c r="M54" i="12"/>
  <c r="N54" i="12" s="1"/>
  <c r="O54" i="12" s="1"/>
  <c r="M53" i="12"/>
  <c r="N53" i="12" s="1"/>
  <c r="Q53" i="12" s="1"/>
  <c r="M52" i="12"/>
  <c r="N52" i="12" s="1"/>
  <c r="O52" i="12" s="1"/>
  <c r="M51" i="12"/>
  <c r="N51" i="12" s="1"/>
  <c r="R51" i="12" s="1"/>
  <c r="M50" i="12"/>
  <c r="N50" i="12" s="1"/>
  <c r="R50" i="12" s="1"/>
  <c r="M49" i="12"/>
  <c r="N49" i="12" s="1"/>
  <c r="Q49" i="12" s="1"/>
  <c r="M48" i="12"/>
  <c r="N48" i="12" s="1"/>
  <c r="Q48" i="12" s="1"/>
  <c r="M47" i="12"/>
  <c r="N47" i="12" s="1"/>
  <c r="O47" i="12" s="1"/>
  <c r="M46" i="12"/>
  <c r="N46" i="12" s="1"/>
  <c r="R46" i="12" s="1"/>
  <c r="M63" i="12"/>
  <c r="N63" i="12" s="1"/>
  <c r="Q63" i="12" s="1"/>
  <c r="M62" i="12"/>
  <c r="N62" i="12" s="1"/>
  <c r="Q62" i="12" s="1"/>
  <c r="M61" i="12"/>
  <c r="N61" i="12" s="1"/>
  <c r="R61" i="12" s="1"/>
  <c r="M60" i="12"/>
  <c r="N60" i="12" s="1"/>
  <c r="R60" i="12" s="1"/>
  <c r="M59" i="12"/>
  <c r="N59" i="12" s="1"/>
  <c r="R59" i="12" s="1"/>
  <c r="M58" i="12"/>
  <c r="N58" i="12" s="1"/>
  <c r="Q58" i="12" s="1"/>
  <c r="N16" i="12" l="1"/>
  <c r="S14" i="12"/>
  <c r="T14" i="12" s="1"/>
  <c r="R37" i="12"/>
  <c r="S37" i="12" s="1"/>
  <c r="R44" i="12"/>
  <c r="S44" i="12" s="1"/>
  <c r="S12" i="12"/>
  <c r="T12" i="12" s="1"/>
  <c r="R21" i="12"/>
  <c r="S21" i="12" s="1"/>
  <c r="Q61" i="12"/>
  <c r="S61" i="12" s="1"/>
  <c r="Q17" i="12"/>
  <c r="S17" i="12" s="1"/>
  <c r="T9" i="12"/>
  <c r="R63" i="12"/>
  <c r="S63" i="12" s="1"/>
  <c r="T63" i="12" s="1"/>
  <c r="Q73" i="12"/>
  <c r="S73" i="12" s="1"/>
  <c r="T73" i="12" s="1"/>
  <c r="S15" i="12"/>
  <c r="R20" i="12"/>
  <c r="S20" i="12" s="1"/>
  <c r="R58" i="12"/>
  <c r="S58" i="12" s="1"/>
  <c r="T58" i="12" s="1"/>
  <c r="Q41" i="12"/>
  <c r="S41" i="12" s="1"/>
  <c r="S11" i="12"/>
  <c r="R43" i="12"/>
  <c r="S43" i="12" s="1"/>
  <c r="Q18" i="12"/>
  <c r="S18" i="12" s="1"/>
  <c r="S10" i="12"/>
  <c r="R38" i="12"/>
  <c r="S38" i="12" s="1"/>
  <c r="Q57" i="12"/>
  <c r="Q52" i="12"/>
  <c r="Q30" i="12"/>
  <c r="S30" i="12" s="1"/>
  <c r="R55" i="12"/>
  <c r="R33" i="12"/>
  <c r="S33" i="12" s="1"/>
  <c r="S13" i="12"/>
  <c r="Q29" i="12"/>
  <c r="S29" i="12" s="1"/>
  <c r="R54" i="12"/>
  <c r="R32" i="12"/>
  <c r="S32" i="12" s="1"/>
  <c r="Q36" i="12"/>
  <c r="S36" i="12" s="1"/>
  <c r="Q24" i="12"/>
  <c r="R75" i="12"/>
  <c r="R49" i="12"/>
  <c r="S49" i="12" s="1"/>
  <c r="T49" i="12" s="1"/>
  <c r="R26" i="12"/>
  <c r="S26" i="12" s="1"/>
  <c r="Q47" i="12"/>
  <c r="Q82" i="12"/>
  <c r="S82" i="12" s="1"/>
  <c r="Q78" i="12"/>
  <c r="S78" i="12" s="1"/>
  <c r="T78" i="12" s="1"/>
  <c r="Q72" i="12"/>
  <c r="S72" i="12" s="1"/>
  <c r="T72" i="12" s="1"/>
  <c r="Q46" i="12"/>
  <c r="S46" i="12" s="1"/>
  <c r="Q35" i="12"/>
  <c r="S35" i="12" s="1"/>
  <c r="Q23" i="12"/>
  <c r="S23" i="12" s="1"/>
  <c r="Q16" i="12"/>
  <c r="R79" i="12"/>
  <c r="S79" i="12" s="1"/>
  <c r="R74" i="12"/>
  <c r="S74" i="12" s="1"/>
  <c r="T74" i="12" s="1"/>
  <c r="R62" i="12"/>
  <c r="S62" i="12" s="1"/>
  <c r="T62" i="12" s="1"/>
  <c r="R53" i="12"/>
  <c r="S53" i="12" s="1"/>
  <c r="T53" i="12" s="1"/>
  <c r="R48" i="12"/>
  <c r="S48" i="12" s="1"/>
  <c r="R42" i="12"/>
  <c r="S42" i="12" s="1"/>
  <c r="R31" i="12"/>
  <c r="S31" i="12" s="1"/>
  <c r="R25" i="12"/>
  <c r="S25" i="12" s="1"/>
  <c r="R19" i="12"/>
  <c r="S19" i="12" s="1"/>
  <c r="Q81" i="12"/>
  <c r="S81" i="12" s="1"/>
  <c r="Q77" i="12"/>
  <c r="S77" i="12" s="1"/>
  <c r="T77" i="12" s="1"/>
  <c r="Q71" i="12"/>
  <c r="S71" i="12" s="1"/>
  <c r="T71" i="12" s="1"/>
  <c r="Q56" i="12"/>
  <c r="Q51" i="12"/>
  <c r="S51" i="12" s="1"/>
  <c r="Q40" i="12"/>
  <c r="S40" i="12" s="1"/>
  <c r="Q28" i="12"/>
  <c r="S28" i="12" s="1"/>
  <c r="R57" i="12"/>
  <c r="R52" i="12"/>
  <c r="Q60" i="12"/>
  <c r="S60" i="12" s="1"/>
  <c r="T60" i="12" s="1"/>
  <c r="Q80" i="12"/>
  <c r="S80" i="12" s="1"/>
  <c r="Q76" i="12"/>
  <c r="Q59" i="12"/>
  <c r="S59" i="12" s="1"/>
  <c r="T59" i="12" s="1"/>
  <c r="Q50" i="12"/>
  <c r="S50" i="12" s="1"/>
  <c r="T50" i="12" s="1"/>
  <c r="Q45" i="12"/>
  <c r="S45" i="12" s="1"/>
  <c r="Q39" i="12"/>
  <c r="S39" i="12" s="1"/>
  <c r="Q34" i="12"/>
  <c r="S34" i="12" s="1"/>
  <c r="Q27" i="12"/>
  <c r="S27" i="12" s="1"/>
  <c r="Q22" i="12"/>
  <c r="S22" i="12" s="1"/>
  <c r="R47" i="12"/>
  <c r="Q75" i="12"/>
  <c r="Q55" i="12"/>
  <c r="Q54" i="12"/>
  <c r="R56" i="12"/>
  <c r="R76" i="12"/>
  <c r="O72" i="12"/>
  <c r="O73" i="12"/>
  <c r="O78" i="12"/>
  <c r="O74" i="12"/>
  <c r="O77" i="12"/>
  <c r="O71" i="12"/>
  <c r="O79" i="12"/>
  <c r="O81" i="12"/>
  <c r="O80" i="12"/>
  <c r="O82" i="12"/>
  <c r="O43" i="12"/>
  <c r="O20" i="12"/>
  <c r="O37" i="12"/>
  <c r="O33" i="12"/>
  <c r="O41" i="12"/>
  <c r="O18" i="12"/>
  <c r="O24" i="12"/>
  <c r="O30" i="12"/>
  <c r="O39" i="12"/>
  <c r="O45" i="12"/>
  <c r="O16" i="12"/>
  <c r="O32" i="12"/>
  <c r="O21" i="12"/>
  <c r="O29" i="12"/>
  <c r="O38" i="12"/>
  <c r="O22" i="12"/>
  <c r="O34" i="12"/>
  <c r="O19" i="12"/>
  <c r="O25" i="12"/>
  <c r="O31" i="12"/>
  <c r="O40" i="12"/>
  <c r="O42" i="12"/>
  <c r="O23" i="12"/>
  <c r="O35" i="12"/>
  <c r="O17" i="12"/>
  <c r="O26" i="12"/>
  <c r="O44" i="12"/>
  <c r="O27" i="12"/>
  <c r="O36" i="12"/>
  <c r="O28" i="12"/>
  <c r="O49" i="12"/>
  <c r="O46" i="12"/>
  <c r="O48" i="12"/>
  <c r="O50" i="12"/>
  <c r="O53" i="12"/>
  <c r="O51" i="12"/>
  <c r="O58" i="12"/>
  <c r="O59" i="12"/>
  <c r="O60" i="12"/>
  <c r="O61" i="12"/>
  <c r="O62" i="12"/>
  <c r="O63" i="12"/>
  <c r="O10" i="12"/>
  <c r="O11" i="12"/>
  <c r="O12" i="12"/>
  <c r="O13" i="12"/>
  <c r="O14" i="12"/>
  <c r="O15" i="12"/>
  <c r="O9" i="12"/>
  <c r="R16" i="12" l="1"/>
  <c r="S47" i="12"/>
  <c r="T47" i="12" s="1"/>
  <c r="S55" i="12"/>
  <c r="T55" i="12" s="1"/>
  <c r="S75" i="12"/>
  <c r="T75" i="12" s="1"/>
  <c r="S57" i="12"/>
  <c r="T57" i="12" s="1"/>
  <c r="S52" i="12"/>
  <c r="T52" i="12" s="1"/>
  <c r="S54" i="12"/>
  <c r="T54" i="12" s="1"/>
  <c r="S56" i="12"/>
  <c r="T56" i="12" s="1"/>
  <c r="S76" i="12"/>
  <c r="T76" i="12" s="1"/>
  <c r="T48" i="12"/>
  <c r="T13" i="12"/>
  <c r="T51" i="12"/>
  <c r="T11" i="12"/>
  <c r="T79" i="12"/>
  <c r="T29" i="12"/>
  <c r="T41" i="12"/>
  <c r="T26" i="12"/>
  <c r="T39" i="12"/>
  <c r="T42" i="12"/>
  <c r="T81" i="12"/>
  <c r="T30" i="12"/>
  <c r="T61" i="12"/>
  <c r="T25" i="12"/>
  <c r="T38" i="12"/>
  <c r="T80" i="12"/>
  <c r="T82" i="12"/>
  <c r="T35" i="12"/>
  <c r="T15" i="12"/>
  <c r="T46" i="12"/>
  <c r="T23" i="12"/>
  <c r="T22" i="12"/>
  <c r="T31" i="12"/>
  <c r="T20" i="12"/>
  <c r="T28" i="12"/>
  <c r="T21" i="12"/>
  <c r="T18" i="12"/>
  <c r="T44" i="12"/>
  <c r="T36" i="12"/>
  <c r="T34" i="12"/>
  <c r="T32" i="12"/>
  <c r="T45" i="12"/>
  <c r="T37" i="12"/>
  <c r="T19" i="12"/>
  <c r="T17" i="12"/>
  <c r="T27" i="12"/>
  <c r="T40" i="12"/>
  <c r="T24" i="12"/>
  <c r="T33" i="12"/>
  <c r="T43" i="12"/>
  <c r="T10" i="12"/>
  <c r="R9" i="13"/>
  <c r="N61" i="24"/>
  <c r="M61" i="24"/>
  <c r="S9" i="13" l="1"/>
  <c r="T9" i="13" s="1"/>
  <c r="T13" i="13" s="1"/>
  <c r="S16" i="12"/>
  <c r="O29" i="24"/>
  <c r="O13" i="13"/>
  <c r="P12" i="13"/>
  <c r="T16" i="12" l="1"/>
  <c r="S12" i="13"/>
  <c r="R12" i="13"/>
  <c r="T12" i="13" s="1"/>
  <c r="U12" i="13" s="1"/>
  <c r="Q12" i="13"/>
  <c r="S11" i="13"/>
  <c r="Q11" i="13" l="1"/>
  <c r="R11" i="13"/>
  <c r="T11" i="13" s="1"/>
  <c r="U11" i="13" s="1"/>
  <c r="P60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M10" i="20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4" i="24"/>
  <c r="O25" i="24"/>
  <c r="O26" i="24"/>
  <c r="O27" i="24"/>
  <c r="O28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R9" i="10"/>
  <c r="P10" i="8"/>
  <c r="S10" i="8" s="1"/>
  <c r="P11" i="8"/>
  <c r="Q11" i="8" s="1"/>
  <c r="P12" i="8"/>
  <c r="S12" i="8" s="1"/>
  <c r="P13" i="8"/>
  <c r="S13" i="8" s="1"/>
  <c r="P14" i="8"/>
  <c r="Q14" i="8" s="1"/>
  <c r="P15" i="8"/>
  <c r="S15" i="8" s="1"/>
  <c r="P16" i="8"/>
  <c r="Q16" i="8" s="1"/>
  <c r="P17" i="8"/>
  <c r="S17" i="8" s="1"/>
  <c r="P18" i="8"/>
  <c r="Q18" i="8" s="1"/>
  <c r="P19" i="8"/>
  <c r="S19" i="8" s="1"/>
  <c r="P20" i="8"/>
  <c r="R20" i="8" s="1"/>
  <c r="P9" i="8"/>
  <c r="R9" i="8" s="1"/>
  <c r="L13" i="22"/>
  <c r="L12" i="22"/>
  <c r="M12" i="22" s="1"/>
  <c r="O12" i="22" s="1"/>
  <c r="L11" i="22"/>
  <c r="M11" i="22" s="1"/>
  <c r="O11" i="22" s="1"/>
  <c r="L10" i="22"/>
  <c r="M10" i="22" s="1"/>
  <c r="O10" i="22" s="1"/>
  <c r="O9" i="22"/>
  <c r="R10" i="20"/>
  <c r="M9" i="20"/>
  <c r="P99" i="10"/>
  <c r="Q66" i="10"/>
  <c r="S66" i="10" s="1"/>
  <c r="Q67" i="10"/>
  <c r="R67" i="10" s="1"/>
  <c r="Q68" i="10"/>
  <c r="R68" i="10" s="1"/>
  <c r="Q69" i="10"/>
  <c r="T69" i="10" s="1"/>
  <c r="Q70" i="10"/>
  <c r="S70" i="10" s="1"/>
  <c r="Q71" i="10"/>
  <c r="S71" i="10" s="1"/>
  <c r="Q72" i="10"/>
  <c r="R72" i="10" s="1"/>
  <c r="Q73" i="10"/>
  <c r="T73" i="10" s="1"/>
  <c r="Q74" i="10"/>
  <c r="S74" i="10" s="1"/>
  <c r="Q75" i="10"/>
  <c r="R75" i="10" s="1"/>
  <c r="Q76" i="10"/>
  <c r="S76" i="10" s="1"/>
  <c r="Q77" i="10"/>
  <c r="S77" i="10" s="1"/>
  <c r="Q78" i="10"/>
  <c r="S78" i="10" s="1"/>
  <c r="Q79" i="10"/>
  <c r="S79" i="10" s="1"/>
  <c r="Q80" i="10"/>
  <c r="R80" i="10" s="1"/>
  <c r="Q81" i="10"/>
  <c r="S81" i="10" s="1"/>
  <c r="Q82" i="10"/>
  <c r="R82" i="10" s="1"/>
  <c r="Q83" i="10"/>
  <c r="S83" i="10" s="1"/>
  <c r="Q84" i="10"/>
  <c r="S84" i="10" s="1"/>
  <c r="Q85" i="10"/>
  <c r="R85" i="10" s="1"/>
  <c r="Q86" i="10"/>
  <c r="R86" i="10" s="1"/>
  <c r="Q87" i="10"/>
  <c r="S87" i="10" s="1"/>
  <c r="Q88" i="10"/>
  <c r="S88" i="10" s="1"/>
  <c r="Q89" i="10"/>
  <c r="R89" i="10" s="1"/>
  <c r="Q90" i="10"/>
  <c r="R90" i="10" s="1"/>
  <c r="Q91" i="10"/>
  <c r="R91" i="10" s="1"/>
  <c r="Q92" i="10"/>
  <c r="Q93" i="10"/>
  <c r="Q94" i="10"/>
  <c r="Q95" i="10"/>
  <c r="R95" i="10" s="1"/>
  <c r="Q96" i="10"/>
  <c r="Q97" i="10"/>
  <c r="S97" i="10" s="1"/>
  <c r="Q98" i="10"/>
  <c r="S98" i="10" s="1"/>
  <c r="M65" i="12"/>
  <c r="N65" i="12" s="1"/>
  <c r="M66" i="12"/>
  <c r="M67" i="12"/>
  <c r="M68" i="12"/>
  <c r="M69" i="12"/>
  <c r="M70" i="12"/>
  <c r="M64" i="12"/>
  <c r="Q26" i="24"/>
  <c r="Q34" i="24"/>
  <c r="Q46" i="24"/>
  <c r="Q51" i="24"/>
  <c r="Q52" i="24"/>
  <c r="R10" i="13"/>
  <c r="O21" i="8"/>
  <c r="Q62" i="10"/>
  <c r="S62" i="10" s="1"/>
  <c r="Q52" i="10"/>
  <c r="S52" i="10" s="1"/>
  <c r="Q19" i="10"/>
  <c r="R19" i="10" s="1"/>
  <c r="Q20" i="10"/>
  <c r="S20" i="10" s="1"/>
  <c r="Q9" i="24"/>
  <c r="Q10" i="24"/>
  <c r="Q14" i="24"/>
  <c r="Q15" i="24"/>
  <c r="Q19" i="24"/>
  <c r="Q20" i="24"/>
  <c r="Q21" i="24"/>
  <c r="Q24" i="24"/>
  <c r="Q29" i="24"/>
  <c r="Q30" i="24"/>
  <c r="Q35" i="24"/>
  <c r="Q36" i="24"/>
  <c r="Q37" i="24"/>
  <c r="Q42" i="24"/>
  <c r="Q48" i="24"/>
  <c r="Q49" i="24"/>
  <c r="Q55" i="24"/>
  <c r="Q58" i="24"/>
  <c r="Q59" i="24"/>
  <c r="N64" i="12" l="1"/>
  <c r="R14" i="8"/>
  <c r="S9" i="8"/>
  <c r="S20" i="8"/>
  <c r="Q9" i="8"/>
  <c r="S14" i="8"/>
  <c r="T14" i="8" s="1"/>
  <c r="U14" i="8" s="1"/>
  <c r="Q20" i="8"/>
  <c r="Q17" i="8"/>
  <c r="R17" i="8"/>
  <c r="T17" i="8" s="1"/>
  <c r="U17" i="8" s="1"/>
  <c r="Q15" i="8"/>
  <c r="R11" i="8"/>
  <c r="S18" i="8"/>
  <c r="P61" i="24"/>
  <c r="S11" i="8"/>
  <c r="T93" i="10"/>
  <c r="R93" i="10"/>
  <c r="S92" i="10"/>
  <c r="R92" i="10"/>
  <c r="S94" i="10"/>
  <c r="R94" i="10"/>
  <c r="T96" i="10"/>
  <c r="R96" i="10"/>
  <c r="O64" i="12"/>
  <c r="R64" i="12"/>
  <c r="Q64" i="12"/>
  <c r="R65" i="12"/>
  <c r="Q65" i="12"/>
  <c r="R19" i="8"/>
  <c r="T19" i="8" s="1"/>
  <c r="U19" i="8" s="1"/>
  <c r="R13" i="8"/>
  <c r="T13" i="8" s="1"/>
  <c r="U13" i="8" s="1"/>
  <c r="P13" i="13"/>
  <c r="S16" i="8"/>
  <c r="S21" i="8" s="1"/>
  <c r="R18" i="8"/>
  <c r="R12" i="8"/>
  <c r="Q19" i="8"/>
  <c r="Q13" i="8"/>
  <c r="Q12" i="8"/>
  <c r="O65" i="12"/>
  <c r="R16" i="8"/>
  <c r="R10" i="8"/>
  <c r="T10" i="8" s="1"/>
  <c r="U10" i="8" s="1"/>
  <c r="M13" i="22"/>
  <c r="O13" i="22" s="1"/>
  <c r="T9" i="8"/>
  <c r="U9" i="8" s="1"/>
  <c r="Q10" i="8"/>
  <c r="R15" i="8"/>
  <c r="T15" i="8" s="1"/>
  <c r="U15" i="8" s="1"/>
  <c r="T84" i="10"/>
  <c r="U84" i="10" s="1"/>
  <c r="V84" i="10" s="1"/>
  <c r="S91" i="10"/>
  <c r="S82" i="10"/>
  <c r="R98" i="10"/>
  <c r="R88" i="10"/>
  <c r="R73" i="10"/>
  <c r="S90" i="10"/>
  <c r="R97" i="10"/>
  <c r="R87" i="10"/>
  <c r="R69" i="10"/>
  <c r="R84" i="10"/>
  <c r="R20" i="10"/>
  <c r="R83" i="10"/>
  <c r="S96" i="10"/>
  <c r="S86" i="10"/>
  <c r="T75" i="10"/>
  <c r="S93" i="10"/>
  <c r="S19" i="10"/>
  <c r="T79" i="10"/>
  <c r="U79" i="10" s="1"/>
  <c r="V79" i="10" s="1"/>
  <c r="R78" i="10"/>
  <c r="R77" i="10"/>
  <c r="T85" i="10"/>
  <c r="T66" i="10"/>
  <c r="R79" i="10"/>
  <c r="R74" i="10"/>
  <c r="R70" i="10"/>
  <c r="R66" i="10"/>
  <c r="S73" i="10"/>
  <c r="U73" i="10" s="1"/>
  <c r="V73" i="10" s="1"/>
  <c r="S69" i="10"/>
  <c r="U69" i="10" s="1"/>
  <c r="V69" i="10" s="1"/>
  <c r="S72" i="10"/>
  <c r="R52" i="10"/>
  <c r="R81" i="10"/>
  <c r="R76" i="10"/>
  <c r="R71" i="10"/>
  <c r="R62" i="10"/>
  <c r="S89" i="10"/>
  <c r="S85" i="10"/>
  <c r="S75" i="10"/>
  <c r="S68" i="10"/>
  <c r="S95" i="10"/>
  <c r="S80" i="10"/>
  <c r="S67" i="10"/>
  <c r="R13" i="13"/>
  <c r="T12" i="8"/>
  <c r="U12" i="8" s="1"/>
  <c r="Q10" i="13"/>
  <c r="Q9" i="13"/>
  <c r="T89" i="10"/>
  <c r="T87" i="10"/>
  <c r="U87" i="10" s="1"/>
  <c r="V87" i="10" s="1"/>
  <c r="R58" i="24"/>
  <c r="S58" i="24" s="1"/>
  <c r="Q41" i="24"/>
  <c r="R41" i="24" s="1"/>
  <c r="S41" i="24" s="1"/>
  <c r="Q23" i="24"/>
  <c r="R23" i="24" s="1"/>
  <c r="S23" i="24" s="1"/>
  <c r="Q57" i="24"/>
  <c r="T74" i="10"/>
  <c r="T72" i="10"/>
  <c r="T91" i="10"/>
  <c r="T81" i="10"/>
  <c r="U81" i="10" s="1"/>
  <c r="V81" i="10" s="1"/>
  <c r="T76" i="10"/>
  <c r="U76" i="10" s="1"/>
  <c r="V76" i="10" s="1"/>
  <c r="T94" i="10"/>
  <c r="T97" i="10"/>
  <c r="U97" i="10" s="1"/>
  <c r="T90" i="10"/>
  <c r="T68" i="10"/>
  <c r="T82" i="10"/>
  <c r="T86" i="10"/>
  <c r="T78" i="10"/>
  <c r="U78" i="10" s="1"/>
  <c r="V78" i="10" s="1"/>
  <c r="T71" i="10"/>
  <c r="U71" i="10" s="1"/>
  <c r="V71" i="10" s="1"/>
  <c r="T70" i="10"/>
  <c r="P21" i="8"/>
  <c r="T20" i="8"/>
  <c r="U20" i="8" s="1"/>
  <c r="S10" i="13"/>
  <c r="S13" i="13" s="1"/>
  <c r="Q11" i="22"/>
  <c r="T98" i="10"/>
  <c r="U98" i="10" s="1"/>
  <c r="T95" i="10"/>
  <c r="T92" i="10"/>
  <c r="T88" i="10"/>
  <c r="T83" i="10"/>
  <c r="T80" i="10"/>
  <c r="T77" i="10"/>
  <c r="U77" i="10" s="1"/>
  <c r="V77" i="10" s="1"/>
  <c r="T67" i="10"/>
  <c r="T52" i="10"/>
  <c r="T20" i="10"/>
  <c r="T19" i="10"/>
  <c r="T62" i="10"/>
  <c r="U62" i="10" s="1"/>
  <c r="V62" i="10" s="1"/>
  <c r="Q60" i="24"/>
  <c r="R60" i="24" s="1"/>
  <c r="S60" i="24" s="1"/>
  <c r="Q43" i="24"/>
  <c r="R43" i="24" s="1"/>
  <c r="S43" i="24" s="1"/>
  <c r="Q33" i="24"/>
  <c r="R33" i="24" s="1"/>
  <c r="S33" i="24" s="1"/>
  <c r="R15" i="24"/>
  <c r="S15" i="24" s="1"/>
  <c r="Q39" i="24"/>
  <c r="R39" i="24" s="1"/>
  <c r="S39" i="24" s="1"/>
  <c r="Q28" i="24"/>
  <c r="Q22" i="24"/>
  <c r="R22" i="24" s="1"/>
  <c r="S22" i="24" s="1"/>
  <c r="Q12" i="24"/>
  <c r="R12" i="24" s="1"/>
  <c r="S12" i="24" s="1"/>
  <c r="R21" i="24"/>
  <c r="S21" i="24" s="1"/>
  <c r="Q32" i="24"/>
  <c r="R32" i="24" s="1"/>
  <c r="S32" i="24" s="1"/>
  <c r="R37" i="24"/>
  <c r="S37" i="24" s="1"/>
  <c r="Q50" i="24"/>
  <c r="R50" i="24" s="1"/>
  <c r="S50" i="24" s="1"/>
  <c r="Q31" i="24"/>
  <c r="R31" i="24" s="1"/>
  <c r="S31" i="24" s="1"/>
  <c r="R14" i="24"/>
  <c r="S14" i="24" s="1"/>
  <c r="Q47" i="24"/>
  <c r="Q38" i="24"/>
  <c r="R38" i="24" s="1"/>
  <c r="S38" i="24" s="1"/>
  <c r="R29" i="24"/>
  <c r="S29" i="24" s="1"/>
  <c r="Q56" i="24"/>
  <c r="R56" i="24" s="1"/>
  <c r="S56" i="24" s="1"/>
  <c r="Q11" i="24"/>
  <c r="R11" i="24" s="1"/>
  <c r="S11" i="24" s="1"/>
  <c r="R52" i="24"/>
  <c r="S52" i="24" s="1"/>
  <c r="R46" i="24"/>
  <c r="S46" i="24" s="1"/>
  <c r="R34" i="24"/>
  <c r="S34" i="24" s="1"/>
  <c r="R26" i="24"/>
  <c r="S26" i="24" s="1"/>
  <c r="R10" i="24"/>
  <c r="S10" i="24" s="1"/>
  <c r="Q45" i="24"/>
  <c r="R45" i="24" s="1"/>
  <c r="S45" i="24" s="1"/>
  <c r="Q25" i="24"/>
  <c r="R25" i="24" s="1"/>
  <c r="S25" i="24" s="1"/>
  <c r="Q17" i="24"/>
  <c r="R17" i="24" s="1"/>
  <c r="S17" i="24" s="1"/>
  <c r="R51" i="24"/>
  <c r="S51" i="24" s="1"/>
  <c r="Q54" i="24"/>
  <c r="Q44" i="24"/>
  <c r="R44" i="24" s="1"/>
  <c r="S44" i="24" s="1"/>
  <c r="Q16" i="24"/>
  <c r="R16" i="24" s="1"/>
  <c r="S16" i="24" s="1"/>
  <c r="Q8" i="24"/>
  <c r="R8" i="24" s="1"/>
  <c r="R48" i="24"/>
  <c r="S48" i="24" s="1"/>
  <c r="R42" i="24"/>
  <c r="S42" i="24" s="1"/>
  <c r="Q13" i="24"/>
  <c r="R35" i="24"/>
  <c r="S35" i="24" s="1"/>
  <c r="Q53" i="24"/>
  <c r="Q40" i="24"/>
  <c r="Q27" i="24"/>
  <c r="Q18" i="24"/>
  <c r="R19" i="24"/>
  <c r="S19" i="24" s="1"/>
  <c r="R59" i="24"/>
  <c r="S59" i="24" s="1"/>
  <c r="R55" i="24"/>
  <c r="S55" i="24" s="1"/>
  <c r="R49" i="24"/>
  <c r="S49" i="24" s="1"/>
  <c r="R36" i="24"/>
  <c r="S36" i="24" s="1"/>
  <c r="R30" i="24"/>
  <c r="S30" i="24" s="1"/>
  <c r="R24" i="24"/>
  <c r="S24" i="24" s="1"/>
  <c r="R20" i="24"/>
  <c r="S20" i="24" s="1"/>
  <c r="R9" i="24"/>
  <c r="S9" i="24" s="1"/>
  <c r="U96" i="10" l="1"/>
  <c r="T11" i="8"/>
  <c r="U11" i="8" s="1"/>
  <c r="T18" i="8"/>
  <c r="U18" i="8" s="1"/>
  <c r="Q61" i="24"/>
  <c r="U92" i="10"/>
  <c r="V92" i="10" s="1"/>
  <c r="U93" i="10"/>
  <c r="V93" i="10" s="1"/>
  <c r="V96" i="10"/>
  <c r="S64" i="12"/>
  <c r="Q13" i="13"/>
  <c r="S11" i="22"/>
  <c r="T16" i="8"/>
  <c r="U16" i="8" s="1"/>
  <c r="U67" i="10"/>
  <c r="V67" i="10" s="1"/>
  <c r="U80" i="10"/>
  <c r="V80" i="10" s="1"/>
  <c r="U86" i="10"/>
  <c r="V86" i="10" s="1"/>
  <c r="U90" i="10"/>
  <c r="V90" i="10" s="1"/>
  <c r="U75" i="10"/>
  <c r="V75" i="10" s="1"/>
  <c r="U85" i="10"/>
  <c r="V85" i="10" s="1"/>
  <c r="U82" i="10"/>
  <c r="V82" i="10" s="1"/>
  <c r="U68" i="10"/>
  <c r="V68" i="10" s="1"/>
  <c r="U89" i="10"/>
  <c r="V89" i="10" s="1"/>
  <c r="U95" i="10"/>
  <c r="V95" i="10" s="1"/>
  <c r="U10" i="13"/>
  <c r="V98" i="10"/>
  <c r="R28" i="24"/>
  <c r="S28" i="24" s="1"/>
  <c r="U19" i="10"/>
  <c r="V19" i="10" s="1"/>
  <c r="U94" i="10"/>
  <c r="V94" i="10" s="1"/>
  <c r="R57" i="24"/>
  <c r="S57" i="24" s="1"/>
  <c r="R54" i="24"/>
  <c r="S54" i="24" s="1"/>
  <c r="U70" i="10"/>
  <c r="V70" i="10" s="1"/>
  <c r="U74" i="10"/>
  <c r="V74" i="10" s="1"/>
  <c r="U91" i="10"/>
  <c r="V91" i="10" s="1"/>
  <c r="U72" i="10"/>
  <c r="V72" i="10" s="1"/>
  <c r="V97" i="10"/>
  <c r="U20" i="10"/>
  <c r="V20" i="10" s="1"/>
  <c r="U9" i="10"/>
  <c r="V9" i="10" s="1"/>
  <c r="U83" i="10"/>
  <c r="V83" i="10" s="1"/>
  <c r="U66" i="10"/>
  <c r="V66" i="10" s="1"/>
  <c r="U88" i="10"/>
  <c r="V88" i="10" s="1"/>
  <c r="U52" i="10"/>
  <c r="V52" i="10" s="1"/>
  <c r="Q12" i="22"/>
  <c r="Q10" i="22"/>
  <c r="R13" i="24"/>
  <c r="S13" i="24" s="1"/>
  <c r="O61" i="24"/>
  <c r="R47" i="24"/>
  <c r="S47" i="24" s="1"/>
  <c r="R40" i="24"/>
  <c r="S40" i="24" s="1"/>
  <c r="R53" i="24"/>
  <c r="S53" i="24" s="1"/>
  <c r="R18" i="24"/>
  <c r="S18" i="24" s="1"/>
  <c r="R27" i="24"/>
  <c r="S27" i="24" s="1"/>
  <c r="L14" i="22"/>
  <c r="R61" i="24" l="1"/>
  <c r="S8" i="24"/>
  <c r="S61" i="24" s="1"/>
  <c r="E11" i="15"/>
  <c r="R9" i="20"/>
  <c r="S12" i="22"/>
  <c r="I11" i="15"/>
  <c r="I12" i="15" s="1"/>
  <c r="I13" i="15" s="1"/>
  <c r="U9" i="13"/>
  <c r="U13" i="13" s="1"/>
  <c r="Q13" i="22"/>
  <c r="Q14" i="22" s="1"/>
  <c r="P14" i="22"/>
  <c r="M14" i="22"/>
  <c r="S10" i="22" l="1"/>
  <c r="E12" i="15"/>
  <c r="E13" i="15" s="1"/>
  <c r="S13" i="22"/>
  <c r="P11" i="20"/>
  <c r="O11" i="20"/>
  <c r="M11" i="20"/>
  <c r="O14" i="22"/>
  <c r="J11" i="15" l="1"/>
  <c r="J12" i="15" s="1"/>
  <c r="J13" i="15" s="1"/>
  <c r="S9" i="22"/>
  <c r="S14" i="22"/>
  <c r="Q14" i="20"/>
  <c r="Q15" i="20" s="1"/>
  <c r="Q16" i="20" s="1"/>
  <c r="K11" i="15"/>
  <c r="K12" i="15" l="1"/>
  <c r="K13" i="15" s="1"/>
  <c r="L11" i="20"/>
  <c r="S65" i="12" l="1"/>
  <c r="R11" i="20"/>
  <c r="T65" i="12"/>
  <c r="Q29" i="10"/>
  <c r="Q10" i="10"/>
  <c r="Q11" i="10"/>
  <c r="Q12" i="10"/>
  <c r="Q13" i="10"/>
  <c r="Q14" i="10"/>
  <c r="Q15" i="10"/>
  <c r="R15" i="10" s="1"/>
  <c r="Q16" i="10"/>
  <c r="R16" i="10" s="1"/>
  <c r="Q17" i="10"/>
  <c r="R17" i="10" s="1"/>
  <c r="Q18" i="10"/>
  <c r="Q21" i="10"/>
  <c r="Q22" i="10"/>
  <c r="Q23" i="10"/>
  <c r="Q24" i="10"/>
  <c r="Q25" i="10"/>
  <c r="Q26" i="10"/>
  <c r="Q27" i="10"/>
  <c r="Q28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3" i="10"/>
  <c r="Q54" i="10"/>
  <c r="Q55" i="10"/>
  <c r="Q56" i="10"/>
  <c r="Q57" i="10"/>
  <c r="Q58" i="10"/>
  <c r="Q59" i="10"/>
  <c r="Q60" i="10"/>
  <c r="Q61" i="10"/>
  <c r="Q63" i="10"/>
  <c r="Q64" i="10"/>
  <c r="Q65" i="10"/>
  <c r="R65" i="10" l="1"/>
  <c r="S65" i="10"/>
  <c r="R38" i="10"/>
  <c r="S38" i="10"/>
  <c r="S24" i="10"/>
  <c r="R24" i="10"/>
  <c r="R63" i="10"/>
  <c r="S63" i="10"/>
  <c r="R43" i="10"/>
  <c r="S43" i="10"/>
  <c r="R32" i="10"/>
  <c r="S32" i="10"/>
  <c r="R61" i="10"/>
  <c r="S61" i="10"/>
  <c r="S42" i="10"/>
  <c r="R42" i="10"/>
  <c r="S22" i="10"/>
  <c r="R22" i="10"/>
  <c r="R60" i="10"/>
  <c r="S60" i="10"/>
  <c r="R36" i="10"/>
  <c r="S36" i="10"/>
  <c r="S59" i="10"/>
  <c r="R59" i="10"/>
  <c r="R35" i="10"/>
  <c r="S35" i="10"/>
  <c r="R13" i="10"/>
  <c r="S13" i="10"/>
  <c r="S51" i="10"/>
  <c r="R51" i="10"/>
  <c r="R10" i="10"/>
  <c r="S10" i="10"/>
  <c r="R50" i="10"/>
  <c r="S50" i="10"/>
  <c r="R33" i="10"/>
  <c r="S33" i="10"/>
  <c r="R49" i="10"/>
  <c r="S49" i="10"/>
  <c r="R37" i="10"/>
  <c r="S37" i="10"/>
  <c r="S23" i="10"/>
  <c r="R23" i="10"/>
  <c r="R29" i="10"/>
  <c r="S29" i="10"/>
  <c r="S15" i="10"/>
  <c r="R30" i="10"/>
  <c r="S30" i="10"/>
  <c r="R14" i="10"/>
  <c r="S14" i="10"/>
  <c r="R54" i="10"/>
  <c r="S54" i="10"/>
  <c r="S12" i="10"/>
  <c r="R12" i="10"/>
  <c r="S39" i="10"/>
  <c r="R39" i="10"/>
  <c r="R25" i="10"/>
  <c r="S25" i="10"/>
  <c r="R64" i="10"/>
  <c r="S64" i="10"/>
  <c r="R44" i="10"/>
  <c r="S44" i="10"/>
  <c r="S16" i="10"/>
  <c r="S56" i="10"/>
  <c r="R56" i="10"/>
  <c r="S48" i="10"/>
  <c r="R48" i="10"/>
  <c r="S31" i="10"/>
  <c r="R31" i="10"/>
  <c r="R55" i="10"/>
  <c r="S55" i="10"/>
  <c r="R41" i="10"/>
  <c r="S41" i="10"/>
  <c r="R21" i="10"/>
  <c r="S21" i="10"/>
  <c r="R47" i="10"/>
  <c r="S47" i="10"/>
  <c r="S28" i="10"/>
  <c r="R28" i="10"/>
  <c r="R18" i="10"/>
  <c r="S18" i="10"/>
  <c r="R58" i="10"/>
  <c r="S58" i="10"/>
  <c r="S46" i="10"/>
  <c r="R46" i="10"/>
  <c r="R40" i="10"/>
  <c r="S40" i="10"/>
  <c r="S27" i="10"/>
  <c r="R27" i="10"/>
  <c r="S57" i="10"/>
  <c r="R57" i="10"/>
  <c r="R53" i="10"/>
  <c r="S53" i="10"/>
  <c r="R45" i="10"/>
  <c r="S45" i="10"/>
  <c r="R34" i="10"/>
  <c r="S34" i="10"/>
  <c r="R26" i="10"/>
  <c r="S26" i="10"/>
  <c r="S17" i="10"/>
  <c r="R11" i="10"/>
  <c r="S11" i="10"/>
  <c r="Q99" i="10"/>
  <c r="T57" i="10"/>
  <c r="T17" i="10"/>
  <c r="T11" i="10"/>
  <c r="T65" i="10"/>
  <c r="T51" i="10"/>
  <c r="T39" i="10"/>
  <c r="T25" i="10"/>
  <c r="T10" i="10"/>
  <c r="T64" i="10"/>
  <c r="T50" i="10"/>
  <c r="T44" i="10"/>
  <c r="T38" i="10"/>
  <c r="T33" i="10"/>
  <c r="T24" i="10"/>
  <c r="T16" i="10"/>
  <c r="T45" i="10"/>
  <c r="T26" i="10"/>
  <c r="T56" i="10"/>
  <c r="T43" i="10"/>
  <c r="T32" i="10"/>
  <c r="T42" i="10"/>
  <c r="T31" i="10"/>
  <c r="T15" i="10"/>
  <c r="T55" i="10"/>
  <c r="T53" i="10"/>
  <c r="T34" i="10"/>
  <c r="T63" i="10"/>
  <c r="T49" i="10"/>
  <c r="T37" i="10"/>
  <c r="T23" i="10"/>
  <c r="T61" i="10"/>
  <c r="T48" i="10"/>
  <c r="T22" i="10"/>
  <c r="T60" i="10"/>
  <c r="T41" i="10"/>
  <c r="T36" i="10"/>
  <c r="T30" i="10"/>
  <c r="T21" i="10"/>
  <c r="T14" i="10"/>
  <c r="T59" i="10"/>
  <c r="T47" i="10"/>
  <c r="T35" i="10"/>
  <c r="T28" i="10"/>
  <c r="T18" i="10"/>
  <c r="T13" i="10"/>
  <c r="T58" i="10"/>
  <c r="T54" i="10"/>
  <c r="T46" i="10"/>
  <c r="T40" i="10"/>
  <c r="T27" i="10"/>
  <c r="T12" i="10"/>
  <c r="T29" i="10"/>
  <c r="U41" i="10" l="1"/>
  <c r="V41" i="10" s="1"/>
  <c r="U50" i="10"/>
  <c r="V50" i="10" s="1"/>
  <c r="U42" i="10"/>
  <c r="V42" i="10" s="1"/>
  <c r="U10" i="10"/>
  <c r="V10" i="10" s="1"/>
  <c r="U38" i="10"/>
  <c r="V38" i="10" s="1"/>
  <c r="U44" i="10"/>
  <c r="V44" i="10" s="1"/>
  <c r="U49" i="10"/>
  <c r="U46" i="10"/>
  <c r="V46" i="10" s="1"/>
  <c r="U22" i="10"/>
  <c r="V22" i="10" s="1"/>
  <c r="U24" i="10"/>
  <c r="V24" i="10" s="1"/>
  <c r="U37" i="10"/>
  <c r="V37" i="10" s="1"/>
  <c r="U32" i="10"/>
  <c r="V32" i="10" s="1"/>
  <c r="U63" i="10"/>
  <c r="V63" i="10" s="1"/>
  <c r="U21" i="10"/>
  <c r="V21" i="10" s="1"/>
  <c r="U55" i="10"/>
  <c r="V55" i="10" s="1"/>
  <c r="U57" i="10"/>
  <c r="V57" i="10" s="1"/>
  <c r="U11" i="10"/>
  <c r="V11" i="10" s="1"/>
  <c r="U43" i="10"/>
  <c r="V43" i="10" s="1"/>
  <c r="U28" i="10"/>
  <c r="V28" i="10" s="1"/>
  <c r="U34" i="10"/>
  <c r="V34" i="10" s="1"/>
  <c r="U23" i="10"/>
  <c r="V23" i="10" s="1"/>
  <c r="U51" i="10"/>
  <c r="V51" i="10" s="1"/>
  <c r="U40" i="10"/>
  <c r="V40" i="10" s="1"/>
  <c r="U15" i="10"/>
  <c r="V15" i="10" s="1"/>
  <c r="U45" i="10"/>
  <c r="V45" i="10" s="1"/>
  <c r="U30" i="10"/>
  <c r="V30" i="10" s="1"/>
  <c r="U27" i="10"/>
  <c r="V27" i="10" s="1"/>
  <c r="U58" i="10"/>
  <c r="V58" i="10" s="1"/>
  <c r="U60" i="10"/>
  <c r="V60" i="10" s="1"/>
  <c r="U53" i="10"/>
  <c r="V53" i="10" s="1"/>
  <c r="U26" i="10"/>
  <c r="V26" i="10" s="1"/>
  <c r="U33" i="10"/>
  <c r="V33" i="10" s="1"/>
  <c r="U64" i="10"/>
  <c r="V64" i="10" s="1"/>
  <c r="U39" i="10"/>
  <c r="V39" i="10" s="1"/>
  <c r="U13" i="10"/>
  <c r="V13" i="10" s="1"/>
  <c r="S99" i="10"/>
  <c r="U31" i="10"/>
  <c r="V31" i="10" s="1"/>
  <c r="U16" i="10"/>
  <c r="V16" i="10" s="1"/>
  <c r="U25" i="10"/>
  <c r="V25" i="10" s="1"/>
  <c r="U47" i="10"/>
  <c r="V47" i="10" s="1"/>
  <c r="U17" i="10"/>
  <c r="V17" i="10" s="1"/>
  <c r="U29" i="10"/>
  <c r="V29" i="10" s="1"/>
  <c r="T99" i="10"/>
  <c r="U18" i="10"/>
  <c r="V18" i="10" s="1"/>
  <c r="U36" i="10"/>
  <c r="V36" i="10" s="1"/>
  <c r="U12" i="10"/>
  <c r="V12" i="10" s="1"/>
  <c r="U59" i="10"/>
  <c r="V59" i="10" s="1"/>
  <c r="U48" i="10"/>
  <c r="V48" i="10" s="1"/>
  <c r="U54" i="10"/>
  <c r="V54" i="10" s="1"/>
  <c r="U35" i="10"/>
  <c r="V35" i="10" s="1"/>
  <c r="U14" i="10"/>
  <c r="V14" i="10" s="1"/>
  <c r="U61" i="10"/>
  <c r="V61" i="10" s="1"/>
  <c r="U56" i="10"/>
  <c r="V56" i="10" s="1"/>
  <c r="U65" i="10"/>
  <c r="V65" i="10" s="1"/>
  <c r="V49" i="10" l="1"/>
  <c r="U99" i="10"/>
  <c r="F11" i="15" s="1"/>
  <c r="F12" i="15" l="1"/>
  <c r="F13" i="15" s="1"/>
  <c r="R99" i="10"/>
  <c r="Q21" i="8"/>
  <c r="N70" i="12" l="1"/>
  <c r="N69" i="12"/>
  <c r="N68" i="12"/>
  <c r="N67" i="12"/>
  <c r="N66" i="12"/>
  <c r="R66" i="12" l="1"/>
  <c r="Q66" i="12"/>
  <c r="O67" i="12"/>
  <c r="Q67" i="12"/>
  <c r="R67" i="12"/>
  <c r="O68" i="12"/>
  <c r="Q68" i="12"/>
  <c r="R68" i="12"/>
  <c r="O69" i="12"/>
  <c r="Q69" i="12"/>
  <c r="R69" i="12"/>
  <c r="O70" i="12"/>
  <c r="Q70" i="12"/>
  <c r="R70" i="12"/>
  <c r="O66" i="12"/>
  <c r="O83" i="12" s="1"/>
  <c r="V99" i="10"/>
  <c r="G11" i="15"/>
  <c r="U21" i="8"/>
  <c r="S66" i="12" l="1"/>
  <c r="T66" i="12" s="1"/>
  <c r="S70" i="12"/>
  <c r="S68" i="12"/>
  <c r="T68" i="12" s="1"/>
  <c r="S69" i="12"/>
  <c r="T69" i="12" s="1"/>
  <c r="S67" i="12"/>
  <c r="G12" i="15"/>
  <c r="G13" i="15" s="1"/>
  <c r="T64" i="12"/>
  <c r="T70" i="12" l="1"/>
  <c r="H11" i="15"/>
  <c r="L11" i="15" s="1"/>
  <c r="T67" i="12"/>
  <c r="T83" i="12" s="1"/>
  <c r="M11" i="15" l="1"/>
  <c r="M12" i="15" s="1"/>
  <c r="H12" i="15"/>
  <c r="H13" i="15" s="1"/>
  <c r="L12" i="15"/>
  <c r="L13" i="15" l="1"/>
  <c r="M13" i="15"/>
</calcChain>
</file>

<file path=xl/sharedStrings.xml><?xml version="1.0" encoding="utf-8"?>
<sst xmlns="http://schemas.openxmlformats.org/spreadsheetml/2006/main" count="2925" uniqueCount="583">
  <si>
    <t>Город присутствия Ленты</t>
  </si>
  <si>
    <t>ГМ</t>
  </si>
  <si>
    <t>СМ</t>
  </si>
  <si>
    <t>статика</t>
  </si>
  <si>
    <t>динамика</t>
  </si>
  <si>
    <t>да</t>
  </si>
  <si>
    <t>нет</t>
  </si>
  <si>
    <t>тендер</t>
  </si>
  <si>
    <t>добор</t>
  </si>
  <si>
    <t>Волга</t>
  </si>
  <si>
    <t>Самара</t>
  </si>
  <si>
    <t>ГМ/СМ</t>
  </si>
  <si>
    <t>Дивизион</t>
  </si>
  <si>
    <t>Тольятти</t>
  </si>
  <si>
    <t>Димитровград</t>
  </si>
  <si>
    <t>Ульяновск</t>
  </si>
  <si>
    <t>Нижний Новгород</t>
  </si>
  <si>
    <t>Саранск</t>
  </si>
  <si>
    <t>Чебоксары</t>
  </si>
  <si>
    <t>Йошкар-Ола</t>
  </si>
  <si>
    <t>Казань</t>
  </si>
  <si>
    <t>Альметьевск</t>
  </si>
  <si>
    <t>Набережные Челны</t>
  </si>
  <si>
    <t>Нижнекамск</t>
  </si>
  <si>
    <t>Оренбург</t>
  </si>
  <si>
    <t>Орск</t>
  </si>
  <si>
    <t>Саратов</t>
  </si>
  <si>
    <t>Энгельс</t>
  </si>
  <si>
    <t>Пенза</t>
  </si>
  <si>
    <t>Балаково</t>
  </si>
  <si>
    <t>Уфа</t>
  </si>
  <si>
    <t>Стерлитамак</t>
  </si>
  <si>
    <t>Ижевск</t>
  </si>
  <si>
    <t>Юг</t>
  </si>
  <si>
    <t>Ростов-на-Дону</t>
  </si>
  <si>
    <t>Таганрог</t>
  </si>
  <si>
    <t>Новочеркасск</t>
  </si>
  <si>
    <t>Новошахтинск</t>
  </si>
  <si>
    <t>Шахты</t>
  </si>
  <si>
    <t>Краснодар</t>
  </si>
  <si>
    <t>Новороссийск</t>
  </si>
  <si>
    <t>Майкоп</t>
  </si>
  <si>
    <t>Грозный</t>
  </si>
  <si>
    <t>Волгоград</t>
  </si>
  <si>
    <t>Волжский</t>
  </si>
  <si>
    <t>Астрахань</t>
  </si>
  <si>
    <t>Старополь</t>
  </si>
  <si>
    <t>Железноволдск</t>
  </si>
  <si>
    <t>Армавир</t>
  </si>
  <si>
    <t>Черкесск</t>
  </si>
  <si>
    <t>Воронеж</t>
  </si>
  <si>
    <t>Белгород</t>
  </si>
  <si>
    <t>Липецк</t>
  </si>
  <si>
    <t>Орел</t>
  </si>
  <si>
    <t>Курск</t>
  </si>
  <si>
    <t>Москва</t>
  </si>
  <si>
    <t>Реутов</t>
  </si>
  <si>
    <t>Елино</t>
  </si>
  <si>
    <t>Балашиха</t>
  </si>
  <si>
    <t>Серигиев-Посад</t>
  </si>
  <si>
    <t>Троицк</t>
  </si>
  <si>
    <t>Тарасовка</t>
  </si>
  <si>
    <t>Истра</t>
  </si>
  <si>
    <t>Серпухов</t>
  </si>
  <si>
    <t>Домодедово</t>
  </si>
  <si>
    <t>Видное</t>
  </si>
  <si>
    <t>Наро-Фоминск</t>
  </si>
  <si>
    <t>Луховицы</t>
  </si>
  <si>
    <t>Коломна</t>
  </si>
  <si>
    <t>Череповец</t>
  </si>
  <si>
    <t>Вологда</t>
  </si>
  <si>
    <t>Рязань</t>
  </si>
  <si>
    <t>Иваново</t>
  </si>
  <si>
    <t>Тверь</t>
  </si>
  <si>
    <t>Брянск</t>
  </si>
  <si>
    <t>Ярославль</t>
  </si>
  <si>
    <t>Смоленск</t>
  </si>
  <si>
    <t>Владимир</t>
  </si>
  <si>
    <t>Тула</t>
  </si>
  <si>
    <t>Калуга</t>
  </si>
  <si>
    <t>Обнинск</t>
  </si>
  <si>
    <t>Кострома</t>
  </si>
  <si>
    <t>Сибирь</t>
  </si>
  <si>
    <t>Братск</t>
  </si>
  <si>
    <t>Новосибирск</t>
  </si>
  <si>
    <t>Красноярск</t>
  </si>
  <si>
    <t>Иркутск</t>
  </si>
  <si>
    <t>Ачинск</t>
  </si>
  <si>
    <t>Кемерово</t>
  </si>
  <si>
    <t>Прокопьевск</t>
  </si>
  <si>
    <t>Томск</t>
  </si>
  <si>
    <t>Юрга</t>
  </si>
  <si>
    <t>Омск</t>
  </si>
  <si>
    <t>Барнаул</t>
  </si>
  <si>
    <t>Северо-Запад</t>
  </si>
  <si>
    <t>Санкт-Петербург</t>
  </si>
  <si>
    <t>Волхов</t>
  </si>
  <si>
    <t>Сыктывкар</t>
  </si>
  <si>
    <t>Великий Новгород</t>
  </si>
  <si>
    <t>Петергоф</t>
  </si>
  <si>
    <t>Красное Село</t>
  </si>
  <si>
    <t>Псков</t>
  </si>
  <si>
    <t>Кингисепп</t>
  </si>
  <si>
    <t>Сосновый Бор</t>
  </si>
  <si>
    <t>Петрозаводск</t>
  </si>
  <si>
    <t>Всеволожск</t>
  </si>
  <si>
    <t>Колпино</t>
  </si>
  <si>
    <t>Архангельск</t>
  </si>
  <si>
    <t>Выборг</t>
  </si>
  <si>
    <t>Мурманск</t>
  </si>
  <si>
    <t>Урал</t>
  </si>
  <si>
    <t>Екатеринбург</t>
  </si>
  <si>
    <t>Нижний Тагил</t>
  </si>
  <si>
    <t>Каменск-Уральский</t>
  </si>
  <si>
    <t>Челябинск</t>
  </si>
  <si>
    <t>Магнитогорск</t>
  </si>
  <si>
    <t>Тюмень</t>
  </si>
  <si>
    <t>Тобольск</t>
  </si>
  <si>
    <t>Курган</t>
  </si>
  <si>
    <t>Пермь</t>
  </si>
  <si>
    <t>Сургут</t>
  </si>
  <si>
    <t>Ноябрьск</t>
  </si>
  <si>
    <t>Ханты-Манскийск</t>
  </si>
  <si>
    <t>Апрелевка</t>
  </si>
  <si>
    <t xml:space="preserve">Балашиха </t>
  </si>
  <si>
    <t>Долгопрудный</t>
  </si>
  <si>
    <t>Егорьевск</t>
  </si>
  <si>
    <t>Зеленоград</t>
  </si>
  <si>
    <t>Королев</t>
  </si>
  <si>
    <t>Красногорск</t>
  </si>
  <si>
    <t>Люберцы</t>
  </si>
  <si>
    <t>Малоярославец</t>
  </si>
  <si>
    <t>Мытищи</t>
  </si>
  <si>
    <t>Ногинск</t>
  </si>
  <si>
    <t>Одинцово</t>
  </si>
  <si>
    <t>Орехово-Зуево</t>
  </si>
  <si>
    <t>Селятино</t>
  </si>
  <si>
    <t>Тучково</t>
  </si>
  <si>
    <t>Фрязино</t>
  </si>
  <si>
    <t>Химки (Сходня)</t>
  </si>
  <si>
    <t>Кириши</t>
  </si>
  <si>
    <t>Ломоносов</t>
  </si>
  <si>
    <t>Луга</t>
  </si>
  <si>
    <t>Шлиссельбург</t>
  </si>
  <si>
    <t>Шушары</t>
  </si>
  <si>
    <t>Бердск</t>
  </si>
  <si>
    <t>Искитим</t>
  </si>
  <si>
    <t>Новокузнецк</t>
  </si>
  <si>
    <t>Первоуральск</t>
  </si>
  <si>
    <t>Парголово</t>
  </si>
  <si>
    <t>Кудрово</t>
  </si>
  <si>
    <t>Бугры</t>
  </si>
  <si>
    <t>indoor</t>
  </si>
  <si>
    <t>Центр</t>
  </si>
  <si>
    <t>Центр_ДМФ</t>
  </si>
  <si>
    <t>Мини</t>
  </si>
  <si>
    <t>охват</t>
  </si>
  <si>
    <t>навигация</t>
  </si>
  <si>
    <t>Формат размещения (статика/ динамика)</t>
  </si>
  <si>
    <t>транспорт</t>
  </si>
  <si>
    <t>навигационные знаки</t>
  </si>
  <si>
    <t>Город</t>
  </si>
  <si>
    <t>Кол-во носителей</t>
  </si>
  <si>
    <t>Разрешение</t>
  </si>
  <si>
    <t>Кол-во выходов в блоке</t>
  </si>
  <si>
    <t>Кол-во выходов в сутки</t>
  </si>
  <si>
    <t>Ташкент</t>
  </si>
  <si>
    <t xml:space="preserve">Время работы </t>
  </si>
  <si>
    <t xml:space="preserve">Период размещения </t>
  </si>
  <si>
    <t>Общая сумма (без  АК и НДС)</t>
  </si>
  <si>
    <t>Total без  АК и НДС</t>
  </si>
  <si>
    <t>Фото конструкции</t>
  </si>
  <si>
    <t xml:space="preserve">Адрес расположения </t>
  </si>
  <si>
    <t>Тип конструкции</t>
  </si>
  <si>
    <t>Размер конструкции</t>
  </si>
  <si>
    <t>Длительность ролика</t>
  </si>
  <si>
    <t>Клиент</t>
  </si>
  <si>
    <t>Проект</t>
  </si>
  <si>
    <t>Контактное лицо</t>
  </si>
  <si>
    <t>Дата</t>
  </si>
  <si>
    <t>Тип Внешней Рекламы</t>
  </si>
  <si>
    <t>Подрядчик по размещению</t>
  </si>
  <si>
    <t>Ledokol Group</t>
  </si>
  <si>
    <t xml:space="preserve">Размещение наружной рекламы в Узбекистане </t>
  </si>
  <si>
    <t>.cdr, .tif</t>
  </si>
  <si>
    <t>Стоимость за 1 единицу (без НДС)</t>
  </si>
  <si>
    <t>Самарканд</t>
  </si>
  <si>
    <t>Фото</t>
  </si>
  <si>
    <t>х</t>
  </si>
  <si>
    <t>1920х1080</t>
  </si>
  <si>
    <t>Динамика</t>
  </si>
  <si>
    <t xml:space="preserve">Ташкент </t>
  </si>
  <si>
    <t>18х7</t>
  </si>
  <si>
    <t>пр. Буньедкор, ор. Дворец дружбы народов</t>
  </si>
  <si>
    <t>10х5</t>
  </si>
  <si>
    <t>10х4</t>
  </si>
  <si>
    <t>6х3</t>
  </si>
  <si>
    <t>ул. Шахрисабз, ор. Автодорожный университет</t>
  </si>
  <si>
    <t>ул. Фархадская, ор. Фархадский рынок, Korzinka</t>
  </si>
  <si>
    <t>9х4</t>
  </si>
  <si>
    <t>8х4</t>
  </si>
  <si>
    <t xml:space="preserve">улиц Осиё и Шарафа Рашидова (Пожарка 2) </t>
  </si>
  <si>
    <t>ул. Паркентская и ул. Олтин тепа, возле новостройки</t>
  </si>
  <si>
    <t xml:space="preserve">Ул. Гавхар . Метро Алмазар </t>
  </si>
  <si>
    <t>ул. Мустакиллик, возле площади Х. Алимджана</t>
  </si>
  <si>
    <t>12х6x2</t>
  </si>
  <si>
    <t xml:space="preserve">ул. Нукусская и Авлиё Ота (Госпитальный рынок) </t>
  </si>
  <si>
    <t>ул. Мирзо Улугбек и Дормон йўли</t>
  </si>
  <si>
    <t>LED - экран</t>
  </si>
  <si>
    <t xml:space="preserve">экран </t>
  </si>
  <si>
    <t xml:space="preserve">Формат размещения </t>
  </si>
  <si>
    <t xml:space="preserve">динамика </t>
  </si>
  <si>
    <t>7:00-23:00</t>
  </si>
  <si>
    <t>100-200</t>
  </si>
  <si>
    <t>1800х700</t>
  </si>
  <si>
    <t>960х480</t>
  </si>
  <si>
    <t xml:space="preserve">ул. Махтумкули и Шахрисабзская (6 - Роддом) </t>
  </si>
  <si>
    <t>ул.Навои и ул.Абай  Ор-р Станция метро «А.Навои</t>
  </si>
  <si>
    <t>720х360</t>
  </si>
  <si>
    <t xml:space="preserve">ул. Мирзо Улугбека, Ашхабад </t>
  </si>
  <si>
    <t>1440х720</t>
  </si>
  <si>
    <t>9х5</t>
  </si>
  <si>
    <t xml:space="preserve">ул. Махтумкулы, Успенко, Black Star Burger </t>
  </si>
  <si>
    <t>Перекрёсток Пр. Беруни и ул. Нурафшон. Метро Тинчлик</t>
  </si>
  <si>
    <t>1024х512</t>
  </si>
  <si>
    <t>ул. Мукимий, в сторону рест. Dudek, рядом школа-144</t>
  </si>
  <si>
    <t>720x360</t>
  </si>
  <si>
    <t>Total без НДС в RUB</t>
  </si>
  <si>
    <t>ул Ибн Сино, автовокзал, юксалиш</t>
  </si>
  <si>
    <t>led-остановка</t>
  </si>
  <si>
    <t>ул Ибн Сино, академический лицей</t>
  </si>
  <si>
    <t>ул Дагбитская, перекресток гелион</t>
  </si>
  <si>
    <t>уд Дагбитская, студенческое общежитие</t>
  </si>
  <si>
    <t>ул Бустонсарой, стадион Спартак</t>
  </si>
  <si>
    <t>уд Дагбитская, анор банк</t>
  </si>
  <si>
    <t>ул Рудаки, 6 баня</t>
  </si>
  <si>
    <t xml:space="preserve">Цена с учетом скидки </t>
  </si>
  <si>
    <t xml:space="preserve">Цена с учетом скидки  в RUB </t>
  </si>
  <si>
    <t xml:space="preserve">Наманган </t>
  </si>
  <si>
    <t xml:space="preserve">Фергана </t>
  </si>
  <si>
    <t>7х4</t>
  </si>
  <si>
    <t>28х4</t>
  </si>
  <si>
    <t xml:space="preserve">Андижан </t>
  </si>
  <si>
    <t xml:space="preserve">Бухара </t>
  </si>
  <si>
    <t>Карши</t>
  </si>
  <si>
    <t>Ургенч</t>
  </si>
  <si>
    <t>Термез</t>
  </si>
  <si>
    <t>Прогнозное Кол-во выходов в сутки</t>
  </si>
  <si>
    <t>200-300</t>
  </si>
  <si>
    <t xml:space="preserve">Самарканд </t>
  </si>
  <si>
    <t>Бухара</t>
  </si>
  <si>
    <t>Фергана</t>
  </si>
  <si>
    <t>Андижан</t>
  </si>
  <si>
    <t>Наманган</t>
  </si>
  <si>
    <t>Стоимость монтажных  и печатный работ ( без АК и НДС)</t>
  </si>
  <si>
    <t xml:space="preserve">Статика </t>
  </si>
  <si>
    <t xml:space="preserve">Карши </t>
  </si>
  <si>
    <t xml:space="preserve">билборд </t>
  </si>
  <si>
    <t xml:space="preserve">статика </t>
  </si>
  <si>
    <t xml:space="preserve">Аэропорт </t>
  </si>
  <si>
    <t>круглосуточно</t>
  </si>
  <si>
    <t xml:space="preserve">Аэропорт  </t>
  </si>
  <si>
    <t>АК 5%</t>
  </si>
  <si>
    <t>Led экран вылет 1</t>
  </si>
  <si>
    <t>2560х244</t>
  </si>
  <si>
    <t>1012х122</t>
  </si>
  <si>
    <t>Остановки</t>
  </si>
  <si>
    <t>Международный аэропорт им Ислама Каримова</t>
  </si>
  <si>
    <t>7х3</t>
  </si>
  <si>
    <t>Led экран вылет 2</t>
  </si>
  <si>
    <t>1504х178</t>
  </si>
  <si>
    <t>ул. Буюк Ипак Йули, перекресток возле метро</t>
  </si>
  <si>
    <t>19х8</t>
  </si>
  <si>
    <t xml:space="preserve">2432х1024 </t>
  </si>
  <si>
    <t>Ул.Махтумкули, Макро</t>
  </si>
  <si>
    <t>Итоговая сумма с АК и НДС</t>
  </si>
  <si>
    <t>МКАД - ул. Авлие ота, перекресток Саракулька</t>
  </si>
  <si>
    <t xml:space="preserve">ул. Сагбан, перекресток Чорсу, в сторону базара( Зайкарнар ) </t>
  </si>
  <si>
    <t>Ул. Лутфий кафе «АФРУЗ»</t>
  </si>
  <si>
    <t xml:space="preserve">Мкад и ул Ш. Рашидова  , Мечеть Минор </t>
  </si>
  <si>
    <t xml:space="preserve">Термез </t>
  </si>
  <si>
    <t>Коканд</t>
  </si>
  <si>
    <t>6x3</t>
  </si>
  <si>
    <t>ул Нукусская, ор перекрёсток винзавод</t>
  </si>
  <si>
    <t>12х6</t>
  </si>
  <si>
    <t xml:space="preserve">1536х768 </t>
  </si>
  <si>
    <t>Аэропорт, при выезде из Международного аэропорта Ташкента</t>
  </si>
  <si>
    <t>18х8</t>
  </si>
  <si>
    <t>2665х1152</t>
  </si>
  <si>
    <t>5х3</t>
  </si>
  <si>
    <t>ул.Академика Ибрагима Муминова, ориентир: Elite Посуда</t>
  </si>
  <si>
    <t>ул.И.Муминова, ориентир: БГУ</t>
  </si>
  <si>
    <t>id</t>
  </si>
  <si>
    <t>ots</t>
  </si>
  <si>
    <t>rating</t>
  </si>
  <si>
    <t>universe</t>
  </si>
  <si>
    <t>Нукус</t>
  </si>
  <si>
    <t xml:space="preserve">Шахристанская, Корзинка </t>
  </si>
  <si>
    <t>ул. Себзар, перекресток рядом с ТРЦ Riviera</t>
  </si>
  <si>
    <t xml:space="preserve"> ул. Чулпан и Ахангаранское  шоссе (Крестик )</t>
  </si>
  <si>
    <t>Новза , ор- р Мечеть</t>
  </si>
  <si>
    <t>12х5х2</t>
  </si>
  <si>
    <t>Ул. А. Темур и Осие, Orient House</t>
  </si>
  <si>
    <t>(ГУМ) район пресечение улиц Самарканд Дарвоза и Беруний</t>
  </si>
  <si>
    <t>ул. Мукими , Спорт товары</t>
  </si>
  <si>
    <t>Юнусабад , ор-р Сайрам</t>
  </si>
  <si>
    <t>ул. ТКАД и ул. Хамрокула Турсункулова . Рынок Урикзор</t>
  </si>
  <si>
    <t>(Метро Чиланзар) МКАД</t>
  </si>
  <si>
    <t>ул. А. Дониша, фасад ТРЦ Mega Planet</t>
  </si>
  <si>
    <t>43х12</t>
  </si>
  <si>
    <t>2064х768</t>
  </si>
  <si>
    <t>1440x600</t>
  </si>
  <si>
    <t>ул.имени Каримова, ориентир: Микрорайон</t>
  </si>
  <si>
    <t>ул. Гирвонсой Ориентир Парк Афсона</t>
  </si>
  <si>
    <t>ул. А.Навои Ориентир Рынок Чорсу</t>
  </si>
  <si>
    <t>ул. И. Каримова и А. Темура Ориентир Lagman House</t>
  </si>
  <si>
    <t>ул. А.Навои и проспект Бабура Ориентир Молодежный центр</t>
  </si>
  <si>
    <t>перекрёсток ул.Кокандская и А.Наваи, ориентир рынок Сардоба</t>
  </si>
  <si>
    <t>ул. И.Каримова и Оромгох Ориентир Рынок Дустлик</t>
  </si>
  <si>
    <t>ул. Туракурган и ул. А. Наваи Ориентир ШОДЛИК</t>
  </si>
  <si>
    <t>перекрёсток ул.Галаба и Хотира, ориентир Макро</t>
  </si>
  <si>
    <t>пересечение улиц Н.Номонгони и ул.Б.Машраб, ориентир УВД, 1я поликлиника</t>
  </si>
  <si>
    <t>ул. Мустакиллик и Малая кольцевая дорога Ориентир ТАТУ</t>
  </si>
  <si>
    <t>ул. Ахмада Яссавий и Узбекистон овози Ориентир Давр Банк</t>
  </si>
  <si>
    <t>ул. Сайлох и Аль Фергани Ориентир Mobiuz</t>
  </si>
  <si>
    <t>ул. А. Навои и Сохибкирон Тимура Ориентир Кинотеатр Нурхан</t>
  </si>
  <si>
    <t>ул. Ватан Равнаки и Додхо Ориентир ресторан Сутан Ахмет (Зиерат)</t>
  </si>
  <si>
    <t>ул. Ватан Равнаки и У.Юсупова Ориентир Центральный Рынок</t>
  </si>
  <si>
    <t>ул. А. Навои и Юксалиш Ориентир Асака Банк</t>
  </si>
  <si>
    <t>Малая кольцева дорога Ориентир Полвон шашлык</t>
  </si>
  <si>
    <t>ул. Лермонтова и Машраб Ориентир Поликлиника N5</t>
  </si>
  <si>
    <t>Проспект Бобура и ул.Машраб Ориентир СЭС, Макро</t>
  </si>
  <si>
    <t>проспект Амир Темура и ул.Турон Ориентир Корзинка</t>
  </si>
  <si>
    <t>ул. Узбекистанская и Бобуршох Ориентир Центр Диагностики</t>
  </si>
  <si>
    <t>ул. А.Навои и Узбекистанская Ориентир Областной Хакимият</t>
  </si>
  <si>
    <t>Ул. Дукчи Эшон, ориентир: Toshkent Premium</t>
  </si>
  <si>
    <t>Проспект Бабура Ориентир: янги базар (3х сторонка )</t>
  </si>
  <si>
    <t>ул. Бобуршох</t>
  </si>
  <si>
    <t>ул. Абу Райхон Беруний Ориентир Старый Билайн</t>
  </si>
  <si>
    <t>ул. Дагбитская и Ибн Сино Ориентир Быв Завод ГЕЛИОН</t>
  </si>
  <si>
    <t>ул. А. Темура Ориентир Каримбек</t>
  </si>
  <si>
    <t>ул.Регистанская и ул.Дагбитская, ориентир: бывший ликёро-водочный завод</t>
  </si>
  <si>
    <t>ул. Шахруха Мирза Ориентир ТЦ Макон Малл</t>
  </si>
  <si>
    <t>ул. Хожа Ахрор Валий Ориентир Сельский круг</t>
  </si>
  <si>
    <t>28х5</t>
  </si>
  <si>
    <t>ул. Аль Хорезм Ориентир Сиябский базар</t>
  </si>
  <si>
    <t>ул. Узбекистанская Ориентир Детская поликлиника</t>
  </si>
  <si>
    <t>проспект Навои, ориентир: Городская больница</t>
  </si>
  <si>
    <t>ул. Туркестанская Ориентир Эркин Базар</t>
  </si>
  <si>
    <t>ул. Нарпайская Ориентир ТЦ FAMILY PARK</t>
  </si>
  <si>
    <t>ул.Навои Шох и ул.Гагарина, ориентир: Festival Mall</t>
  </si>
  <si>
    <t>Ул. Мирзо Улугбека Ор Well Supermarket</t>
  </si>
  <si>
    <t>ул. Узбекистанская</t>
  </si>
  <si>
    <t>Проспект Навои и ул. Пиридастгир Ориентир МЕГА МАРКЕТ</t>
  </si>
  <si>
    <t>ул. Намозгох Ориентир Областная Больница</t>
  </si>
  <si>
    <t>ул Б. Накшбанд и Файзобод, ориентир: Моника</t>
  </si>
  <si>
    <t>ул.Гиждуван, ориентир: Карван Базар</t>
  </si>
  <si>
    <t>ул.Сулеймана Мурадова, ориентир: кафе Borжуй</t>
  </si>
  <si>
    <t>ул.Ислама Каримова, ориентир: Юридический техникум</t>
  </si>
  <si>
    <t>проспект ул.Бухоро и ул.М.Торобий, ориентир- Железнодорожный вокзал</t>
  </si>
  <si>
    <t>ул. Мустакиллик и Узбекистан Ориентир Круг Курант</t>
  </si>
  <si>
    <t>ул. Жайхун и Насаф Ориентир Чайхана Карши</t>
  </si>
  <si>
    <t>ул.Насаф Ориентир Сифат</t>
  </si>
  <si>
    <t>ул.И.Каримова и Хашабадское Ориентир Мед Колледж</t>
  </si>
  <si>
    <t>ул. Узбекистан и Жайхун Ориентир Карши Малл</t>
  </si>
  <si>
    <t>Проспект Эмира Тимура Ориентир Янги Базар</t>
  </si>
  <si>
    <t xml:space="preserve">ул.Мустакиллик, ориентир: фабрика Санам
</t>
  </si>
  <si>
    <t>ул. Янги Шовот Йули Ориентир ТЦ Даритал</t>
  </si>
  <si>
    <t>ул.П.Махмуда и Аль Хоразмий Ориентир Миллий Банк</t>
  </si>
  <si>
    <t>ул. Янги Шовом Йули и Мустакиллик Ориентир Вещевой Рынок</t>
  </si>
  <si>
    <t>проспект Аль Хорезми и ул. Йошлик Ориентир NBU</t>
  </si>
  <si>
    <t>ул. Зарафшон и Ханка Ориентир Гостиница Анталия</t>
  </si>
  <si>
    <t>ул. Тинчлик и Узбекистанская Ориентир ЦУМ</t>
  </si>
  <si>
    <t>ул. А.Тимура и А.Досназарова Ориентир Городская Прокуратура</t>
  </si>
  <si>
    <t>ул. Блимлилер и Дарбент Ориентир Пед Институт</t>
  </si>
  <si>
    <t>ул. А.Досназарова и Таза Жол Ориентир Вокзал</t>
  </si>
  <si>
    <t>3х5</t>
  </si>
  <si>
    <t>пересечение ул:М.Жуманазаров и А.Досназарова Ориентир Республикансакая больница</t>
  </si>
  <si>
    <t>Ул.Е.Алакоза, ориентир: ТЦ АРЕНА</t>
  </si>
  <si>
    <t>4х4</t>
  </si>
  <si>
    <t>пересечение ул.Каракалпакстан и ул.Гаресизлик, ориентир Пед институт 2</t>
  </si>
  <si>
    <t>ул. Ибн Сино Ориентир Вокзал</t>
  </si>
  <si>
    <t>Ул Алишера Навои Ор Юбилейный</t>
  </si>
  <si>
    <t>Ул Алишера Навои Ор Почта</t>
  </si>
  <si>
    <t>Ул Истиклол Ор Кукольный театр</t>
  </si>
  <si>
    <t>ул. Алишер Навои и У.Насыр Ориентир Центр ГОСуслуг</t>
  </si>
  <si>
    <t>ул. У. Насыра и НавбахорьОриентир рынок "Янги базар"</t>
  </si>
  <si>
    <t>ул. Мовароуннахр Ориентир Вокзал</t>
  </si>
  <si>
    <t>ул. Фурката и ул. Шохрухобод Ориентир Космонавт</t>
  </si>
  <si>
    <t>ул . Чархий ,(Амира Тимура ) ориентир Алтаир</t>
  </si>
  <si>
    <t>Маргилан</t>
  </si>
  <si>
    <t>ул. Мустакиллик Ор-р: Маргиланский базар</t>
  </si>
  <si>
    <t>до 15 секунд</t>
  </si>
  <si>
    <t>Автобусы</t>
  </si>
  <si>
    <t>Улица Фаргона-Йули, корзинка "Файзобад"</t>
  </si>
  <si>
    <t>ул. Ахангаранское шоссе и ТКАД, ор. Круг Рохат</t>
  </si>
  <si>
    <t>6х40</t>
  </si>
  <si>
    <t>1680х720</t>
  </si>
  <si>
    <t>дорога МКАД, перекресток Ипакчилик</t>
  </si>
  <si>
    <t>(БЕРУНИЙ) пересечение проспекта Беруний и ул. Фараб</t>
  </si>
  <si>
    <t>13х5</t>
  </si>
  <si>
    <t>Ул. Янги Сергили. Ор: мост "Сергели" развилке</t>
  </si>
  <si>
    <t>12х5</t>
  </si>
  <si>
    <t>1440х600</t>
  </si>
  <si>
    <t>ТЦ City Mall, центральный вход PARK SIDE CENTRAL</t>
  </si>
  <si>
    <t>12,5х11,5</t>
  </si>
  <si>
    <t>2496х2304</t>
  </si>
  <si>
    <t>ТЦ City Mall, на углу торгового центра, 3Д HOTEL SIDE 3D</t>
  </si>
  <si>
    <t>48х7</t>
  </si>
  <si>
    <t>9600x1344</t>
  </si>
  <si>
    <t>Ангрен</t>
  </si>
  <si>
    <t>ул . Бунедкор и Марифат (Уголок )</t>
  </si>
  <si>
    <t xml:space="preserve">ул Навои и Мустакиллик  ( Базар ) </t>
  </si>
  <si>
    <t xml:space="preserve">ул  Ахангаранская (Каканд ) </t>
  </si>
  <si>
    <t>Тип внешней рекламы</t>
  </si>
  <si>
    <t>Стоимость за 1 единицу ( без НДС)</t>
  </si>
  <si>
    <t>Ledokol x Golden House 2025 final.xlsx</t>
  </si>
  <si>
    <t xml:space="preserve">Итоговая сумма </t>
  </si>
  <si>
    <t>Стоимость производства</t>
  </si>
  <si>
    <t>LED Ташкент</t>
  </si>
  <si>
    <t>ТЦ Samarkand Darvoza</t>
  </si>
  <si>
    <t>10х11,5</t>
  </si>
  <si>
    <t>пр. Ш. Рашидова, на стороне гостиницы Lotte Hotel</t>
  </si>
  <si>
    <t>пр. Ш. Рашидова, Ц-5 возле Монумента Мужества</t>
  </si>
  <si>
    <t>Ул. М. Улугбека магазин Чимган</t>
  </si>
  <si>
    <t>ул. У. Насыра, ор. Южный вокзал, ТРЦ Vega</t>
  </si>
  <si>
    <t>пр. А. Тимура, гостиница City Palace</t>
  </si>
  <si>
    <t>АлЬ Хорезмий, ор-р Гостиница Узбекистан</t>
  </si>
  <si>
    <t>АлЬ Хорезмий, ор-р медиапарк</t>
  </si>
  <si>
    <t>АлЬ Хорезмий, ор-р перекресток Бахадыр хана</t>
  </si>
  <si>
    <t>А5 горизонтальный</t>
  </si>
  <si>
    <t>А5</t>
  </si>
  <si>
    <t>Москва 1</t>
  </si>
  <si>
    <t>Москва 2</t>
  </si>
  <si>
    <t>Ташкент Сарыагаш Оренбург
Сырзань - Рязань - Москва</t>
  </si>
  <si>
    <t>2 д 18 ч 10 мин</t>
  </si>
  <si>
    <t xml:space="preserve">Стикеры на панели </t>
  </si>
  <si>
    <t xml:space="preserve">Самаркандская область </t>
  </si>
  <si>
    <t>Кашкадарьинская область</t>
  </si>
  <si>
    <t>Сурхандарьинская область</t>
  </si>
  <si>
    <t>Бухарская область</t>
  </si>
  <si>
    <t>Навоинская область</t>
  </si>
  <si>
    <t xml:space="preserve">левый борт </t>
  </si>
  <si>
    <t>LED Регионы</t>
  </si>
  <si>
    <t xml:space="preserve">LED Остановки </t>
  </si>
  <si>
    <t>Итого в UZS</t>
  </si>
  <si>
    <t>Итого в RUB</t>
  </si>
  <si>
    <t>Прогнозное кол-во выходов в сутки</t>
  </si>
  <si>
    <t>Стоимость за 1 единицу (без АК и НДС)</t>
  </si>
  <si>
    <t>100-201</t>
  </si>
  <si>
    <t>Ул.Сагбан и ул.Нурафшан</t>
  </si>
  <si>
    <t>8х2,5</t>
  </si>
  <si>
    <t>ул Фаргона Йули, рисовый базар</t>
  </si>
  <si>
    <t>Мостовые "Паркенский "</t>
  </si>
  <si>
    <t>960х300</t>
  </si>
  <si>
    <t>ул. Айбека и Шахрисабз, напротив Angels food на стороне Восточки</t>
  </si>
  <si>
    <t>(Лабзак) Шайхонтохурский район пересечение улиц Зулфияхоним</t>
  </si>
  <si>
    <t>Пересечение ул.Гирвансайская и ул.А.Тимура, Ориентир Hamkorbank</t>
  </si>
  <si>
    <t>перекрёсток ул.Хотира и проспекта Курумсай, ориентир Косонсой пятак</t>
  </si>
  <si>
    <t>ул. Гагарина и М. Улугбека Ориентир УЗИ №1</t>
  </si>
  <si>
    <t>8х5</t>
  </si>
  <si>
    <t>ул.Ислама Каримова, ориентир- Спортивный комплекс</t>
  </si>
  <si>
    <t>Статика Таш + Регионы</t>
  </si>
  <si>
    <t xml:space="preserve">4 часа 30 мин </t>
  </si>
  <si>
    <t xml:space="preserve">7 часов </t>
  </si>
  <si>
    <t xml:space="preserve">10 часов </t>
  </si>
  <si>
    <t xml:space="preserve">8 часов 50 мин </t>
  </si>
  <si>
    <t xml:space="preserve">Стоимость за 1 ед   в RUB </t>
  </si>
  <si>
    <t>Проспект Алишер Навои Ориентир Банк Ипотека</t>
  </si>
  <si>
    <t>ул. Алишер Навои Ориентир Юридический Техникум</t>
  </si>
  <si>
    <t>4х5</t>
  </si>
  <si>
    <t>6х4</t>
  </si>
  <si>
    <t>ул.Риштан, ориентир: автовокзал Риштан</t>
  </si>
  <si>
    <t>ул.А. Навои и Фуркат Ор Микрокредит Банк</t>
  </si>
  <si>
    <t>кольцевая дорога Фергана, ориентир: Бекабад</t>
  </si>
  <si>
    <t>500-600</t>
  </si>
  <si>
    <t>400-500</t>
  </si>
  <si>
    <t>Стоимость за 1 единицу (без НДС) на 2026 год</t>
  </si>
  <si>
    <t xml:space="preserve">кол-во </t>
  </si>
  <si>
    <t>Стоимость за 1 единицу (без АК и НДС) февраль</t>
  </si>
  <si>
    <t>Стоимость за 1 единицу (без АК и НДС) март</t>
  </si>
  <si>
    <t>Ташкент - Самарканд , Самарканд - Ташкент</t>
  </si>
  <si>
    <t>Ташкент - Бухара , Бухара - Ташкент</t>
  </si>
  <si>
    <t>Ташкент - Карши , Карши - Ташкент</t>
  </si>
  <si>
    <t xml:space="preserve">Ташкент - Термез , Термез - Ташкент </t>
  </si>
  <si>
    <t xml:space="preserve">Ташкент - Навои ,Навои - Ташкент </t>
  </si>
  <si>
    <t>21.5х1,44</t>
  </si>
  <si>
    <t>Led экран терминал</t>
  </si>
  <si>
    <t>8576х576</t>
  </si>
  <si>
    <t>15 секунд</t>
  </si>
  <si>
    <t>Международный аэропорт</t>
  </si>
  <si>
    <t xml:space="preserve">43 дюйма </t>
  </si>
  <si>
    <t xml:space="preserve">мониторы по всему терминалу </t>
  </si>
  <si>
    <t>Карта</t>
  </si>
  <si>
    <t>Поезда</t>
  </si>
  <si>
    <t xml:space="preserve">Ул. Янги Сергели и ул.Мехригие </t>
  </si>
  <si>
    <t>проспект Аль Хорезмий, НБУ</t>
  </si>
  <si>
    <t>АлЬ Хорезмий, Халк банк</t>
  </si>
  <si>
    <t>Ул Шахриобод и ул.Богишамол , Сампи .</t>
  </si>
  <si>
    <t xml:space="preserve">Круг Учкахрамон </t>
  </si>
  <si>
    <t>ул. Рихсили , Юнусабад Галлери</t>
  </si>
  <si>
    <t xml:space="preserve">Ул.С.Дарваза .в сторону Ок-тепа </t>
  </si>
  <si>
    <t xml:space="preserve">Ул Саракулька , около Корзинки </t>
  </si>
  <si>
    <t xml:space="preserve">Ткад , около кафе Анхор . Сергели </t>
  </si>
  <si>
    <t>призматрон</t>
  </si>
  <si>
    <t>Ул Ибн Сино, около магазина Yashil Dunyo</t>
  </si>
  <si>
    <t>Ул Ибн Сино, инденим</t>
  </si>
  <si>
    <t>Ул Алишер Навои, ЦГУ</t>
  </si>
  <si>
    <t>Ул Алишер Навои, стадион Сурхон</t>
  </si>
  <si>
    <t>Ул Алишер Навои, около института</t>
  </si>
  <si>
    <t>аэропорт</t>
  </si>
  <si>
    <t>улица Истиклол, торговый центр</t>
  </si>
  <si>
    <t>улица Тараккиёт, давр банк</t>
  </si>
  <si>
    <t>улица Пиридастгир, бухарский колледж</t>
  </si>
  <si>
    <t>улица Бахауддина Накшбанда, Перекресток Шербудин, Горбольница, дорога в Аэропорт</t>
  </si>
  <si>
    <t>проспект Алишера Навои, Янги Узбекистон, Чехов Клуб, Торговые ряды, рестораны</t>
  </si>
  <si>
    <t>Гиждуван улица, Старый Автовокзал, въезд/выезд в Бухару со стороны Ташкента</t>
  </si>
  <si>
    <t>улица Каюма Муртазаева, технологический институт</t>
  </si>
  <si>
    <t>улица Сулеймана Мурадова, центральный рынок</t>
  </si>
  <si>
    <t>улица Бахауддина Накшбанда, аэропорт</t>
  </si>
  <si>
    <t>улица Мухаммада Икбала, ипотека банк</t>
  </si>
  <si>
    <t>улица Саноатчилар, автосервис</t>
  </si>
  <si>
    <t>улица Жайхун, чайхона  Карши</t>
  </si>
  <si>
    <t>улица Насаф Дача, около магазина</t>
  </si>
  <si>
    <t>улица Насаф, дехканский базар</t>
  </si>
  <si>
    <t>улица Хонобод Йули, Орзу бозор вешивой рынок.</t>
  </si>
  <si>
    <t>4х3</t>
  </si>
  <si>
    <t>проспект Алишера Навои, университет</t>
  </si>
  <si>
    <t>улица Машраб, магазин LG</t>
  </si>
  <si>
    <t>улица Мустакиллик, гостиница Plaza</t>
  </si>
  <si>
    <t>улНовокольцевая улица, рынок автозапчастей</t>
  </si>
  <si>
    <t>улица Чулпон Шох, мусаффо</t>
  </si>
  <si>
    <t>улица Пирмухамедова, стройрынок</t>
  </si>
  <si>
    <t xml:space="preserve"> улица Гулистон, жахон базар</t>
  </si>
  <si>
    <t>проспект Бабура, хамкорбанк</t>
  </si>
  <si>
    <t>Самаркандская кольцевая дорога, Напротив «Самарканд Нон Маркази»
Гребной канал, Самарканд Сити</t>
  </si>
  <si>
    <t>Самаркандская кольцевая дорога, Въезд в город, Лесх</t>
  </si>
  <si>
    <t xml:space="preserve"> улица Рудаки, рынок стройматериалов</t>
  </si>
  <si>
    <t>улица Гагарина, напротив МЧС</t>
  </si>
  <si>
    <t>улица Катта Узбек тракт, Рынок автозапчастей</t>
  </si>
  <si>
    <t>Пенджикентская улица, а пересечении с ул.Джами,
Школа №5</t>
  </si>
  <si>
    <t>улица Фирдоуси, Завод «Бахмал», Самарканд Сити</t>
  </si>
  <si>
    <t>улТермезское шоссе, Перекресток, за остановкой</t>
  </si>
  <si>
    <t>Кокандская улица, автосервис</t>
  </si>
  <si>
    <t>улица Янги Аср, школа №16</t>
  </si>
  <si>
    <t>улица Фергана, около парка</t>
  </si>
  <si>
    <t>улица Пахлавона Махмуда, турон банк</t>
  </si>
  <si>
    <t>улица Университет, тенге банк</t>
  </si>
  <si>
    <t>улица Маърифат, ипотека банк</t>
  </si>
  <si>
    <t>улМалая кольцевая дорога, роддом №1</t>
  </si>
  <si>
    <t>улица Кашкар-кишлок, дворец искусств</t>
  </si>
  <si>
    <t>улица Юксалиш, корзи</t>
  </si>
  <si>
    <t>улица Офтоб, автосервис</t>
  </si>
  <si>
    <t>улица Саид Ахмад, центр переливания крови</t>
  </si>
  <si>
    <t>улица Додхох, институт повышения квалификации</t>
  </si>
  <si>
    <t>проспект Узбекистан, ресторан Версаль</t>
  </si>
  <si>
    <t>улица Садриддин Айни, центр гос услуг</t>
  </si>
  <si>
    <t>улица Аллаяра Досназарова, министерство ЖКХ</t>
  </si>
  <si>
    <t xml:space="preserve">Ургенч </t>
  </si>
  <si>
    <t xml:space="preserve">улица Давлатобод и ул. И. Каримова , Банк НБУ </t>
  </si>
  <si>
    <t xml:space="preserve">ул.Уйчи, школа №15 </t>
  </si>
  <si>
    <t>Ул.Гирвонсой , метан заправка</t>
  </si>
  <si>
    <t>ул.Уйчи, гос-ца Чорсу ( мост)</t>
  </si>
  <si>
    <t>Ул. Гавхар , спуск с моста , около строительного базар</t>
  </si>
  <si>
    <t>ул.,Алпомиш, ориентир: старая остановка ХБК</t>
  </si>
  <si>
    <t>пересечение  ул Ибн Сно, Афросиаб ориентир: перекресток «РАЙМАГ»</t>
  </si>
  <si>
    <t>Ул Алпомыш , паспортный стол</t>
  </si>
  <si>
    <t xml:space="preserve">  ул. Мустакиллик ор-р ЭВОС</t>
  </si>
  <si>
    <t xml:space="preserve"> улица Найман ( Жахон базар )</t>
  </si>
  <si>
    <t>Ул. Бобура  Ориентир: «пер клиника»</t>
  </si>
  <si>
    <t>Янги бозор Ориентир: « IRIS CAFE»</t>
  </si>
  <si>
    <t>улица Джуманазарова, ориентир: Media Park</t>
  </si>
  <si>
    <t>улица Хужалик, ориентир: МЧС Нукуса</t>
  </si>
  <si>
    <t>27- микрорайон</t>
  </si>
  <si>
    <t>Ул. Фидокор , рынок автозапчастей</t>
  </si>
  <si>
    <t>22.01.2026</t>
  </si>
  <si>
    <t>1160х1400</t>
  </si>
  <si>
    <t xml:space="preserve">кол-во смены имиджа </t>
  </si>
  <si>
    <t xml:space="preserve">кол-во сены имиджа </t>
  </si>
  <si>
    <t>плановые охваты</t>
  </si>
  <si>
    <t>https://yandex.uz/maps/10335/tashkent/?ll=69.280761%2C41.308950&amp;mode=usermaps&amp;source=constructorLink&amp;um=constructor%3A5e2a584d1791b34631c6666a753435b6a05652157f1241463242030e8249cf9c&amp;z=12.52</t>
  </si>
  <si>
    <t>TBC</t>
  </si>
  <si>
    <t xml:space="preserve">TBC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</si>
</sst>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#,##0\ &quot;₽&quot;;\-#,##0\ &quot;₽&quot;"/>
    <numFmt numFmtId="41" formatCode="_-* #,##0_-;\-* #,##0_-;_-* &quot;-&quot;_-;_-@_-"/>
    <numFmt numFmtId="43" formatCode="_-* #,##0.00_-;\-* #,##0.00_-;_-* &quot;-&quot;??_-;_-@_-"/>
    <numFmt numFmtId="164" formatCode="_-* #,##0\ [$UZS]_-;\-* #,##0\ [$UZS]_-;_-* &quot;-&quot;??\ [$UZS]_-;_-@_-"/>
    <numFmt numFmtId="165" formatCode="#,##0\ [$UZS]"/>
    <numFmt numFmtId="166" formatCode="_-* #,##0\ _U_Z_S_-;\-* #,##0\ _U_Z_S_-;_-* &quot;-&quot;\ _U_Z_S_-;_-@_-"/>
    <numFmt numFmtId="167" formatCode="#,##0\ [$UZS];[Red]#,##0\ [$UZS]"/>
    <numFmt numFmtId="168" formatCode="#,##0\ &quot;UZS&quot;"/>
    <numFmt numFmtId="169" formatCode="#,##0\ [$USD]"/>
    <numFmt numFmtId="170" formatCode="#,##0\ &quot;₽&quot;"/>
    <numFmt numFmtId="171" formatCode="#,##0\ &quot;₽&quot;;[Red]#,##0\ &quot;₽&quot;"/>
    <numFmt numFmtId="172" formatCode="#,##0\ [$RUB]"/>
    <numFmt numFmtId="173" formatCode="_-* #,##0.00\ _U_Z_S_-;\-* #,##0.00\ _U_Z_S_-;_-* &quot;-&quot;??\ _U_Z_S_-;_-@_-"/>
    <numFmt numFmtId="174" formatCode="#,##0\ &quot;soʻm&quot;"/>
  </numFmts>
  <fonts count="36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u/>
      <sz val="11"/>
      <color theme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(Основной текст)"/>
      <charset val="204"/>
    </font>
    <font>
      <b/>
      <sz val="11"/>
      <color theme="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8"/>
      <name val="Calibri"/>
      <family val="2"/>
      <charset val="204"/>
      <scheme val="minor"/>
    </font>
    <font>
      <b/>
      <sz val="11"/>
      <color theme="4" tint="-0.499984740745262"/>
      <name val="Calibri"/>
      <family val="2"/>
      <charset val="204"/>
      <scheme val="minor"/>
    </font>
    <font>
      <u/>
      <sz val="11"/>
      <color theme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4" tint="-0.249977111117893"/>
      <name val="Calibri"/>
      <family val="2"/>
      <charset val="204"/>
      <scheme val="minor"/>
    </font>
    <font>
      <u/>
      <sz val="11"/>
      <color rgb="FF0C5ADB"/>
      <name val="Calibri"/>
      <family val="2"/>
      <charset val="204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7">
    <xf numFmtId="0" fontId="0" fillId="0" borderId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41" fontId="10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1" fontId="10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0" fontId="10" fillId="0" borderId="0"/>
    <xf numFmtId="0" fontId="23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9" fontId="10" fillId="0" borderId="0" applyFont="0" applyFill="0" applyBorder="0" applyAlignment="0" applyProtection="0"/>
    <xf numFmtId="0" fontId="4" fillId="0" borderId="0"/>
    <xf numFmtId="43" fontId="10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</cellStyleXfs>
  <cellXfs count="251"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/>
    <xf numFmtId="0" fontId="13" fillId="5" borderId="0" xfId="0" applyFont="1" applyFill="1"/>
    <xf numFmtId="0" fontId="13" fillId="5" borderId="0" xfId="0" applyFont="1" applyFill="1" applyAlignment="1">
      <alignment horizontal="left"/>
    </xf>
    <xf numFmtId="0" fontId="1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4" fontId="4" fillId="5" borderId="0" xfId="6" applyNumberFormat="1" applyFill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0" fontId="16" fillId="5" borderId="2" xfId="6" applyFont="1" applyFill="1" applyBorder="1" applyAlignment="1">
      <alignment horizontal="left" vertical="center"/>
    </xf>
    <xf numFmtId="3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65" fontId="17" fillId="5" borderId="2" xfId="0" applyNumberFormat="1" applyFont="1" applyFill="1" applyBorder="1" applyAlignment="1">
      <alignment horizontal="left"/>
    </xf>
    <xf numFmtId="0" fontId="13" fillId="5" borderId="0" xfId="0" applyFont="1" applyFill="1" applyAlignment="1">
      <alignment horizontal="left" vertical="center"/>
    </xf>
    <xf numFmtId="0" fontId="18" fillId="0" borderId="2" xfId="0" applyFont="1" applyBorder="1" applyAlignment="1">
      <alignment horizontal="left" vertical="center" wrapText="1" readingOrder="1"/>
    </xf>
    <xf numFmtId="0" fontId="17" fillId="5" borderId="2" xfId="0" applyFont="1" applyFill="1" applyBorder="1" applyAlignment="1" applyProtection="1">
      <alignment horizontal="left" vertical="center"/>
      <protection locked="0"/>
    </xf>
    <xf numFmtId="0" fontId="18" fillId="5" borderId="2" xfId="0" applyFont="1" applyFill="1" applyBorder="1" applyAlignment="1">
      <alignment horizontal="left" vertical="center" wrapText="1" readingOrder="1"/>
    </xf>
    <xf numFmtId="0" fontId="13" fillId="5" borderId="2" xfId="0" applyFont="1" applyFill="1" applyBorder="1" applyAlignment="1">
      <alignment horizontal="left" vertical="center"/>
    </xf>
    <xf numFmtId="165" fontId="13" fillId="5" borderId="2" xfId="5" applyNumberFormat="1" applyFont="1" applyFill="1" applyBorder="1" applyAlignment="1">
      <alignment horizontal="left" vertical="center" wrapText="1" shrinkToFit="1"/>
    </xf>
    <xf numFmtId="0" fontId="13" fillId="5" borderId="0" xfId="0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165" fontId="13" fillId="5" borderId="0" xfId="0" applyNumberFormat="1" applyFont="1" applyFill="1" applyAlignment="1">
      <alignment horizontal="center" vertical="center"/>
    </xf>
    <xf numFmtId="0" fontId="13" fillId="5" borderId="2" xfId="0" applyFont="1" applyFill="1" applyBorder="1" applyAlignment="1">
      <alignment horizontal="left"/>
    </xf>
    <xf numFmtId="168" fontId="18" fillId="5" borderId="2" xfId="0" applyNumberFormat="1" applyFont="1" applyFill="1" applyBorder="1" applyAlignment="1">
      <alignment horizontal="left" vertical="center" wrapText="1" shrinkToFit="1"/>
    </xf>
    <xf numFmtId="0" fontId="17" fillId="0" borderId="2" xfId="0" applyFont="1" applyBorder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/>
      <protection locked="0"/>
    </xf>
    <xf numFmtId="0" fontId="18" fillId="0" borderId="2" xfId="0" applyFont="1" applyBorder="1" applyAlignment="1">
      <alignment horizontal="left" wrapText="1" readingOrder="1"/>
    </xf>
    <xf numFmtId="0" fontId="13" fillId="0" borderId="0" xfId="0" applyFont="1" applyAlignment="1">
      <alignment horizontal="left"/>
    </xf>
    <xf numFmtId="167" fontId="13" fillId="5" borderId="2" xfId="5" applyNumberFormat="1" applyFont="1" applyFill="1" applyBorder="1" applyAlignment="1">
      <alignment horizontal="left" vertical="center" wrapText="1" shrinkToFit="1"/>
    </xf>
    <xf numFmtId="164" fontId="20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21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22" fillId="6" borderId="2" xfId="1" applyNumberFormat="1" applyFont="1" applyFill="1" applyBorder="1" applyAlignment="1" applyProtection="1">
      <alignment horizontal="center" vertical="center" wrapText="1"/>
      <protection locked="0"/>
    </xf>
    <xf numFmtId="164" fontId="22" fillId="6" borderId="2" xfId="0" applyNumberFormat="1" applyFont="1" applyFill="1" applyBorder="1"/>
    <xf numFmtId="164" fontId="22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22" fillId="4" borderId="2" xfId="0" applyNumberFormat="1" applyFont="1" applyFill="1" applyBorder="1" applyAlignment="1" applyProtection="1">
      <alignment horizontal="left" vertical="center" wrapText="1"/>
      <protection locked="0"/>
    </xf>
    <xf numFmtId="164" fontId="22" fillId="4" borderId="2" xfId="0" applyNumberFormat="1" applyFont="1" applyFill="1" applyBorder="1" applyAlignment="1" applyProtection="1">
      <alignment horizontal="center" vertical="center" wrapText="1"/>
      <protection locked="0"/>
    </xf>
    <xf numFmtId="170" fontId="18" fillId="7" borderId="2" xfId="0" applyNumberFormat="1" applyFont="1" applyFill="1" applyBorder="1" applyAlignment="1">
      <alignment horizontal="left" vertical="center" wrapText="1" shrinkToFit="1"/>
    </xf>
    <xf numFmtId="169" fontId="17" fillId="0" borderId="2" xfId="0" applyNumberFormat="1" applyFont="1" applyBorder="1" applyAlignment="1">
      <alignment horizontal="left" vertical="center"/>
    </xf>
    <xf numFmtId="0" fontId="15" fillId="5" borderId="0" xfId="6" applyFont="1" applyFill="1" applyAlignment="1">
      <alignment horizontal="left" vertical="center"/>
    </xf>
    <xf numFmtId="14" fontId="16" fillId="5" borderId="0" xfId="6" applyNumberFormat="1" applyFont="1" applyFill="1" applyAlignment="1">
      <alignment horizontal="left" vertical="center"/>
    </xf>
    <xf numFmtId="165" fontId="13" fillId="5" borderId="2" xfId="0" applyNumberFormat="1" applyFont="1" applyFill="1" applyBorder="1" applyAlignment="1">
      <alignment horizontal="left" vertical="center" wrapText="1"/>
    </xf>
    <xf numFmtId="171" fontId="13" fillId="7" borderId="2" xfId="0" applyNumberFormat="1" applyFont="1" applyFill="1" applyBorder="1" applyAlignment="1">
      <alignment horizontal="left" vertical="center" wrapText="1"/>
    </xf>
    <xf numFmtId="0" fontId="13" fillId="5" borderId="2" xfId="1" applyFont="1" applyFill="1" applyBorder="1" applyAlignment="1" applyProtection="1">
      <alignment horizontal="left" vertical="center" wrapText="1"/>
      <protection locked="0"/>
    </xf>
    <xf numFmtId="0" fontId="22" fillId="4" borderId="2" xfId="1" applyFont="1" applyFill="1" applyBorder="1" applyAlignment="1" applyProtection="1">
      <alignment horizontal="center" vertical="center" wrapText="1"/>
      <protection locked="0"/>
    </xf>
    <xf numFmtId="17" fontId="22" fillId="4" borderId="2" xfId="0" applyNumberFormat="1" applyFont="1" applyFill="1" applyBorder="1" applyAlignment="1" applyProtection="1">
      <alignment horizontal="center" vertical="center" wrapText="1"/>
      <protection locked="0"/>
    </xf>
    <xf numFmtId="165" fontId="22" fillId="4" borderId="2" xfId="0" applyNumberFormat="1" applyFont="1" applyFill="1" applyBorder="1" applyAlignment="1">
      <alignment horizontal="center" vertical="center" wrapText="1"/>
    </xf>
    <xf numFmtId="17" fontId="22" fillId="4" borderId="2" xfId="0" applyNumberFormat="1" applyFont="1" applyFill="1" applyBorder="1" applyAlignment="1">
      <alignment horizontal="center" vertical="center" wrapText="1"/>
    </xf>
    <xf numFmtId="0" fontId="19" fillId="0" borderId="2" xfId="4" applyFont="1" applyFill="1" applyBorder="1" applyAlignment="1">
      <alignment horizontal="left" vertical="center"/>
    </xf>
    <xf numFmtId="0" fontId="24" fillId="5" borderId="0" xfId="0" applyFont="1" applyFill="1" applyAlignment="1">
      <alignment horizontal="center"/>
    </xf>
    <xf numFmtId="0" fontId="15" fillId="4" borderId="2" xfId="16" applyFont="1" applyFill="1" applyBorder="1" applyAlignment="1">
      <alignment horizontal="left" vertical="center"/>
    </xf>
    <xf numFmtId="0" fontId="16" fillId="5" borderId="2" xfId="16" applyFont="1" applyFill="1" applyBorder="1" applyAlignment="1">
      <alignment horizontal="left" vertical="center"/>
    </xf>
    <xf numFmtId="14" fontId="16" fillId="5" borderId="2" xfId="16" applyNumberFormat="1" applyFont="1" applyFill="1" applyBorder="1" applyAlignment="1">
      <alignment horizontal="left" vertical="center"/>
    </xf>
    <xf numFmtId="0" fontId="15" fillId="4" borderId="2" xfId="0" applyFont="1" applyFill="1" applyBorder="1" applyAlignment="1" applyProtection="1">
      <alignment horizontal="left" vertical="center" wrapText="1"/>
      <protection locked="0"/>
    </xf>
    <xf numFmtId="164" fontId="23" fillId="5" borderId="2" xfId="0" applyNumberFormat="1" applyFont="1" applyFill="1" applyBorder="1" applyAlignment="1" applyProtection="1">
      <alignment horizontal="left" vertical="center" wrapText="1"/>
      <protection locked="0"/>
    </xf>
    <xf numFmtId="0" fontId="15" fillId="4" borderId="2" xfId="0" applyFont="1" applyFill="1" applyBorder="1" applyAlignment="1" applyProtection="1">
      <alignment horizontal="left" vertical="center"/>
      <protection locked="0"/>
    </xf>
    <xf numFmtId="164" fontId="23" fillId="5" borderId="2" xfId="0" applyNumberFormat="1" applyFont="1" applyFill="1" applyBorder="1" applyAlignment="1" applyProtection="1">
      <alignment horizontal="left" vertical="center"/>
      <protection locked="0"/>
    </xf>
    <xf numFmtId="0" fontId="15" fillId="4" borderId="2" xfId="0" applyFont="1" applyFill="1" applyBorder="1" applyAlignment="1">
      <alignment horizontal="left" vertical="center" wrapText="1"/>
    </xf>
    <xf numFmtId="164" fontId="23" fillId="5" borderId="2" xfId="0" applyNumberFormat="1" applyFont="1" applyFill="1" applyBorder="1" applyAlignment="1">
      <alignment horizontal="left" vertical="center" wrapText="1"/>
    </xf>
    <xf numFmtId="172" fontId="4" fillId="5" borderId="0" xfId="0" applyNumberFormat="1" applyFont="1" applyFill="1" applyAlignment="1">
      <alignment horizontal="center" vertical="center"/>
    </xf>
    <xf numFmtId="170" fontId="22" fillId="4" borderId="2" xfId="0" applyNumberFormat="1" applyFont="1" applyFill="1" applyBorder="1" applyAlignment="1" applyProtection="1">
      <alignment horizontal="left" vertical="center" wrapText="1"/>
      <protection locked="0"/>
    </xf>
    <xf numFmtId="171" fontId="22" fillId="4" borderId="2" xfId="0" applyNumberFormat="1" applyFont="1" applyFill="1" applyBorder="1" applyAlignment="1" applyProtection="1">
      <alignment horizontal="left" vertical="center" wrapText="1"/>
      <protection locked="0"/>
    </xf>
    <xf numFmtId="5" fontId="22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4" fillId="5" borderId="2" xfId="0" applyNumberFormat="1" applyFont="1" applyFill="1" applyBorder="1" applyAlignment="1">
      <alignment horizontal="center" vertical="center"/>
    </xf>
    <xf numFmtId="5" fontId="4" fillId="5" borderId="2" xfId="0" applyNumberFormat="1" applyFont="1" applyFill="1" applyBorder="1" applyAlignment="1">
      <alignment horizontal="right" vertical="center"/>
    </xf>
    <xf numFmtId="0" fontId="22" fillId="4" borderId="2" xfId="1" applyFont="1" applyFill="1" applyBorder="1" applyAlignment="1" applyProtection="1">
      <alignment horizontal="center" vertical="center"/>
      <protection locked="0"/>
    </xf>
    <xf numFmtId="164" fontId="22" fillId="4" borderId="2" xfId="1" applyNumberFormat="1" applyFont="1" applyFill="1" applyBorder="1" applyAlignment="1" applyProtection="1">
      <alignment horizontal="center" vertical="center"/>
      <protection locked="0"/>
    </xf>
    <xf numFmtId="0" fontId="24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center" vertical="center"/>
    </xf>
    <xf numFmtId="0" fontId="24" fillId="5" borderId="0" xfId="0" applyFont="1" applyFill="1" applyAlignment="1">
      <alignment horizontal="left" vertical="center"/>
    </xf>
    <xf numFmtId="167" fontId="17" fillId="5" borderId="2" xfId="0" applyNumberFormat="1" applyFont="1" applyFill="1" applyBorder="1" applyAlignment="1">
      <alignment horizontal="left"/>
    </xf>
    <xf numFmtId="0" fontId="22" fillId="4" borderId="3" xfId="1" applyFont="1" applyFill="1" applyBorder="1" applyAlignment="1" applyProtection="1">
      <alignment horizontal="center" vertical="center" wrapText="1"/>
      <protection locked="0"/>
    </xf>
    <xf numFmtId="0" fontId="22" fillId="4" borderId="8" xfId="1" applyFont="1" applyFill="1" applyBorder="1" applyAlignment="1" applyProtection="1">
      <alignment horizontal="center" vertical="center" wrapText="1"/>
      <protection locked="0"/>
    </xf>
    <xf numFmtId="164" fontId="22" fillId="4" borderId="9" xfId="1" applyNumberFormat="1" applyFont="1" applyFill="1" applyBorder="1" applyAlignment="1" applyProtection="1">
      <alignment horizontal="center" vertical="center" wrapText="1"/>
      <protection locked="0"/>
    </xf>
    <xf numFmtId="170" fontId="18" fillId="5" borderId="2" xfId="0" applyNumberFormat="1" applyFont="1" applyFill="1" applyBorder="1" applyAlignment="1">
      <alignment horizontal="left" vertical="center" wrapText="1" shrinkToFit="1"/>
    </xf>
    <xf numFmtId="169" fontId="17" fillId="5" borderId="2" xfId="0" applyNumberFormat="1" applyFont="1" applyFill="1" applyBorder="1" applyAlignment="1">
      <alignment horizontal="left" vertical="center"/>
    </xf>
    <xf numFmtId="17" fontId="22" fillId="4" borderId="7" xfId="0" applyNumberFormat="1" applyFont="1" applyFill="1" applyBorder="1" applyAlignment="1" applyProtection="1">
      <alignment horizontal="center" vertical="center" wrapText="1"/>
      <protection locked="0"/>
    </xf>
    <xf numFmtId="17" fontId="22" fillId="4" borderId="3" xfId="0" applyNumberFormat="1" applyFont="1" applyFill="1" applyBorder="1" applyAlignment="1" applyProtection="1">
      <alignment horizontal="center" vertical="center" wrapText="1"/>
      <protection locked="0"/>
    </xf>
    <xf numFmtId="165" fontId="22" fillId="4" borderId="3" xfId="0" applyNumberFormat="1" applyFont="1" applyFill="1" applyBorder="1" applyAlignment="1">
      <alignment horizontal="center" vertical="center" wrapText="1"/>
    </xf>
    <xf numFmtId="17" fontId="22" fillId="4" borderId="3" xfId="0" applyNumberFormat="1" applyFont="1" applyFill="1" applyBorder="1" applyAlignment="1">
      <alignment horizontal="center" vertical="center" wrapText="1"/>
    </xf>
    <xf numFmtId="164" fontId="20" fillId="4" borderId="4" xfId="1" applyNumberFormat="1" applyFont="1" applyFill="1" applyBorder="1" applyAlignment="1" applyProtection="1">
      <alignment horizontal="center" vertical="center" wrapText="1"/>
      <protection locked="0"/>
    </xf>
    <xf numFmtId="164" fontId="21" fillId="4" borderId="4" xfId="1" applyNumberFormat="1" applyFont="1" applyFill="1" applyBorder="1" applyAlignment="1" applyProtection="1">
      <alignment horizontal="center" vertical="center" wrapText="1"/>
      <protection locked="0"/>
    </xf>
    <xf numFmtId="164" fontId="22" fillId="6" borderId="4" xfId="1" applyNumberFormat="1" applyFont="1" applyFill="1" applyBorder="1" applyAlignment="1" applyProtection="1">
      <alignment horizontal="center" vertical="center" wrapText="1"/>
      <protection locked="0"/>
    </xf>
    <xf numFmtId="164" fontId="22" fillId="6" borderId="4" xfId="0" applyNumberFormat="1" applyFont="1" applyFill="1" applyBorder="1"/>
    <xf numFmtId="164" fontId="22" fillId="4" borderId="4" xfId="1" applyNumberFormat="1" applyFont="1" applyFill="1" applyBorder="1" applyAlignment="1" applyProtection="1">
      <alignment horizontal="center" vertical="center" wrapText="1"/>
      <protection locked="0"/>
    </xf>
    <xf numFmtId="165" fontId="22" fillId="4" borderId="6" xfId="0" applyNumberFormat="1" applyFont="1" applyFill="1" applyBorder="1" applyAlignment="1" applyProtection="1">
      <alignment horizontal="left" vertical="center" wrapText="1"/>
      <protection locked="0"/>
    </xf>
    <xf numFmtId="165" fontId="22" fillId="4" borderId="4" xfId="0" applyNumberFormat="1" applyFont="1" applyFill="1" applyBorder="1" applyAlignment="1" applyProtection="1">
      <alignment horizontal="left" vertical="center" wrapText="1"/>
      <protection locked="0"/>
    </xf>
    <xf numFmtId="3" fontId="17" fillId="0" borderId="2" xfId="19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left" vertical="center"/>
    </xf>
    <xf numFmtId="0" fontId="13" fillId="5" borderId="0" xfId="22" applyFont="1" applyFill="1" applyAlignment="1">
      <alignment horizontal="center" vertical="center"/>
    </xf>
    <xf numFmtId="14" fontId="13" fillId="5" borderId="0" xfId="22" applyNumberFormat="1" applyFont="1" applyFill="1" applyAlignment="1">
      <alignment horizontal="center" vertical="center"/>
    </xf>
    <xf numFmtId="165" fontId="13" fillId="5" borderId="13" xfId="5" applyNumberFormat="1" applyFont="1" applyFill="1" applyBorder="1" applyAlignment="1">
      <alignment horizontal="left" vertical="center" wrapText="1" shrinkToFit="1"/>
    </xf>
    <xf numFmtId="0" fontId="13" fillId="5" borderId="0" xfId="1" applyFont="1" applyFill="1" applyBorder="1" applyAlignment="1" applyProtection="1">
      <alignment horizontal="left" vertical="center" wrapText="1"/>
      <protection locked="0"/>
    </xf>
    <xf numFmtId="167" fontId="13" fillId="5" borderId="0" xfId="0" applyNumberFormat="1" applyFont="1" applyFill="1" applyAlignment="1">
      <alignment horizontal="left" vertical="center"/>
    </xf>
    <xf numFmtId="0" fontId="22" fillId="4" borderId="10" xfId="0" applyFont="1" applyFill="1" applyBorder="1" applyAlignment="1" applyProtection="1">
      <alignment horizontal="left" vertical="center" wrapText="1"/>
      <protection locked="0"/>
    </xf>
    <xf numFmtId="165" fontId="13" fillId="5" borderId="0" xfId="0" applyNumberFormat="1" applyFont="1" applyFill="1" applyAlignment="1">
      <alignment horizontal="center"/>
    </xf>
    <xf numFmtId="0" fontId="22" fillId="4" borderId="11" xfId="0" applyFont="1" applyFill="1" applyBorder="1" applyAlignment="1" applyProtection="1">
      <alignment horizontal="left" vertical="center"/>
      <protection locked="0"/>
    </xf>
    <xf numFmtId="0" fontId="22" fillId="4" borderId="12" xfId="0" applyFont="1" applyFill="1" applyBorder="1" applyAlignment="1">
      <alignment horizontal="left" vertical="center" wrapText="1"/>
    </xf>
    <xf numFmtId="0" fontId="24" fillId="5" borderId="0" xfId="4" applyFont="1" applyFill="1" applyBorder="1" applyAlignment="1">
      <alignment horizontal="left" vertical="center" wrapText="1"/>
    </xf>
    <xf numFmtId="0" fontId="24" fillId="5" borderId="0" xfId="22" applyFont="1" applyFill="1" applyAlignment="1">
      <alignment horizontal="left" vertical="center"/>
    </xf>
    <xf numFmtId="14" fontId="24" fillId="5" borderId="0" xfId="22" applyNumberFormat="1" applyFont="1" applyFill="1" applyAlignment="1">
      <alignment horizontal="left" vertical="center"/>
    </xf>
    <xf numFmtId="0" fontId="22" fillId="5" borderId="0" xfId="22" applyFont="1" applyFill="1" applyAlignment="1">
      <alignment horizontal="left" vertical="center"/>
    </xf>
    <xf numFmtId="0" fontId="17" fillId="5" borderId="2" xfId="0" applyFont="1" applyFill="1" applyBorder="1" applyAlignment="1" applyProtection="1">
      <alignment horizontal="center" vertical="center"/>
      <protection locked="0"/>
    </xf>
    <xf numFmtId="165" fontId="13" fillId="5" borderId="14" xfId="0" applyNumberFormat="1" applyFont="1" applyFill="1" applyBorder="1" applyAlignment="1" applyProtection="1">
      <alignment horizontal="left" vertical="center" wrapText="1"/>
      <protection locked="0"/>
    </xf>
    <xf numFmtId="165" fontId="13" fillId="5" borderId="15" xfId="0" applyNumberFormat="1" applyFont="1" applyFill="1" applyBorder="1" applyAlignment="1" applyProtection="1">
      <alignment horizontal="left" vertical="center"/>
      <protection locked="0"/>
    </xf>
    <xf numFmtId="165" fontId="13" fillId="5" borderId="16" xfId="0" applyNumberFormat="1" applyFont="1" applyFill="1" applyBorder="1" applyAlignment="1">
      <alignment horizontal="left" vertical="center" wrapText="1"/>
    </xf>
    <xf numFmtId="165" fontId="13" fillId="5" borderId="0" xfId="0" applyNumberFormat="1" applyFont="1" applyFill="1" applyAlignment="1" applyProtection="1">
      <alignment horizontal="left" vertical="center" wrapText="1"/>
      <protection locked="0"/>
    </xf>
    <xf numFmtId="165" fontId="13" fillId="5" borderId="0" xfId="0" applyNumberFormat="1" applyFont="1" applyFill="1" applyAlignment="1" applyProtection="1">
      <alignment horizontal="left" vertical="center"/>
      <protection locked="0"/>
    </xf>
    <xf numFmtId="165" fontId="13" fillId="5" borderId="0" xfId="0" applyNumberFormat="1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0" fontId="13" fillId="0" borderId="2" xfId="0" applyFont="1" applyBorder="1"/>
    <xf numFmtId="0" fontId="25" fillId="0" borderId="0" xfId="0" applyFont="1" applyAlignment="1">
      <alignment horizontal="left" vertical="center"/>
    </xf>
    <xf numFmtId="165" fontId="22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26" fillId="5" borderId="2" xfId="0" applyFont="1" applyFill="1" applyBorder="1" applyAlignment="1">
      <alignment horizontal="center" vertical="center" wrapText="1"/>
    </xf>
    <xf numFmtId="164" fontId="15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4" borderId="2" xfId="25" applyFont="1" applyFill="1" applyBorder="1" applyAlignment="1">
      <alignment horizontal="left" vertical="center"/>
    </xf>
    <xf numFmtId="0" fontId="16" fillId="5" borderId="2" xfId="22" applyFont="1" applyFill="1" applyBorder="1" applyAlignment="1">
      <alignment horizontal="left" vertical="center"/>
    </xf>
    <xf numFmtId="0" fontId="27" fillId="4" borderId="2" xfId="1" applyFont="1" applyFill="1" applyBorder="1" applyAlignment="1" applyProtection="1">
      <alignment horizontal="center" vertical="center" wrapText="1"/>
      <protection locked="0"/>
    </xf>
    <xf numFmtId="17" fontId="27" fillId="4" borderId="2" xfId="0" applyNumberFormat="1" applyFont="1" applyFill="1" applyBorder="1" applyAlignment="1" applyProtection="1">
      <alignment horizontal="center" vertical="center" wrapText="1"/>
      <protection locked="0"/>
    </xf>
    <xf numFmtId="165" fontId="27" fillId="4" borderId="2" xfId="0" applyNumberFormat="1" applyFont="1" applyFill="1" applyBorder="1" applyAlignment="1">
      <alignment horizontal="center" vertical="center" wrapText="1"/>
    </xf>
    <xf numFmtId="0" fontId="10" fillId="5" borderId="2" xfId="1" applyFont="1" applyFill="1" applyBorder="1" applyAlignment="1" applyProtection="1">
      <alignment horizontal="left" vertical="center" wrapText="1"/>
      <protection locked="0"/>
    </xf>
    <xf numFmtId="168" fontId="28" fillId="5" borderId="2" xfId="0" applyNumberFormat="1" applyFont="1" applyFill="1" applyBorder="1" applyAlignment="1">
      <alignment horizontal="left" vertical="center" wrapText="1" shrinkToFit="1"/>
    </xf>
    <xf numFmtId="165" fontId="10" fillId="5" borderId="2" xfId="0" applyNumberFormat="1" applyFont="1" applyFill="1" applyBorder="1" applyAlignment="1">
      <alignment horizontal="left" vertical="center" wrapText="1"/>
    </xf>
    <xf numFmtId="167" fontId="10" fillId="5" borderId="2" xfId="0" applyNumberFormat="1" applyFont="1" applyFill="1" applyBorder="1" applyAlignment="1">
      <alignment horizontal="left" vertical="center"/>
    </xf>
    <xf numFmtId="164" fontId="10" fillId="5" borderId="2" xfId="26" applyNumberFormat="1" applyFont="1" applyFill="1" applyBorder="1" applyAlignment="1">
      <alignment horizontal="left" vertical="center" wrapText="1" shrinkToFit="1"/>
    </xf>
    <xf numFmtId="167" fontId="10" fillId="5" borderId="2" xfId="5" applyNumberFormat="1" applyFont="1" applyFill="1" applyBorder="1" applyAlignment="1">
      <alignment horizontal="left" vertical="center" wrapText="1" shrinkToFit="1"/>
    </xf>
    <xf numFmtId="164" fontId="29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30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27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27" fillId="4" borderId="2" xfId="0" applyNumberFormat="1" applyFont="1" applyFill="1" applyBorder="1" applyAlignment="1">
      <alignment vertical="center"/>
    </xf>
    <xf numFmtId="165" fontId="27" fillId="4" borderId="2" xfId="0" applyNumberFormat="1" applyFont="1" applyFill="1" applyBorder="1" applyAlignment="1" applyProtection="1">
      <alignment horizontal="left" vertical="center" wrapText="1"/>
      <protection locked="0"/>
    </xf>
    <xf numFmtId="3" fontId="17" fillId="5" borderId="2" xfId="19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left" vertical="center"/>
    </xf>
    <xf numFmtId="167" fontId="17" fillId="5" borderId="2" xfId="0" applyNumberFormat="1" applyFont="1" applyFill="1" applyBorder="1" applyAlignment="1">
      <alignment horizontal="left" vertical="center"/>
    </xf>
    <xf numFmtId="0" fontId="22" fillId="4" borderId="2" xfId="25" applyFont="1" applyFill="1" applyBorder="1" applyAlignment="1">
      <alignment horizontal="left" vertical="center"/>
    </xf>
    <xf numFmtId="0" fontId="22" fillId="5" borderId="0" xfId="6" applyFont="1" applyFill="1" applyAlignment="1">
      <alignment horizontal="left" vertical="center"/>
    </xf>
    <xf numFmtId="14" fontId="24" fillId="5" borderId="0" xfId="6" applyNumberFormat="1" applyFont="1" applyFill="1" applyAlignment="1">
      <alignment horizontal="left" vertical="center"/>
    </xf>
    <xf numFmtId="14" fontId="13" fillId="5" borderId="0" xfId="6" applyNumberFormat="1" applyFont="1" applyFill="1" applyAlignment="1">
      <alignment horizontal="center" vertical="center"/>
    </xf>
    <xf numFmtId="4" fontId="17" fillId="0" borderId="13" xfId="19" applyNumberFormat="1" applyFont="1" applyBorder="1" applyAlignment="1">
      <alignment horizontal="center" vertical="center"/>
    </xf>
    <xf numFmtId="3" fontId="17" fillId="0" borderId="17" xfId="19" applyNumberFormat="1" applyFont="1" applyBorder="1" applyAlignment="1">
      <alignment horizontal="center" vertical="center"/>
    </xf>
    <xf numFmtId="4" fontId="17" fillId="0" borderId="2" xfId="19" applyNumberFormat="1" applyFont="1" applyBorder="1" applyAlignment="1">
      <alignment horizontal="center" vertical="center"/>
    </xf>
    <xf numFmtId="3" fontId="17" fillId="0" borderId="21" xfId="19" applyNumberFormat="1" applyFont="1" applyBorder="1" applyAlignment="1">
      <alignment horizontal="center" vertical="center"/>
    </xf>
    <xf numFmtId="3" fontId="17" fillId="0" borderId="22" xfId="19" applyNumberFormat="1" applyFont="1" applyBorder="1" applyAlignment="1">
      <alignment horizontal="center" vertical="center"/>
    </xf>
    <xf numFmtId="0" fontId="22" fillId="4" borderId="18" xfId="1" applyFont="1" applyFill="1" applyBorder="1" applyAlignment="1" applyProtection="1">
      <alignment horizontal="center" vertical="center" wrapText="1"/>
      <protection locked="0"/>
    </xf>
    <xf numFmtId="0" fontId="22" fillId="4" borderId="19" xfId="1" applyFont="1" applyFill="1" applyBorder="1" applyAlignment="1" applyProtection="1">
      <alignment horizontal="center" vertical="center" wrapText="1"/>
      <protection locked="0"/>
    </xf>
    <xf numFmtId="0" fontId="22" fillId="4" borderId="20" xfId="1" applyFont="1" applyFill="1" applyBorder="1" applyAlignment="1" applyProtection="1">
      <alignment horizontal="center" vertical="center" wrapText="1"/>
      <protection locked="0"/>
    </xf>
    <xf numFmtId="164" fontId="22" fillId="4" borderId="23" xfId="1" applyNumberFormat="1" applyFont="1" applyFill="1" applyBorder="1" applyAlignment="1" applyProtection="1">
      <alignment horizontal="center" vertical="center" wrapText="1"/>
      <protection locked="0"/>
    </xf>
    <xf numFmtId="164" fontId="22" fillId="4" borderId="24" xfId="1" applyNumberFormat="1" applyFont="1" applyFill="1" applyBorder="1" applyAlignment="1" applyProtection="1">
      <alignment horizontal="center" vertical="center" wrapText="1"/>
      <protection locked="0"/>
    </xf>
    <xf numFmtId="164" fontId="22" fillId="4" borderId="25" xfId="1" applyNumberFormat="1" applyFont="1" applyFill="1" applyBorder="1" applyAlignment="1" applyProtection="1">
      <alignment horizontal="center" vertical="center" wrapText="1"/>
      <protection locked="0"/>
    </xf>
    <xf numFmtId="0" fontId="22" fillId="4" borderId="26" xfId="1" applyFont="1" applyFill="1" applyBorder="1" applyAlignment="1" applyProtection="1">
      <alignment horizontal="center" vertical="center" wrapText="1"/>
      <protection locked="0"/>
    </xf>
    <xf numFmtId="0" fontId="22" fillId="4" borderId="27" xfId="1" applyFont="1" applyFill="1" applyBorder="1" applyAlignment="1" applyProtection="1">
      <alignment horizontal="center" vertical="center" wrapText="1"/>
      <protection locked="0"/>
    </xf>
    <xf numFmtId="0" fontId="22" fillId="4" borderId="28" xfId="1" applyFont="1" applyFill="1" applyBorder="1" applyAlignment="1" applyProtection="1">
      <alignment horizontal="center" vertical="center" wrapText="1"/>
      <protection locked="0"/>
    </xf>
    <xf numFmtId="171" fontId="22" fillId="4" borderId="2" xfId="0" applyNumberFormat="1" applyFont="1" applyFill="1" applyBorder="1" applyAlignment="1" applyProtection="1">
      <alignment horizontal="center" vertical="center" wrapText="1"/>
      <protection locked="0"/>
    </xf>
    <xf numFmtId="170" fontId="22" fillId="4" borderId="2" xfId="0" applyNumberFormat="1" applyFont="1" applyFill="1" applyBorder="1" applyAlignment="1">
      <alignment horizontal="center" vertical="center" wrapText="1" shrinkToFit="1"/>
    </xf>
    <xf numFmtId="0" fontId="22" fillId="5" borderId="0" xfId="0" applyFont="1" applyFill="1" applyAlignment="1" applyProtection="1">
      <alignment horizontal="left" vertical="center" wrapText="1"/>
      <protection locked="0"/>
    </xf>
    <xf numFmtId="0" fontId="22" fillId="5" borderId="0" xfId="0" applyFont="1" applyFill="1" applyAlignment="1" applyProtection="1">
      <alignment horizontal="left" vertical="center"/>
      <protection locked="0"/>
    </xf>
    <xf numFmtId="0" fontId="22" fillId="5" borderId="0" xfId="0" applyFont="1" applyFill="1" applyAlignment="1">
      <alignment horizontal="left" vertical="center" wrapText="1"/>
    </xf>
    <xf numFmtId="9" fontId="8" fillId="4" borderId="2" xfId="0" applyNumberFormat="1" applyFont="1" applyFill="1" applyBorder="1" applyAlignment="1">
      <alignment horizontal="left" vertical="center"/>
    </xf>
    <xf numFmtId="0" fontId="10" fillId="5" borderId="2" xfId="20" applyFont="1" applyFill="1" applyBorder="1" applyAlignment="1">
      <alignment horizontal="left" vertical="center" wrapText="1" shrinkToFit="1"/>
    </xf>
    <xf numFmtId="0" fontId="31" fillId="5" borderId="2" xfId="4" applyFont="1" applyFill="1" applyBorder="1" applyAlignment="1">
      <alignment horizontal="left" vertical="center" wrapText="1" readingOrder="1"/>
    </xf>
    <xf numFmtId="0" fontId="28" fillId="5" borderId="2" xfId="0" applyFont="1" applyFill="1" applyBorder="1" applyAlignment="1">
      <alignment horizontal="left" vertical="center" wrapText="1" readingOrder="1"/>
    </xf>
    <xf numFmtId="170" fontId="28" fillId="7" borderId="2" xfId="0" applyNumberFormat="1" applyFont="1" applyFill="1" applyBorder="1" applyAlignment="1">
      <alignment horizontal="left" vertical="center" wrapText="1" shrinkToFit="1"/>
    </xf>
    <xf numFmtId="171" fontId="10" fillId="7" borderId="2" xfId="0" applyNumberFormat="1" applyFont="1" applyFill="1" applyBorder="1" applyAlignment="1">
      <alignment horizontal="left" vertical="center" wrapText="1"/>
    </xf>
    <xf numFmtId="3" fontId="32" fillId="0" borderId="2" xfId="19" applyNumberFormat="1" applyFont="1" applyBorder="1" applyAlignment="1">
      <alignment horizontal="center" vertical="center"/>
    </xf>
    <xf numFmtId="4" fontId="32" fillId="0" borderId="2" xfId="19" applyNumberFormat="1" applyFont="1" applyBorder="1" applyAlignment="1">
      <alignment horizontal="center" vertical="center"/>
    </xf>
    <xf numFmtId="0" fontId="11" fillId="0" borderId="2" xfId="4" applyBorder="1"/>
    <xf numFmtId="0" fontId="10" fillId="0" borderId="2" xfId="0" applyFont="1" applyBorder="1"/>
    <xf numFmtId="0" fontId="10" fillId="5" borderId="2" xfId="0" applyFont="1" applyFill="1" applyBorder="1"/>
    <xf numFmtId="0" fontId="10" fillId="5" borderId="2" xfId="20" applyFont="1" applyFill="1" applyBorder="1" applyAlignment="1">
      <alignment horizontal="left" vertical="center"/>
    </xf>
    <xf numFmtId="0" fontId="31" fillId="0" borderId="2" xfId="4" applyFont="1" applyFill="1" applyBorder="1" applyAlignment="1">
      <alignment horizontal="left" vertical="center"/>
    </xf>
    <xf numFmtId="0" fontId="28" fillId="0" borderId="2" xfId="0" applyFont="1" applyBorder="1" applyAlignment="1">
      <alignment horizontal="left" vertical="center" wrapText="1" readingOrder="1"/>
    </xf>
    <xf numFmtId="0" fontId="10" fillId="5" borderId="2" xfId="0" applyFont="1" applyFill="1" applyBorder="1" applyAlignment="1">
      <alignment horizontal="left" vertical="center"/>
    </xf>
    <xf numFmtId="0" fontId="33" fillId="5" borderId="2" xfId="4" applyFont="1" applyFill="1" applyBorder="1" applyAlignment="1">
      <alignment horizontal="left" vertical="center" wrapText="1" readingOrder="1"/>
    </xf>
    <xf numFmtId="0" fontId="10" fillId="5" borderId="2" xfId="0" applyFont="1" applyFill="1" applyBorder="1" applyAlignment="1">
      <alignment horizontal="left" vertical="center" wrapText="1"/>
    </xf>
    <xf numFmtId="0" fontId="11" fillId="5" borderId="2" xfId="4" applyFill="1" applyBorder="1" applyAlignment="1">
      <alignment horizontal="left" vertical="center" wrapText="1" readingOrder="1"/>
    </xf>
    <xf numFmtId="0" fontId="28" fillId="5" borderId="2" xfId="0" applyFont="1" applyFill="1" applyBorder="1" applyAlignment="1">
      <alignment horizontal="left" vertical="center" readingOrder="1"/>
    </xf>
    <xf numFmtId="0" fontId="31" fillId="5" borderId="2" xfId="4" applyFont="1" applyFill="1" applyBorder="1" applyAlignment="1">
      <alignment horizontal="left" wrapText="1" readingOrder="1"/>
    </xf>
    <xf numFmtId="0" fontId="28" fillId="5" borderId="2" xfId="0" applyFont="1" applyFill="1" applyBorder="1" applyAlignment="1">
      <alignment horizontal="left" readingOrder="1"/>
    </xf>
    <xf numFmtId="0" fontId="28" fillId="5" borderId="2" xfId="0" applyFont="1" applyFill="1" applyBorder="1" applyAlignment="1">
      <alignment horizontal="left" wrapText="1" readingOrder="1"/>
    </xf>
    <xf numFmtId="0" fontId="31" fillId="5" borderId="2" xfId="4" applyFont="1" applyFill="1" applyBorder="1" applyAlignment="1">
      <alignment horizontal="left" vertical="center" readingOrder="1"/>
    </xf>
    <xf numFmtId="0" fontId="33" fillId="0" borderId="2" xfId="4" applyFont="1" applyBorder="1" applyAlignment="1">
      <alignment horizontal="left" vertical="center"/>
    </xf>
    <xf numFmtId="0" fontId="32" fillId="5" borderId="2" xfId="0" applyFont="1" applyFill="1" applyBorder="1" applyAlignment="1" applyProtection="1">
      <alignment horizontal="left" vertical="center"/>
      <protection locked="0"/>
    </xf>
    <xf numFmtId="0" fontId="10" fillId="0" borderId="2" xfId="0" applyFont="1" applyBorder="1" applyAlignment="1">
      <alignment horizontal="left" vertical="center"/>
    </xf>
    <xf numFmtId="0" fontId="31" fillId="5" borderId="2" xfId="4" applyFont="1" applyFill="1" applyBorder="1" applyAlignment="1" applyProtection="1">
      <alignment horizontal="left" vertical="center" wrapText="1"/>
      <protection locked="0"/>
    </xf>
    <xf numFmtId="0" fontId="10" fillId="5" borderId="2" xfId="20" applyFont="1" applyFill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readingOrder="1"/>
    </xf>
    <xf numFmtId="0" fontId="10" fillId="5" borderId="2" xfId="0" applyFont="1" applyFill="1" applyBorder="1" applyAlignment="1">
      <alignment horizontal="left" vertical="center" wrapText="1" readingOrder="1"/>
    </xf>
    <xf numFmtId="0" fontId="34" fillId="0" borderId="2" xfId="0" applyFont="1" applyBorder="1"/>
    <xf numFmtId="170" fontId="27" fillId="4" borderId="2" xfId="0" applyNumberFormat="1" applyFont="1" applyFill="1" applyBorder="1" applyAlignment="1">
      <alignment horizontal="left" vertical="center" wrapText="1" shrinkToFit="1"/>
    </xf>
    <xf numFmtId="0" fontId="27" fillId="4" borderId="2" xfId="1" applyFont="1" applyFill="1" applyBorder="1" applyAlignment="1" applyProtection="1">
      <alignment horizontal="center" vertical="center"/>
      <protection locked="0"/>
    </xf>
    <xf numFmtId="17" fontId="27" fillId="4" borderId="2" xfId="0" applyNumberFormat="1" applyFont="1" applyFill="1" applyBorder="1" applyAlignment="1">
      <alignment horizontal="center" vertical="center" wrapText="1"/>
    </xf>
    <xf numFmtId="0" fontId="10" fillId="5" borderId="2" xfId="10" applyFont="1" applyFill="1" applyBorder="1" applyAlignment="1">
      <alignment horizontal="left" vertical="center" wrapText="1" shrinkToFit="1"/>
    </xf>
    <xf numFmtId="3" fontId="32" fillId="5" borderId="2" xfId="19" applyNumberFormat="1" applyFont="1" applyFill="1" applyBorder="1" applyAlignment="1">
      <alignment horizontal="center" vertical="center"/>
    </xf>
    <xf numFmtId="165" fontId="32" fillId="5" borderId="2" xfId="0" applyNumberFormat="1" applyFont="1" applyFill="1" applyBorder="1" applyAlignment="1">
      <alignment horizontal="left"/>
    </xf>
    <xf numFmtId="164" fontId="29" fillId="4" borderId="2" xfId="1" applyNumberFormat="1" applyFont="1" applyFill="1" applyBorder="1" applyAlignment="1" applyProtection="1">
      <alignment horizontal="left" vertical="center" wrapText="1"/>
      <protection locked="0"/>
    </xf>
    <xf numFmtId="164" fontId="30" fillId="4" borderId="2" xfId="1" applyNumberFormat="1" applyFont="1" applyFill="1" applyBorder="1" applyAlignment="1" applyProtection="1">
      <alignment horizontal="left" vertical="center" wrapText="1"/>
      <protection locked="0"/>
    </xf>
    <xf numFmtId="164" fontId="27" fillId="6" borderId="2" xfId="1" applyNumberFormat="1" applyFont="1" applyFill="1" applyBorder="1" applyAlignment="1" applyProtection="1">
      <alignment horizontal="left" vertical="center" wrapText="1"/>
      <protection locked="0"/>
    </xf>
    <xf numFmtId="164" fontId="27" fillId="6" borderId="2" xfId="0" applyNumberFormat="1" applyFont="1" applyFill="1" applyBorder="1" applyAlignment="1">
      <alignment horizontal="left"/>
    </xf>
    <xf numFmtId="164" fontId="27" fillId="4" borderId="2" xfId="1" applyNumberFormat="1" applyFont="1" applyFill="1" applyBorder="1" applyAlignment="1" applyProtection="1">
      <alignment horizontal="left" vertical="center" wrapText="1"/>
      <protection locked="0"/>
    </xf>
    <xf numFmtId="170" fontId="5" fillId="4" borderId="2" xfId="0" applyNumberFormat="1" applyFont="1" applyFill="1" applyBorder="1" applyAlignment="1">
      <alignment horizontal="left" vertical="center" wrapText="1" shrinkToFit="1"/>
    </xf>
    <xf numFmtId="171" fontId="5" fillId="4" borderId="2" xfId="0" applyNumberFormat="1" applyFont="1" applyFill="1" applyBorder="1" applyAlignment="1">
      <alignment horizontal="left" vertical="center" wrapText="1"/>
    </xf>
    <xf numFmtId="0" fontId="11" fillId="0" borderId="2" xfId="4" applyFill="1" applyBorder="1" applyAlignment="1">
      <alignment horizontal="left" vertical="center"/>
    </xf>
    <xf numFmtId="0" fontId="10" fillId="0" borderId="2" xfId="20" applyFont="1" applyBorder="1" applyAlignment="1">
      <alignment horizontal="left" vertical="center" wrapText="1" shrinkToFit="1"/>
    </xf>
    <xf numFmtId="0" fontId="11" fillId="0" borderId="2" xfId="4" applyFill="1" applyBorder="1"/>
    <xf numFmtId="0" fontId="10" fillId="0" borderId="2" xfId="1" applyFont="1" applyFill="1" applyBorder="1" applyAlignment="1" applyProtection="1">
      <alignment horizontal="left" vertical="center" wrapText="1"/>
      <protection locked="0"/>
    </xf>
    <xf numFmtId="167" fontId="10" fillId="0" borderId="2" xfId="0" applyNumberFormat="1" applyFont="1" applyBorder="1" applyAlignment="1">
      <alignment horizontal="left" vertical="center"/>
    </xf>
    <xf numFmtId="168" fontId="28" fillId="0" borderId="2" xfId="0" applyNumberFormat="1" applyFont="1" applyBorder="1" applyAlignment="1">
      <alignment horizontal="left" vertical="center" wrapText="1" shrinkToFit="1"/>
    </xf>
    <xf numFmtId="165" fontId="10" fillId="0" borderId="2" xfId="0" applyNumberFormat="1" applyFont="1" applyBorder="1" applyAlignment="1">
      <alignment horizontal="left" vertical="center" wrapText="1"/>
    </xf>
    <xf numFmtId="3" fontId="32" fillId="0" borderId="2" xfId="19" applyNumberFormat="1" applyFont="1" applyFill="1" applyBorder="1" applyAlignment="1">
      <alignment horizontal="center" vertical="center"/>
    </xf>
    <xf numFmtId="4" fontId="32" fillId="0" borderId="2" xfId="19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0" fillId="0" borderId="2" xfId="10" applyFont="1" applyBorder="1" applyAlignment="1">
      <alignment horizontal="left" vertical="center" wrapText="1" shrinkToFit="1"/>
    </xf>
    <xf numFmtId="165" fontId="32" fillId="0" borderId="2" xfId="0" applyNumberFormat="1" applyFont="1" applyBorder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/>
    <xf numFmtId="170" fontId="28" fillId="0" borderId="2" xfId="0" applyNumberFormat="1" applyFont="1" applyBorder="1" applyAlignment="1">
      <alignment horizontal="left" vertical="center" wrapText="1" shrinkToFit="1"/>
    </xf>
    <xf numFmtId="171" fontId="10" fillId="0" borderId="2" xfId="0" applyNumberFormat="1" applyFont="1" applyBorder="1" applyAlignment="1">
      <alignment horizontal="left" vertical="center" wrapText="1"/>
    </xf>
    <xf numFmtId="0" fontId="13" fillId="0" borderId="2" xfId="1" applyFont="1" applyFill="1" applyBorder="1" applyAlignment="1" applyProtection="1">
      <alignment horizontal="left" vertical="center" wrapText="1"/>
      <protection locked="0"/>
    </xf>
    <xf numFmtId="3" fontId="17" fillId="0" borderId="2" xfId="19" applyNumberFormat="1" applyFont="1" applyFill="1" applyBorder="1" applyAlignment="1">
      <alignment horizontal="center" vertical="center"/>
    </xf>
    <xf numFmtId="168" fontId="18" fillId="0" borderId="2" xfId="0" applyNumberFormat="1" applyFont="1" applyBorder="1" applyAlignment="1">
      <alignment horizontal="left" vertical="center" wrapText="1" shrinkToFit="1"/>
    </xf>
    <xf numFmtId="170" fontId="18" fillId="0" borderId="2" xfId="0" applyNumberFormat="1" applyFont="1" applyBorder="1" applyAlignment="1">
      <alignment horizontal="left" vertical="center" wrapText="1" shrinkToFit="1"/>
    </xf>
    <xf numFmtId="165" fontId="13" fillId="0" borderId="2" xfId="0" applyNumberFormat="1" applyFont="1" applyBorder="1" applyAlignment="1">
      <alignment horizontal="left" vertical="center" wrapText="1"/>
    </xf>
    <xf numFmtId="171" fontId="13" fillId="0" borderId="2" xfId="0" applyNumberFormat="1" applyFont="1" applyBorder="1" applyAlignment="1">
      <alignment horizontal="left" vertical="center" wrapText="1"/>
    </xf>
    <xf numFmtId="165" fontId="17" fillId="0" borderId="2" xfId="0" applyNumberFormat="1" applyFont="1" applyBorder="1" applyAlignment="1">
      <alignment horizontal="left"/>
    </xf>
    <xf numFmtId="3" fontId="17" fillId="0" borderId="22" xfId="19" applyNumberFormat="1" applyFont="1" applyFill="1" applyBorder="1" applyAlignment="1">
      <alignment horizontal="center" vertical="center"/>
    </xf>
    <xf numFmtId="4" fontId="17" fillId="0" borderId="2" xfId="19" applyNumberFormat="1" applyFont="1" applyFill="1" applyBorder="1" applyAlignment="1">
      <alignment horizontal="center" vertical="center"/>
    </xf>
    <xf numFmtId="3" fontId="17" fillId="0" borderId="17" xfId="19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wrapText="1" shrinkToFit="1"/>
    </xf>
    <xf numFmtId="0" fontId="28" fillId="8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0" fillId="8" borderId="2" xfId="20" applyFont="1" applyFill="1" applyBorder="1" applyAlignment="1">
      <alignment horizontal="left" vertical="center"/>
    </xf>
    <xf numFmtId="0" fontId="10" fillId="8" borderId="2" xfId="1" applyFont="1" applyFill="1" applyBorder="1" applyAlignment="1" applyProtection="1">
      <alignment horizontal="left" vertical="center" wrapText="1"/>
      <protection locked="0"/>
    </xf>
    <xf numFmtId="0" fontId="18" fillId="0" borderId="29" xfId="0" applyFont="1" applyBorder="1" applyAlignment="1">
      <alignment horizontal="left" wrapText="1" readingOrder="1"/>
    </xf>
    <xf numFmtId="0" fontId="18" fillId="5" borderId="2" xfId="0" applyFont="1" applyFill="1" applyBorder="1" applyAlignment="1">
      <alignment vertical="center" wrapText="1" readingOrder="1"/>
    </xf>
    <xf numFmtId="0" fontId="35" fillId="5" borderId="2" xfId="0" applyFont="1" applyFill="1" applyBorder="1" applyAlignment="1">
      <alignment horizontal="left" vertical="center" readingOrder="1"/>
    </xf>
    <xf numFmtId="0" fontId="18" fillId="5" borderId="2" xfId="0" applyFont="1" applyFill="1" applyBorder="1" applyAlignment="1">
      <alignment vertical="center" readingOrder="1"/>
    </xf>
    <xf numFmtId="0" fontId="18" fillId="5" borderId="2" xfId="0" applyFont="1" applyFill="1" applyBorder="1" applyAlignment="1">
      <alignment horizontal="left" vertical="center" readingOrder="1"/>
    </xf>
    <xf numFmtId="0" fontId="18" fillId="0" borderId="2" xfId="0" applyFont="1" applyBorder="1" applyAlignment="1">
      <alignment horizontal="left" vertical="center" readingOrder="1"/>
    </xf>
    <xf numFmtId="174" fontId="4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10" fillId="5" borderId="3" xfId="1" applyFont="1" applyFill="1" applyBorder="1" applyAlignment="1" applyProtection="1">
      <alignment vertical="center" wrapText="1"/>
      <protection locked="0"/>
    </xf>
    <xf numFmtId="0" fontId="13" fillId="5" borderId="30" xfId="0" applyFont="1" applyFill="1" applyBorder="1" applyAlignment="1">
      <alignment horizontal="center"/>
    </xf>
    <xf numFmtId="0" fontId="19" fillId="0" borderId="2" xfId="4" applyFont="1" applyFill="1" applyBorder="1" applyAlignment="1">
      <alignment horizontal="center" vertical="center"/>
    </xf>
    <xf numFmtId="0" fontId="19" fillId="5" borderId="3" xfId="4" applyFont="1" applyFill="1" applyBorder="1" applyAlignment="1" applyProtection="1">
      <alignment horizontal="center" vertical="center" wrapText="1"/>
      <protection locked="0"/>
    </xf>
    <xf numFmtId="0" fontId="19" fillId="5" borderId="5" xfId="4" applyFont="1" applyFill="1" applyBorder="1" applyAlignment="1" applyProtection="1">
      <alignment horizontal="center" vertical="center" wrapText="1"/>
      <protection locked="0"/>
    </xf>
    <xf numFmtId="0" fontId="19" fillId="5" borderId="4" xfId="4" applyFont="1" applyFill="1" applyBorder="1" applyAlignment="1" applyProtection="1">
      <alignment horizontal="center" vertical="center" wrapText="1"/>
      <protection locked="0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1" fillId="0" borderId="3" xfId="4" applyBorder="1" applyAlignment="1">
      <alignment horizontal="center" vertical="center"/>
    </xf>
    <xf numFmtId="0" fontId="11" fillId="0" borderId="4" xfId="4" applyBorder="1" applyAlignment="1">
      <alignment horizontal="center" vertical="center"/>
    </xf>
  </cellXfs>
  <cellStyles count="27">
    <cellStyle name="Акцент1" xfId="1" builtinId="29"/>
    <cellStyle name="Гиперссылка" xfId="4" builtinId="8"/>
    <cellStyle name="Гиперссылка 3" xfId="2" xr:uid="{00000000-0005-0000-0000-000001000000}"/>
    <cellStyle name="Гиперссылка 4" xfId="3" xr:uid="{00000000-0005-0000-0000-000002000000}"/>
    <cellStyle name="Обычный" xfId="0" builtinId="0"/>
    <cellStyle name="Обычный 2" xfId="10" xr:uid="{FFB6C2D6-278B-4415-896D-1B15C4FC9CD4}"/>
    <cellStyle name="Обычный 2 2 3" xfId="8" xr:uid="{E1DEF377-7315-46CF-8962-24F07ABFDAEC}"/>
    <cellStyle name="Обычный 2 2 3 3" xfId="18" xr:uid="{D314273F-45EF-4D7C-AC47-26F7E94689D1}"/>
    <cellStyle name="Обычный 2 3" xfId="6" xr:uid="{F9C41704-2A24-2043-A3B7-D21FEA01350C}"/>
    <cellStyle name="Обычный 2 3 2" xfId="20" xr:uid="{47B189B3-19FF-134E-B76F-A0AA965E2409}"/>
    <cellStyle name="Обычный 2 3 2 2" xfId="22" xr:uid="{C90C7853-9FCC-C643-97C2-E8043811B0A6}"/>
    <cellStyle name="Обычный 2 3 3 2" xfId="16" xr:uid="{AF90DD33-00BE-4418-B54E-0386E93B7AD6}"/>
    <cellStyle name="Обычный 2 3 3 2 2" xfId="25" xr:uid="{3ADED02E-E4CB-4A9E-AC83-9AF0C034D772}"/>
    <cellStyle name="Обычный 2 8" xfId="14" xr:uid="{D69093FC-D538-45C1-B41D-102DAA29FF66}"/>
    <cellStyle name="Обычный 3 2" xfId="13" xr:uid="{2CB57029-8BA8-4995-970C-6807615DB79F}"/>
    <cellStyle name="Обычный 3 2 2" xfId="23" xr:uid="{2BF8330A-02E2-E845-BC92-38070BBFF272}"/>
    <cellStyle name="Обычный 3 3" xfId="12" xr:uid="{23209888-3B0E-4932-AEFA-42F5D3EB3126}"/>
    <cellStyle name="Процентный 2" xfId="17" xr:uid="{E273389D-5448-4FAD-9089-276F5CFC12C7}"/>
    <cellStyle name="Финансовый" xfId="19" builtinId="3"/>
    <cellStyle name="Финансовый [0]" xfId="5" builtinId="6"/>
    <cellStyle name="Финансовый [0] 2" xfId="11" xr:uid="{181AE8D7-78A4-4D5D-88BB-8508B07C2D48}"/>
    <cellStyle name="Финансовый [0] 2 2" xfId="7" xr:uid="{04CF16CA-716A-6A4F-BD7B-A94FE61C56CE}"/>
    <cellStyle name="Финансовый [0] 2 2 2" xfId="15" xr:uid="{BAC94078-88CC-42A1-A4D3-DB35598DA4A1}"/>
    <cellStyle name="Финансовый [0] 2 2 3" xfId="21" xr:uid="{5A1E304B-2ECA-2044-BBD0-AB9A163E2565}"/>
    <cellStyle name="Финансовый [0] 2 2 3 2" xfId="26" xr:uid="{EC4A239D-4A9A-4BFA-99E1-74740C79F868}"/>
    <cellStyle name="Финансовый [0] 3" xfId="9" xr:uid="{EDED5C3D-95E3-499A-A3E1-3F7CF977EB5A}"/>
    <cellStyle name="Финансовый 2 2 2" xfId="24" xr:uid="{8FBEDC80-7308-2C4C-831D-A756DF6D2A5F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24100" cy="1238506"/>
    <xdr:pic>
      <xdr:nvPicPr>
        <xdr:cNvPr id="2" name="Рисунок 1">
          <a:extLst>
            <a:ext uri="{FF2B5EF4-FFF2-40B4-BE49-F238E27FC236}">
              <a16:creationId xmlns:a16="http://schemas.microsoft.com/office/drawing/2014/main" id="{C7C0C67A-7309-4A9E-AE7E-E24E4DD70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24100" cy="123850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DBD6867B-CC77-49E8-BEE7-D1EC37A0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35301" cy="1028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6B5B6143-DB0B-4361-AA79-76A2BC89B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35301" cy="10287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78775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B69F6D5F-68BF-47C0-A132-F640D3C84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775"/>
          <a:ext cx="1835301" cy="10287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AAC5FB0F-95AE-4DEE-A36F-949F70899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35301" cy="10287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C3AEEE03-9DA3-4008-863D-90EBA46D8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35301" cy="1028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152400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CCC5C0F6-F827-614A-841B-402EC001F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"/>
          <a:ext cx="1835301" cy="10287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13855</xdr:rowOff>
    </xdr:from>
    <xdr:ext cx="2380246" cy="1302326"/>
    <xdr:pic>
      <xdr:nvPicPr>
        <xdr:cNvPr id="2" name="Рисунок 1">
          <a:extLst>
            <a:ext uri="{FF2B5EF4-FFF2-40B4-BE49-F238E27FC236}">
              <a16:creationId xmlns:a16="http://schemas.microsoft.com/office/drawing/2014/main" id="{7C6C4988-3C7F-5B49-A1F4-BC66E688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55"/>
          <a:ext cx="2380246" cy="130232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vdewit01\My%20Documents\CAMPBELL'S\Wave%20I\FORKLIFTS%20&amp;%20FLEET\IC\DHL\RFP-Lease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GRP_V1_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GINI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526_Enterprise%203.%20Flight%20Mediakostenplan_Vodafo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624_Enterprise%203.%20Flight%20Mediakostenplan_Vodafon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lexis/My%20Documents/Str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OT97QUA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to%20Economic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TV%2021Gen-3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Assovskaya\Local%20Settings\Temporary%20Internet%20Files\OLKE\&#1055;&#1080;&#1090;&#1077;&#1088;_&#1069;&#1089;&#1087;&#1072;&#1088;2_30-05_07_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S%20Hachett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ano%20excel%20BLU%2022.5%20SP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Inserenten_Plan1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nkelgroup.sharepoint.com/Temp/C.Daten.NotesR5/Reachtables%2004_01_1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TTA%20piano2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EON_Plan7_nc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Sadovsky/Local%20Settings/Temporary%20Internet%20Files/OLK92/counter%20(4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anislav\Desktop\&#1052;&#1055;\&#1052;&#1055;%202019\&#1053;&#1072;&#1088;&#1075;&#1080;&#1079;&#1072;%20&#1058;&#1042;%20&#1051;&#1072;&#1081;&#1085;\Clients\2003\Epson\PhotoPrinters\Map_May_94_FSU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NEON_Plan1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UB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0.98\Artur\Disk%20D\&#1057;&#1095;&#1080;&#1090;&#1072;&#1083;&#1082;&#1080;\2019\&#1064;&#1072;&#1073;&#1083;&#1086;&#1085;&#1099;%20&#1057;&#1090;&#1072;&#1089;&#1072;\&#1044;&#1077;&#1090;&#1072;&#1083;&#1080;&#1079;&#1072;&#1094;&#1080;&#1103;%20&#1070;&#1083;&#1072;&#1081;&#1079;&#1077;&#1088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S%20Radio%20Planungsprogram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14\CIS\BORJOMI\PITCHES%202014\Baltics\buying%20templates\audit%20archiveUsers\DKuraev\Library\Caches\TemporaryItems\Outlook%20Temp\chart4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1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BRZ_Plan3_06020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Kostenplan%20Funk_0702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Instructions"/>
      <sheetName val="Main"/>
      <sheetName val="Vehicles"/>
      <sheetName val="Sheet1"/>
      <sheetName val="BE"/>
      <sheetName val="CH"/>
      <sheetName val="DE"/>
      <sheetName val="DK"/>
      <sheetName val="ES"/>
      <sheetName val="FI"/>
      <sheetName val="FR"/>
      <sheetName val="IT"/>
      <sheetName val="NL"/>
      <sheetName val="NO"/>
      <sheetName val="PL"/>
      <sheetName val="SE"/>
      <sheetName val="UK"/>
      <sheetName val="계열사현황종합"/>
      <sheetName val="Print-forms"/>
      <sheetName val="Outdoor St-Peter June"/>
      <sheetName val="TVP 2009"/>
      <sheetName val="TV spot_supplier"/>
      <sheetName val="XLRpt_TempSheet"/>
      <sheetName val="Estimate"/>
      <sheetName val="Outdoor_St-Peter_June"/>
      <sheetName val="TV_spot_supplier"/>
      <sheetName val="TVP_2009"/>
      <sheetName val="MP"/>
      <sheetName val="ORT"/>
      <sheetName val="XLR_NoRangeSheet"/>
      <sheetName val="CAMPAIGN AVERAGE F"/>
      <sheetName val="외주현황.wq1"/>
      <sheetName val="show of spot"/>
      <sheetName val="FX Rates"/>
      <sheetName val="2.대외공문"/>
      <sheetName val="Расчет"/>
      <sheetName val="Spend by Market"/>
      <sheetName val="data"/>
      <sheetName val="Sheet2"/>
      <sheetName val="Outdoor_St-Peter_June1"/>
      <sheetName val="isla97"/>
      <sheetName val="ISLA98"/>
      <sheetName val="poralcon97"/>
      <sheetName val="PORT98HALC"/>
      <sheetName val="port97 p.atra"/>
      <sheetName val="PORT98ATRA"/>
      <sheetName val="Non Analysed Definitions"/>
      <sheetName val="Overview 2013"/>
      <sheetName val="TV_spot_supplier1"/>
      <sheetName val="TVP_20091"/>
      <sheetName val="CAMPAIGN_AVERAGE_F"/>
      <sheetName val="외주현황_wq1"/>
      <sheetName val="show_of_spot"/>
      <sheetName val="FX_Rates"/>
      <sheetName val="2_대외공문"/>
      <sheetName val="Spend_by_Market"/>
      <sheetName val="FX-Rate"/>
      <sheetName val="OWNPROD EST"/>
      <sheetName val="OWNPROD LIT"/>
      <sheetName val="Base"/>
      <sheetName val="port97_p_atra"/>
      <sheetName val="Look up info"/>
      <sheetName val="Indices"/>
      <sheetName val="생산"/>
      <sheetName val="EXPRES BUSINESS"/>
      <sheetName val="Adserving Definitions"/>
      <sheetName val="definitions"/>
      <sheetName val="Carat - Retourpercentages"/>
      <sheetName val="Fa_man_-_real"/>
      <sheetName val="Рег__ТВ_(+)"/>
      <sheetName val="Расчет_по_Регионам"/>
      <sheetName val="Главный"/>
      <sheetName val="CTC"/>
      <sheetName val="Владивосток_ОРТ_(наш)1"/>
      <sheetName val="Прайс"/>
      <sheetName val="NTV"/>
      <sheetName val="Брянск"/>
      <sheetName val="RenTV"/>
      <sheetName val="Сезонка"/>
      <sheetName val="basic_data"/>
      <sheetName val="RTR"/>
      <sheetName val="Macro1"/>
      <sheetName val="G2TempSheet"/>
      <sheetName val="TV6"/>
      <sheetName val="Тариф_авт_"/>
      <sheetName val="Альметьевск"/>
      <sheetName val="ЦЕНЫ"/>
      <sheetName val="МАКРОС1"/>
      <sheetName val="МОДЕЛИ_ТС"/>
      <sheetName val="Тариф_трамвай"/>
      <sheetName val="Тариф_троллебусов"/>
      <sheetName val="Market Data"/>
      <sheetName val="Team Structure"/>
      <sheetName val="Commitments"/>
      <sheetName val="Budget"/>
      <sheetName val="List"/>
      <sheetName val="Outdoor_St-Peter_June2"/>
      <sheetName val="TV_spot_supplier2"/>
      <sheetName val="TVP_20092"/>
      <sheetName val="외주현황_wq11"/>
      <sheetName val="show_of_spot1"/>
      <sheetName val="FX_Rates1"/>
      <sheetName val="2_대외공문1"/>
      <sheetName val="CAMPAIGN_AVERAGE_F1"/>
      <sheetName val="Spend_by_Market1"/>
      <sheetName val="Non_Analysed_Definitions"/>
      <sheetName val="OWNPROD_EST"/>
      <sheetName val="OWNPROD_LIT"/>
      <sheetName val="Overview_2013"/>
      <sheetName val="Brazil"/>
      <sheetName val="Aging Analysis"/>
      <sheetName val="Basis_Master"/>
      <sheetName val="Dictionnary"/>
      <sheetName val="TechSpecs"/>
      <sheetName val="Category List"/>
      <sheetName val="July Master Pivot Data"/>
      <sheetName val="Tabelle2"/>
      <sheetName val="Data Validation"/>
      <sheetName val="Lists"/>
      <sheetName val="segédtábla"/>
      <sheetName val="Списки"/>
      <sheetName val="Tables"/>
      <sheetName val="Drop down calculation"/>
      <sheetName val="Print list"/>
      <sheetName val="OOH list"/>
      <sheetName val="Digital list"/>
      <sheetName val="BACK"/>
      <sheetName val="Back Print"/>
      <sheetName val="Altro"/>
      <sheetName val="Лист1"/>
      <sheetName val="Media Job Descriptions"/>
      <sheetName val="Buying Model "/>
      <sheetName val="Desplegables"/>
      <sheetName val="Digital Site Categories"/>
      <sheetName val="port97_p_atra1"/>
      <sheetName val="Look_up_info"/>
      <sheetName val="Carat_-_Retourpercentages"/>
      <sheetName val="EXPRES_BUSINESS"/>
      <sheetName val="Market_Data"/>
      <sheetName val="Team_Structure"/>
      <sheetName val="TV_spot_supplier3"/>
      <sheetName val="외주현황_wq12"/>
      <sheetName val="2_대외공문2"/>
      <sheetName val="Outdoor_St-Peter_June3"/>
      <sheetName val="TVP_20093"/>
      <sheetName val="show_of_spot2"/>
      <sheetName val="FX_Rates2"/>
      <sheetName val="Spend_by_Market2"/>
      <sheetName val="CAMPAIGN_AVERAGE_F2"/>
      <sheetName val="Non_Analysed_Definitions1"/>
      <sheetName val="Overview_20131"/>
      <sheetName val="OWNPROD_EST1"/>
      <sheetName val="OWNPROD_LIT1"/>
      <sheetName val="Adserving_Definitions"/>
      <sheetName val="Category_List"/>
      <sheetName val="July_Master_Pivot_Data"/>
      <sheetName val="Drop_down_calculation"/>
      <sheetName val="Data_Validation"/>
      <sheetName val="Print_list"/>
      <sheetName val="OOH_list"/>
      <sheetName val="Digital_list"/>
      <sheetName val="Back_Print"/>
      <sheetName val="Digital_Site_Categories"/>
      <sheetName val="port97_p_atra2"/>
      <sheetName val="Outdoor_St-Peter_June4"/>
      <sheetName val="x"/>
      <sheetName val="Reference Picklist"/>
      <sheetName val="1d - US Hourly staff benchmark"/>
      <sheetName val="PlatformLists"/>
      <sheetName val="audiencias"/>
      <sheetName val="Team Cost"/>
      <sheetName val="Drop Downs"/>
      <sheetName val="Dictionary"/>
      <sheetName val="Tendine"/>
      <sheetName val="Print list "/>
      <sheetName val="Channel List"/>
      <sheetName val="RFP-Leaseplan"/>
      <sheetName val="JOHN "/>
      <sheetName val="Key Figures YTD"/>
      <sheetName val="Vallas."/>
      <sheetName val="Auxiliar"/>
      <sheetName val="alapok"/>
      <sheetName val="FINAL"/>
      <sheetName val="Лист4"/>
      <sheetName val="Outdoor_St-Peter_June5"/>
      <sheetName val="TV_spot_supplier4"/>
      <sheetName val="TVP_20094"/>
      <sheetName val="외주현황_wq13"/>
      <sheetName val="show_of_spot3"/>
      <sheetName val="FX_Rates3"/>
      <sheetName val="Spend_by_Market3"/>
      <sheetName val="2_대외공문3"/>
      <sheetName val="CAMPAIGN_AVERAGE_F3"/>
      <sheetName val="port97_p_atra3"/>
      <sheetName val="Non_Analysed_Definitions2"/>
      <sheetName val="Overview_20132"/>
      <sheetName val="Look_up_info1"/>
      <sheetName val="OWNPROD_EST2"/>
      <sheetName val="OWNPROD_LIT2"/>
      <sheetName val="Carat_-_Retourpercentages1"/>
      <sheetName val="EXPRES_BUSINESS1"/>
      <sheetName val="Adserving_Definitions1"/>
      <sheetName val="Market_Data1"/>
      <sheetName val="Team_Structure1"/>
      <sheetName val="Category_List1"/>
      <sheetName val="July_Master_Pivot_Data1"/>
      <sheetName val="Data_Validation1"/>
      <sheetName val="Print_list1"/>
      <sheetName val="OOH_list1"/>
      <sheetName val="Drop_down_calculation1"/>
      <sheetName val="Digital_list1"/>
      <sheetName val="Back_Print1"/>
      <sheetName val="Aging_Analysis"/>
      <sheetName val="Reference_Picklist"/>
      <sheetName val="Digital_Site_Categories1"/>
      <sheetName val="1d_-_US_Hourly_staff_benchmark"/>
      <sheetName val="Media_Job_Descriptions"/>
      <sheetName val="Drop_Downs"/>
      <sheetName val="Buying_Model_"/>
      <sheetName val="Team_Cost"/>
      <sheetName val="Print_list_"/>
      <sheetName val="Channel_List"/>
      <sheetName val="JOHN_"/>
      <sheetName val="Arkusz1"/>
      <sheetName val="DIGITAL"/>
      <sheetName val="Brief"/>
      <sheetName val="TV_spot_supplier5"/>
      <sheetName val="Outdoor_St-Peter_June6"/>
      <sheetName val="TVP_20095"/>
      <sheetName val="FX_Rates4"/>
      <sheetName val="외주현황_wq14"/>
      <sheetName val="show_of_spot4"/>
      <sheetName val="2_대외공문4"/>
      <sheetName val="CAMPAIGN_AVERAGE_F4"/>
      <sheetName val="Spend_by_Market4"/>
      <sheetName val="port97_p_atra4"/>
      <sheetName val="Non_Analysed_Definitions3"/>
      <sheetName val="Overview_20133"/>
      <sheetName val="Look_up_info2"/>
      <sheetName val="OWNPROD_EST3"/>
      <sheetName val="OWNPROD_LIT3"/>
      <sheetName val="Carat_-_Retourpercentages2"/>
      <sheetName val="EXPRES_BUSINESS2"/>
      <sheetName val="Adserving_Definitions2"/>
      <sheetName val="Market_Data2"/>
      <sheetName val="Team_Structure2"/>
      <sheetName val="Category_List2"/>
      <sheetName val="July_Master_Pivot_Data2"/>
      <sheetName val="Print_list2"/>
      <sheetName val="OOH_list2"/>
      <sheetName val="Digital_list2"/>
      <sheetName val="Data_Validation2"/>
      <sheetName val="Back_Print2"/>
      <sheetName val="Drop_down_calculation2"/>
      <sheetName val="Reference_Picklist1"/>
      <sheetName val="1d_-_US_Hourly_staff_benchmark1"/>
      <sheetName val="Aging_Analysis1"/>
      <sheetName val="Digital_Site_Categories2"/>
      <sheetName val="Media_Job_Descriptions1"/>
      <sheetName val="Drop_Downs1"/>
      <sheetName val="Buying_Model_1"/>
      <sheetName val="Team_Cost1"/>
      <sheetName val="Print_list_1"/>
      <sheetName val="Channel_List1"/>
      <sheetName val="JOHN_1"/>
      <sheetName val="Key_Figures_YTD"/>
      <sheetName val="Vallas_"/>
      <sheetName val="TV_spot_supplier6"/>
      <sheetName val="Outdoor_St-Peter_June7"/>
      <sheetName val="TVP_20096"/>
      <sheetName val="FX_Rates5"/>
      <sheetName val="외주현황_wq15"/>
      <sheetName val="show_of_spot5"/>
      <sheetName val="2_대외공문5"/>
      <sheetName val="CAMPAIGN_AVERAGE_F5"/>
      <sheetName val="Spend_by_Market5"/>
      <sheetName val="port97_p_atra5"/>
      <sheetName val="Non_Analysed_Definitions4"/>
      <sheetName val="Overview_20134"/>
      <sheetName val="Look_up_info3"/>
      <sheetName val="OWNPROD_EST4"/>
      <sheetName val="OWNPROD_LIT4"/>
      <sheetName val="Carat_-_Retourpercentages3"/>
      <sheetName val="EXPRES_BUSINESS3"/>
      <sheetName val="Adserving_Definitions3"/>
      <sheetName val="Market_Data3"/>
      <sheetName val="Team_Structure3"/>
      <sheetName val="Category_List3"/>
      <sheetName val="July_Master_Pivot_Data3"/>
      <sheetName val="Print_list3"/>
      <sheetName val="OOH_list3"/>
      <sheetName val="Digital_list3"/>
      <sheetName val="Data_Validation3"/>
      <sheetName val="Back_Print3"/>
      <sheetName val="Drop_down_calculation3"/>
      <sheetName val="Reference_Picklist2"/>
      <sheetName val="1d_-_US_Hourly_staff_benchmark2"/>
      <sheetName val="Aging_Analysis2"/>
      <sheetName val="Digital_Site_Categories3"/>
      <sheetName val="Media_Job_Descriptions2"/>
      <sheetName val="Drop_Downs2"/>
      <sheetName val="Buying_Model_2"/>
      <sheetName val="Team_Cost2"/>
      <sheetName val="Print_list_2"/>
      <sheetName val="Channel_List2"/>
      <sheetName val="JOHN_2"/>
      <sheetName val="Key_Figures_YTD1"/>
      <sheetName val="Vallas_1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Drop Down"/>
      <sheetName val="подрядчики"/>
      <sheetName val="площадка"/>
      <sheetName val="услуги"/>
      <sheetName val="месяц"/>
      <sheetName val="направление"/>
      <sheetName val="клиенты"/>
      <sheetName val="DropDownList"/>
      <sheetName val="AGENCY DECLARATIONS"/>
      <sheetName val="Drop Down List"/>
      <sheetName val="17.7mln вар 1"/>
      <sheetName val="Dropdowns"/>
      <sheetName val="география"/>
      <sheetName val="비용정리"/>
      <sheetName val="TV 30&quot; BP"/>
      <sheetName val="SCO3"/>
      <sheetName val="odaplan_report"/>
      <sheetName val="INTERNET TEASER"/>
      <sheetName val="Dane"/>
      <sheetName val="weight and spots 3 opt"/>
      <sheetName val="B"/>
      <sheetName val="2"/>
      <sheetName val="SATZENBRAU"/>
      <sheetName val="GUINNESS PM"/>
      <sheetName val="GUINNESS GM"/>
      <sheetName val="MALTA"/>
      <sheetName val="larcal"/>
      <sheetName val="SetGraficos"/>
      <sheetName val="Mediaplan"/>
      <sheetName val="Market information"/>
      <sheetName val="TV_spot_supplier7"/>
      <sheetName val="Outdoor_St-Peter_June8"/>
      <sheetName val="TVP_20097"/>
      <sheetName val="FX_Rates6"/>
      <sheetName val="외주현황_wq16"/>
      <sheetName val="show_of_spot6"/>
      <sheetName val="2_대외공문6"/>
      <sheetName val="CAMPAIGN_AVERAGE_F6"/>
      <sheetName val="Spend_by_Market6"/>
      <sheetName val="port97_p_atra6"/>
      <sheetName val="Non_Analysed_Definitions5"/>
      <sheetName val="Overview_20135"/>
      <sheetName val="Look_up_info4"/>
      <sheetName val="OWNPROD_EST5"/>
      <sheetName val="OWNPROD_LIT5"/>
      <sheetName val="Carat_-_Retourpercentages4"/>
      <sheetName val="EXPRES_BUSINESS4"/>
      <sheetName val="Adserving_Definitions4"/>
      <sheetName val="Market_Data4"/>
      <sheetName val="Team_Structure4"/>
      <sheetName val="Category_List4"/>
      <sheetName val="July_Master_Pivot_Data4"/>
      <sheetName val="Print_list4"/>
      <sheetName val="OOH_list4"/>
      <sheetName val="Digital_list4"/>
      <sheetName val="Data_Validation4"/>
      <sheetName val="Back_Print4"/>
      <sheetName val="Drop_down_calculation4"/>
      <sheetName val="Reference_Picklist3"/>
      <sheetName val="1d_-_US_Hourly_staff_benchmark3"/>
      <sheetName val="Aging_Analysis3"/>
      <sheetName val="Digital_Site_Categories4"/>
      <sheetName val="Media_Job_Descriptions3"/>
      <sheetName val="Drop_Downs3"/>
      <sheetName val="Buying_Model_3"/>
      <sheetName val="Team_Cost3"/>
      <sheetName val="Print_list_3"/>
      <sheetName val="Channel_List3"/>
      <sheetName val="JOHN_3"/>
      <sheetName val="Key_Figures_YTD2"/>
      <sheetName val="Vallas_2"/>
      <sheetName val="AGENCY_DECLARATIONS"/>
      <sheetName val="Drop_Down"/>
      <sheetName val="MonthYear Lookup"/>
      <sheetName val="Calendar"/>
      <sheetName val="Country"/>
      <sheetName val="Creative"/>
      <sheetName val="Product"/>
      <sheetName val="Media"/>
      <sheetName val="Date 5"/>
      <sheetName val="01"/>
      <sheetName val="PC"/>
      <sheetName val="Corp"/>
      <sheetName val="IW"/>
      <sheetName val="MBS"/>
      <sheetName val="MED"/>
      <sheetName val="Server"/>
      <sheetName val="Client"/>
      <sheetName val="##"/>
      <sheetName val="Discipline - do not edit"/>
      <sheetName val="dati"/>
      <sheetName val="55% and 70%"/>
      <sheetName val="Digital Dropdowns"/>
      <sheetName val="tv"/>
      <sheetName val="Outdoor_St-Peter_June9"/>
      <sheetName val="TV_spot_supplier8"/>
      <sheetName val="TVP_20098"/>
      <sheetName val="외주현황_wq17"/>
      <sheetName val="show_of_spot7"/>
      <sheetName val="FX_Rates7"/>
      <sheetName val="2_대외공문7"/>
      <sheetName val="CAMPAIGN_AVERAGE_F7"/>
      <sheetName val="Spend_by_Market7"/>
      <sheetName val="port97_p_atra7"/>
      <sheetName val="Non_Analysed_Definitions6"/>
      <sheetName val="Overview_20136"/>
      <sheetName val="Look_up_info5"/>
      <sheetName val="OWNPROD_EST6"/>
      <sheetName val="OWNPROD_LIT6"/>
      <sheetName val="Carat_-_Retourpercentages5"/>
      <sheetName val="EXPRES_BUSINESS5"/>
      <sheetName val="Market_Data5"/>
      <sheetName val="Team_Structure5"/>
      <sheetName val="Adserving_Definitions5"/>
      <sheetName val="Category_List5"/>
      <sheetName val="July_Master_Pivot_Data5"/>
      <sheetName val="Data_Validation5"/>
      <sheetName val="Print_list5"/>
      <sheetName val="OOH_list5"/>
      <sheetName val="Drop_down_calculation5"/>
      <sheetName val="Digital_list5"/>
      <sheetName val="Back_Print5"/>
      <sheetName val="Digital_Site_Categories5"/>
      <sheetName val="Media_Job_Descriptions4"/>
      <sheetName val="Aging_Analysis4"/>
      <sheetName val="Reference_Picklist4"/>
      <sheetName val="1d_-_US_Hourly_staff_benchmark4"/>
      <sheetName val="Drop_Downs4"/>
      <sheetName val="Buying_Model_4"/>
      <sheetName val="Team_Cost4"/>
      <sheetName val="Print_list_4"/>
      <sheetName val="JOHN_4"/>
      <sheetName val="Channel_List4"/>
      <sheetName val="Key_Figures_YTD3"/>
      <sheetName val="Vallas_3"/>
      <sheetName val="AGENCY_DECLARATIONS1"/>
      <sheetName val="Drop_Down1"/>
      <sheetName val="TV_30&quot;_BP"/>
      <sheetName val="Drop_Down_List"/>
      <sheetName val="вводные_20_01"/>
      <sheetName val="Бюджет_100%_ТВ"/>
      <sheetName val="Барни_Fem25-54"/>
      <sheetName val="Oreo_THin_18-39"/>
      <sheetName val="TUC_25-44"/>
      <sheetName val="расчет_весов_2020_mdlz"/>
      <sheetName val="for_flow_2020"/>
      <sheetName val="к-нт_конверсии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INTERNET_TEASER"/>
      <sheetName val="17_7mln_вар_1"/>
      <sheetName val="GUINNESS_PM"/>
      <sheetName val="GUINNESS_GM"/>
      <sheetName val="R CURVES"/>
      <sheetName val="DAILY  ACCUMULATED R AND F"/>
      <sheetName val="к-нт_кон_x0000__x0000_Ԁ_x0000_瀀摎"/>
      <sheetName val="basis"/>
      <sheetName val="к-нт_кон_x0000__x0000_Ԁ_x0000_Ꮏ"/>
      <sheetName val="Control"/>
      <sheetName val="vendors_data"/>
      <sheetName val="vendor_calculator"/>
      <sheetName val="PQ data"/>
      <sheetName val="Data_Source"/>
      <sheetName val="weight_and_spots_3_opt"/>
      <sheetName val="Market_information"/>
      <sheetName val="all brands (all media)"/>
      <sheetName val="Жилищные (рубли, сумма)"/>
      <sheetName val="чел европа+ от сми"/>
      <sheetName val="Расчет по Регионам"/>
      <sheetName val="Тех_доп"/>
      <sheetName val="Input_weekly"/>
      <sheetName val="sanofi grp_2"/>
      <sheetName val="Assumptions"/>
      <sheetName val="к-нт_кон"/>
      <sheetName val="dimension data"/>
      <sheetName val="Discipline_-_do_not_edit"/>
      <sheetName val="Outdoor_St-Peter_June10"/>
      <sheetName val="TV_spot_supplier9"/>
      <sheetName val="TVP_20099"/>
      <sheetName val="외주현황_wq18"/>
      <sheetName val="show_of_spot8"/>
      <sheetName val="FX_Rates8"/>
      <sheetName val="Spend_by_Market8"/>
      <sheetName val="2_대외공문8"/>
      <sheetName val="CAMPAIGN_AVERAGE_F8"/>
      <sheetName val="port97_p_atra8"/>
      <sheetName val="Non_Analysed_Definitions7"/>
      <sheetName val="Overview_20137"/>
      <sheetName val="Look_up_info6"/>
      <sheetName val="OWNPROD_EST7"/>
      <sheetName val="OWNPROD_LIT7"/>
      <sheetName val="Carat_-_Retourpercentages6"/>
      <sheetName val="EXPRES_BUSINESS6"/>
      <sheetName val="Adserving_Definitions6"/>
      <sheetName val="Market_Data6"/>
      <sheetName val="Team_Structure6"/>
      <sheetName val="Category_List6"/>
      <sheetName val="July_Master_Pivot_Data6"/>
      <sheetName val="Data_Validation6"/>
      <sheetName val="Print_list6"/>
      <sheetName val="OOH_list6"/>
      <sheetName val="Drop_down_calculation6"/>
      <sheetName val="Digital_list6"/>
      <sheetName val="Back_Print6"/>
      <sheetName val="Aging_Analysis5"/>
      <sheetName val="Reference_Picklist5"/>
      <sheetName val="Digital_Site_Categories6"/>
      <sheetName val="1d_-_US_Hourly_staff_benchmark5"/>
      <sheetName val="Media_Job_Descriptions5"/>
      <sheetName val="Drop_Downs5"/>
      <sheetName val="Buying_Model_5"/>
      <sheetName val="Team_Cost5"/>
      <sheetName val="Print_list_5"/>
      <sheetName val="Channel_List5"/>
      <sheetName val="JOHN_5"/>
      <sheetName val="Key_Figures_YTD4"/>
      <sheetName val="Vallas_4"/>
      <sheetName val="AGENCY_DECLARATIONS2"/>
      <sheetName val="Drop_Down2"/>
      <sheetName val="TV_30&quot;_BP1"/>
      <sheetName val="Drop_Down_List1"/>
      <sheetName val="вводные_20_011"/>
      <sheetName val="Бюджет_100%_ТВ1"/>
      <sheetName val="Барни_Fem25-541"/>
      <sheetName val="Oreo_THin_18-391"/>
      <sheetName val="TUC_25-441"/>
      <sheetName val="расчет_весов_2020_mdlz1"/>
      <sheetName val="for_flow_20201"/>
      <sheetName val="к-нт_конверсии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INTERNET_TEASER1"/>
      <sheetName val="17_7mln_вар_11"/>
      <sheetName val="GUINNESS_PM1"/>
      <sheetName val="GUINNESS_GM1"/>
      <sheetName val="MonthYear_Lookup"/>
      <sheetName val="Outdoor_St-Peter_June11"/>
      <sheetName val="TV_spot_supplier10"/>
      <sheetName val="TVP_200910"/>
      <sheetName val="외주현황_wq19"/>
      <sheetName val="show_of_spot9"/>
      <sheetName val="FX_Rates9"/>
      <sheetName val="Spend_by_Market9"/>
      <sheetName val="2_대외공문9"/>
      <sheetName val="CAMPAIGN_AVERAGE_F9"/>
      <sheetName val="port97_p_atra9"/>
      <sheetName val="Non_Analysed_Definitions8"/>
      <sheetName val="Overview_20138"/>
      <sheetName val="Look_up_info7"/>
      <sheetName val="OWNPROD_EST8"/>
      <sheetName val="OWNPROD_LIT8"/>
      <sheetName val="Carat_-_Retourpercentages7"/>
      <sheetName val="EXPRES_BUSINESS7"/>
      <sheetName val="Adserving_Definitions7"/>
      <sheetName val="Market_Data7"/>
      <sheetName val="Team_Structure7"/>
      <sheetName val="Category_List7"/>
      <sheetName val="July_Master_Pivot_Data7"/>
      <sheetName val="Data_Validation7"/>
      <sheetName val="Print_list7"/>
      <sheetName val="OOH_list7"/>
      <sheetName val="Drop_down_calculation7"/>
      <sheetName val="Digital_list7"/>
      <sheetName val="Back_Print7"/>
      <sheetName val="Aging_Analysis6"/>
      <sheetName val="Reference_Picklist6"/>
      <sheetName val="Digital_Site_Categories7"/>
      <sheetName val="1d_-_US_Hourly_staff_benchmark6"/>
      <sheetName val="Media_Job_Descriptions6"/>
      <sheetName val="Drop_Downs6"/>
      <sheetName val="Buying_Model_6"/>
      <sheetName val="Team_Cost6"/>
      <sheetName val="Print_list_6"/>
      <sheetName val="Channel_List6"/>
      <sheetName val="JOHN_6"/>
      <sheetName val="Key_Figures_YTD5"/>
      <sheetName val="Vallas_5"/>
      <sheetName val="AGENCY_DECLARATIONS3"/>
      <sheetName val="Drop_Down3"/>
      <sheetName val="TV_30&quot;_BP2"/>
      <sheetName val="Drop_Down_List2"/>
      <sheetName val="вводные_20_012"/>
      <sheetName val="Бюджет_100%_ТВ2"/>
      <sheetName val="Барни_Fem25-542"/>
      <sheetName val="Oreo_THin_18-392"/>
      <sheetName val="TUC_25-442"/>
      <sheetName val="расчет_весов_2020_mdlz2"/>
      <sheetName val="for_flow_20202"/>
      <sheetName val="к-нт_конверсии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INTERNET_TEASER2"/>
      <sheetName val="17_7mln_вар_12"/>
      <sheetName val="GUINNESS_PM2"/>
      <sheetName val="GUINNESS_GM2"/>
      <sheetName val="weight_and_spots_3_opt1"/>
      <sheetName val="Discipline_-_do_not_edit1"/>
      <sheetName val="MonthYear_Lookup1"/>
      <sheetName val="PROD°"/>
      <sheetName val="Ekim"/>
      <sheetName val="Glossar_Cat."/>
      <sheetName val="Staff"/>
      <sheetName val="Lookup"/>
      <sheetName val="Справочник"/>
      <sheetName val="input"/>
      <sheetName val="Summrize Detail"/>
      <sheetName val="OnLine"/>
      <sheetName val="Work Sheet"/>
      <sheetName val="Types"/>
      <sheetName val="пермь"/>
      <sheetName val="Выпадающие значения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лит"/>
      <sheetName val="#Скидки"/>
      <sheetName val="Медиа-Заявка"/>
      <sheetName val="bac4"/>
      <sheetName val="данные"/>
      <sheetName val="OpslagsArk"/>
      <sheetName val="opfølningRef"/>
      <sheetName val="CPP"/>
      <sheetName val="Evaluation2"/>
      <sheetName val="Zadání (Brief)"/>
      <sheetName val="Nastavení (Setting)"/>
      <sheetName val="R CURVES_Иркутск"/>
      <sheetName val="Магазины кат А"/>
      <sheetName val="Магазины кат B"/>
      <sheetName val="Челябинск"/>
      <sheetName val="details"/>
      <sheetName val="papers"/>
    </sheetNames>
    <sheetDataSet>
      <sheetData sheetId="0">
        <row r="34">
          <cell r="B34" t="str">
            <v>Berlingo</v>
          </cell>
        </row>
      </sheetData>
      <sheetData sheetId="1" refreshError="1"/>
      <sheetData sheetId="2">
        <row r="34">
          <cell r="B34" t="str">
            <v>Berlingo</v>
          </cell>
        </row>
      </sheetData>
      <sheetData sheetId="3">
        <row r="34">
          <cell r="B34" t="str">
            <v>Berlingo</v>
          </cell>
          <cell r="C34" t="str">
            <v>1,9 D - 600 kg</v>
          </cell>
          <cell r="D34" t="str">
            <v>Fourgon 600 1.9d</v>
          </cell>
          <cell r="E34" t="str">
            <v>1.9d 600DX</v>
          </cell>
          <cell r="F34" t="str">
            <v>1.9 D Cityvan</v>
          </cell>
          <cell r="G34" t="str">
            <v>Industrial Furgón 1,9D 600. Carga util 600k</v>
          </cell>
          <cell r="H34" t="str">
            <v>1.9D Van 800</v>
          </cell>
          <cell r="I34" t="str">
            <v>1.9D 600KG</v>
          </cell>
          <cell r="J34" t="str">
            <v>1.9d MUISPACE X</v>
          </cell>
          <cell r="K34" t="str">
            <v>1.9d 600DX</v>
          </cell>
          <cell r="L34" t="str">
            <v>1,9d</v>
          </cell>
          <cell r="M34" t="str">
            <v>?</v>
          </cell>
          <cell r="N34" t="str">
            <v>Skåp 1,90</v>
          </cell>
          <cell r="O34" t="str">
            <v>1.9D 600X</v>
          </cell>
        </row>
        <row r="35">
          <cell r="B35" t="str">
            <v>Doblo</v>
          </cell>
          <cell r="C35" t="str">
            <v>Cargo 1,9 D Base</v>
          </cell>
          <cell r="D35" t="str">
            <v>Cargo 1.9d</v>
          </cell>
          <cell r="E35" t="str">
            <v>Cargo 1.9D</v>
          </cell>
          <cell r="F35" t="str">
            <v>?</v>
          </cell>
          <cell r="G35" t="str">
            <v>Industrial Dobló Cargo 1,9 Base Ds</v>
          </cell>
          <cell r="H35" t="str">
            <v>?</v>
          </cell>
          <cell r="I35" t="str">
            <v>Cargo 1.9D</v>
          </cell>
          <cell r="J35" t="str">
            <v>Cargo 1.9D</v>
          </cell>
          <cell r="K35" t="str">
            <v>Cargo 1.9D</v>
          </cell>
          <cell r="L35" t="str">
            <v>Cargo 1.2 petrol</v>
          </cell>
          <cell r="M35" t="str">
            <v>?</v>
          </cell>
          <cell r="N35" t="str">
            <v>?</v>
          </cell>
          <cell r="O35" t="str">
            <v>Cargo 1.9D</v>
          </cell>
        </row>
        <row r="36">
          <cell r="B36" t="str">
            <v>Courier</v>
          </cell>
          <cell r="C36" t="str">
            <v>?</v>
          </cell>
          <cell r="D36" t="str">
            <v>Van1.8Di</v>
          </cell>
          <cell r="E36" t="str">
            <v>50 1.8TDi</v>
          </cell>
          <cell r="F36" t="str">
            <v>?</v>
          </cell>
          <cell r="G36" t="str">
            <v>Van 1,8Dsl. 2699 E/E</v>
          </cell>
          <cell r="H36" t="str">
            <v>Express 1.8dsl</v>
          </cell>
          <cell r="I36" t="str">
            <v>Courrier 1.8 TDI Driver</v>
          </cell>
          <cell r="J36" t="str">
            <v>?</v>
          </cell>
          <cell r="K36" t="str">
            <v>50 1.8TDi</v>
          </cell>
          <cell r="L36" t="str">
            <v>50 1.3 petrol</v>
          </cell>
          <cell r="M36" t="str">
            <v>?</v>
          </cell>
          <cell r="N36" t="str">
            <v>1,8 D</v>
          </cell>
          <cell r="O36" t="str">
            <v>50 1.8TD Lynx</v>
          </cell>
        </row>
        <row r="37">
          <cell r="B37" t="str">
            <v>n.a.</v>
          </cell>
          <cell r="C37" t="str">
            <v>n.a.</v>
          </cell>
          <cell r="D37" t="str">
            <v>n.a.</v>
          </cell>
          <cell r="E37" t="str">
            <v>n.a.</v>
          </cell>
          <cell r="F37" t="str">
            <v>n.a.</v>
          </cell>
          <cell r="G37" t="str">
            <v>n.a.</v>
          </cell>
          <cell r="H37" t="str">
            <v>n.a.</v>
          </cell>
          <cell r="I37" t="str">
            <v>n.a.</v>
          </cell>
          <cell r="J37" t="str">
            <v>n.a.</v>
          </cell>
          <cell r="K37" t="str">
            <v>n.a.</v>
          </cell>
          <cell r="L37" t="str">
            <v>n.a.</v>
          </cell>
          <cell r="M37" t="str">
            <v>n.a.</v>
          </cell>
          <cell r="N37" t="str">
            <v>n.a.</v>
          </cell>
          <cell r="O37" t="str">
            <v>n.a.</v>
          </cell>
        </row>
        <row r="38">
          <cell r="B38" t="str">
            <v>Partner</v>
          </cell>
          <cell r="C38" t="str">
            <v>170 C - 600 kg</v>
          </cell>
          <cell r="D38" t="str">
            <v>170C Diesel</v>
          </cell>
          <cell r="E38" t="str">
            <v>1.9d 600L</v>
          </cell>
          <cell r="F38" t="str">
            <v>1.9 D Van</v>
          </cell>
          <cell r="G38" t="str">
            <v>Furgon 1,9D 170C 3,0 M/3</v>
          </cell>
          <cell r="H38" t="str">
            <v>1.9dsl 190C Van</v>
          </cell>
          <cell r="I38" t="str">
            <v>170C1.9D 600KG Standard</v>
          </cell>
          <cell r="J38" t="str">
            <v>RANCH 1.9 D</v>
          </cell>
          <cell r="K38" t="str">
            <v>1.9d 600L</v>
          </cell>
          <cell r="L38" t="str">
            <v>1.9d 600L</v>
          </cell>
          <cell r="M38" t="str">
            <v>?</v>
          </cell>
          <cell r="N38" t="str">
            <v>190C 1,90</v>
          </cell>
          <cell r="O38" t="str">
            <v>1.9D L 600</v>
          </cell>
        </row>
        <row r="39">
          <cell r="B39" t="str">
            <v>Kangoo</v>
          </cell>
          <cell r="C39" t="str">
            <v>Express 1,9 D 55 Confort</v>
          </cell>
          <cell r="D39" t="str">
            <v>Express 1.9D</v>
          </cell>
          <cell r="E39" t="str">
            <v>655 1.9D</v>
          </cell>
          <cell r="F39" t="str">
            <v>?</v>
          </cell>
          <cell r="G39" t="str">
            <v>Express 1,9d confort</v>
          </cell>
          <cell r="H39" t="str">
            <v>RN 1.9 Express</v>
          </cell>
          <cell r="I39" t="str">
            <v>Express Confort D</v>
          </cell>
          <cell r="J39" t="str">
            <v>55 EXPRESS 1.9 D</v>
          </cell>
          <cell r="K39" t="str">
            <v>Express RN 1.9 DTI</v>
          </cell>
          <cell r="L39" t="str">
            <v>655 1.9D</v>
          </cell>
          <cell r="M39" t="str">
            <v>?</v>
          </cell>
          <cell r="N39" t="str">
            <v>Long 1,9D</v>
          </cell>
          <cell r="O39" t="str">
            <v>1.9D 655</v>
          </cell>
        </row>
        <row r="40">
          <cell r="B40" t="str">
            <v>Combo</v>
          </cell>
          <cell r="C40" t="str">
            <v>?</v>
          </cell>
          <cell r="D40" t="str">
            <v>1.7D Van</v>
          </cell>
          <cell r="E40" t="str">
            <v>1.7D Club</v>
          </cell>
          <cell r="F40" t="str">
            <v>?</v>
          </cell>
          <cell r="G40" t="str">
            <v>?</v>
          </cell>
          <cell r="H40" t="str">
            <v>?</v>
          </cell>
          <cell r="I40" t="str">
            <v>1.7D Pack</v>
          </cell>
          <cell r="J40" t="str">
            <v>1.7D</v>
          </cell>
          <cell r="K40" t="str">
            <v>X 1.7D Club</v>
          </cell>
          <cell r="L40" t="str">
            <v>1.7D Club</v>
          </cell>
          <cell r="M40" t="str">
            <v>?</v>
          </cell>
          <cell r="N40" t="str">
            <v>Skåp 1,7D</v>
          </cell>
          <cell r="O40" t="str">
            <v>1.7D Club</v>
          </cell>
        </row>
        <row r="41">
          <cell r="B41" t="str">
            <v>Caddy</v>
          </cell>
          <cell r="C41" t="str">
            <v>1,9 SDI</v>
          </cell>
          <cell r="D41" t="str">
            <v>Van 1.9SDI</v>
          </cell>
          <cell r="E41" t="str">
            <v>Van 1.9SDI</v>
          </cell>
          <cell r="F41" t="str">
            <v>?</v>
          </cell>
          <cell r="G41" t="str">
            <v>?</v>
          </cell>
          <cell r="H41" t="str">
            <v>?</v>
          </cell>
          <cell r="I41" t="str">
            <v>1.9 SDI</v>
          </cell>
          <cell r="J41" t="str">
            <v>?</v>
          </cell>
          <cell r="K41" t="str">
            <v>Van 1.9SDI</v>
          </cell>
          <cell r="L41" t="str">
            <v>Van 1.9SDI</v>
          </cell>
          <cell r="M41" t="str">
            <v>?</v>
          </cell>
          <cell r="N41" t="str">
            <v>Skåp 1,9 SDI</v>
          </cell>
          <cell r="O41" t="str">
            <v>Van 1.9 Sdi</v>
          </cell>
        </row>
        <row r="42">
          <cell r="B42" t="str">
            <v>n.a.</v>
          </cell>
          <cell r="C42" t="str">
            <v>n.a.</v>
          </cell>
          <cell r="D42" t="str">
            <v>n.a.</v>
          </cell>
          <cell r="E42" t="str">
            <v>n.a.</v>
          </cell>
          <cell r="F42" t="str">
            <v>n.a.</v>
          </cell>
          <cell r="G42" t="str">
            <v>n.a.</v>
          </cell>
          <cell r="H42" t="str">
            <v>n.a.</v>
          </cell>
          <cell r="I42" t="str">
            <v>n.a.</v>
          </cell>
          <cell r="J42" t="str">
            <v>n.a.</v>
          </cell>
          <cell r="K42" t="str">
            <v>n.a.</v>
          </cell>
          <cell r="L42" t="str">
            <v>n.a.</v>
          </cell>
          <cell r="M42" t="str">
            <v>n.a.</v>
          </cell>
          <cell r="N42" t="str">
            <v>n.a.</v>
          </cell>
          <cell r="O42" t="str">
            <v>n.a.</v>
          </cell>
        </row>
        <row r="49">
          <cell r="B49" t="str">
            <v>Jumpy</v>
          </cell>
          <cell r="C49" t="str">
            <v>1,9 D Standard</v>
          </cell>
          <cell r="D49" t="str">
            <v>Standart 1.9d</v>
          </cell>
          <cell r="E49" t="str">
            <v>(Dispatch) 1.9D Standard</v>
          </cell>
          <cell r="F49" t="str">
            <v>1.9 D</v>
          </cell>
          <cell r="G49" t="str">
            <v>Industrial Furgón 1,9D Standart</v>
          </cell>
          <cell r="H49" t="str">
            <v>1.9D SX 815 van 2000</v>
          </cell>
          <cell r="I49" t="str">
            <v>1.9D Standard</v>
          </cell>
          <cell r="J49" t="str">
            <v>furgone 2.0 HDI Comfort</v>
          </cell>
          <cell r="K49" t="str">
            <v>Bestel 1.9D Standard</v>
          </cell>
          <cell r="L49" t="str">
            <v>(Dispatch)1.9D Standard</v>
          </cell>
          <cell r="M49" t="str">
            <v>?</v>
          </cell>
          <cell r="N49" t="str">
            <v>1,9D</v>
          </cell>
          <cell r="O49" t="str">
            <v>Dispatch 1.9D</v>
          </cell>
        </row>
        <row r="50">
          <cell r="B50" t="str">
            <v>Scudo</v>
          </cell>
          <cell r="C50" t="str">
            <v>1,9 D Standard</v>
          </cell>
          <cell r="D50" t="str">
            <v>Fiat JTD EL</v>
          </cell>
          <cell r="E50" t="str">
            <v>1.9D</v>
          </cell>
          <cell r="F50" t="str">
            <v>1.9 D</v>
          </cell>
          <cell r="G50" t="str">
            <v>Fiat Furgon EL 1,9 D 69CV</v>
          </cell>
          <cell r="H50" t="str">
            <v>1.9D van 2000</v>
          </cell>
          <cell r="I50" t="str">
            <v>Eco 1.9D</v>
          </cell>
          <cell r="J50" t="str">
            <v>2.0 JTD</v>
          </cell>
          <cell r="K50" t="str">
            <v>1.9D</v>
          </cell>
          <cell r="L50" t="str">
            <v>1.9TD</v>
          </cell>
          <cell r="M50" t="str">
            <v>?</v>
          </cell>
          <cell r="N50" t="str">
            <v>2,0 JTD</v>
          </cell>
          <cell r="O50" t="str">
            <v>1.9D EL PAS</v>
          </cell>
        </row>
        <row r="51">
          <cell r="B51" t="str">
            <v>Ford</v>
          </cell>
          <cell r="C51" t="str">
            <v>300 S</v>
          </cell>
          <cell r="D51" t="str">
            <v>300 S swb</v>
          </cell>
          <cell r="E51" t="str">
            <v>300s swb m/r</v>
          </cell>
          <cell r="F51" t="str">
            <v>300 S</v>
          </cell>
          <cell r="G51" t="str">
            <v>Van FT 300S</v>
          </cell>
          <cell r="H51" t="str">
            <v>FT300 S 2.0Tdi</v>
          </cell>
          <cell r="I51" t="str">
            <v>300C TDDI</v>
          </cell>
          <cell r="J51" t="str">
            <v>CC300S 2.4 90 TD</v>
          </cell>
          <cell r="K51" t="str">
            <v>Bestel 300S 2.0TDDI 63 KW</v>
          </cell>
          <cell r="L51" t="str">
            <v>300s 2.0 TDI</v>
          </cell>
          <cell r="M51" t="str">
            <v>?</v>
          </cell>
          <cell r="N51" t="str">
            <v>300S 2,0 SWB</v>
          </cell>
          <cell r="O51" t="str">
            <v>300S SWB M/R</v>
          </cell>
        </row>
        <row r="52">
          <cell r="B52" t="str">
            <v>Vito</v>
          </cell>
          <cell r="C52" t="str">
            <v>108 CDI</v>
          </cell>
          <cell r="D52" t="str">
            <v>108 CDI</v>
          </cell>
          <cell r="E52" t="str">
            <v>108 CDI</v>
          </cell>
          <cell r="F52" t="str">
            <v>108 CDI</v>
          </cell>
          <cell r="G52" t="str">
            <v>Mercedes Furgon 108CDI</v>
          </cell>
          <cell r="H52" t="str">
            <v>108 CDI</v>
          </cell>
          <cell r="I52" t="str">
            <v>108 CDI</v>
          </cell>
          <cell r="J52" t="str">
            <v>FUR 108 2.2 CDI</v>
          </cell>
          <cell r="K52" t="str">
            <v>108 CDI</v>
          </cell>
          <cell r="L52" t="str">
            <v>108CDI 2,0 TDI</v>
          </cell>
          <cell r="M52" t="str">
            <v>?</v>
          </cell>
          <cell r="N52" t="str">
            <v>108D</v>
          </cell>
          <cell r="O52" t="str">
            <v>108 Cdi 2.2</v>
          </cell>
        </row>
        <row r="53">
          <cell r="B53" t="str">
            <v>Expert</v>
          </cell>
          <cell r="C53" t="str">
            <v>220 C D Standaard</v>
          </cell>
          <cell r="D53" t="str">
            <v>220C Confort Hdi</v>
          </cell>
          <cell r="E53" t="str">
            <v>1.9D 815</v>
          </cell>
          <cell r="F53" t="str">
            <v>1.9 D</v>
          </cell>
          <cell r="G53" t="str">
            <v>Industrial 1,9D 220C Stand 4m/3</v>
          </cell>
          <cell r="H53" t="str">
            <v>Van 220 C 1.9D</v>
          </cell>
          <cell r="I53" t="str">
            <v>220C Standard 800KG</v>
          </cell>
          <cell r="J53" t="str">
            <v>230C 2.0 HDI</v>
          </cell>
          <cell r="K53" t="str">
            <v>1.9D Standaard</v>
          </cell>
          <cell r="L53" t="str">
            <v>1.9D 815</v>
          </cell>
          <cell r="M53" t="str">
            <v>?</v>
          </cell>
          <cell r="N53" t="str">
            <v>230C 2,0 HDI</v>
          </cell>
          <cell r="O53" t="str">
            <v>1.9 D</v>
          </cell>
        </row>
        <row r="54">
          <cell r="B54" t="str">
            <v>Traffic</v>
          </cell>
          <cell r="C54" t="str">
            <v>L1H1 27 DCI</v>
          </cell>
          <cell r="D54" t="str">
            <v>?</v>
          </cell>
          <cell r="E54" t="str">
            <v>1.9 Dci swb</v>
          </cell>
          <cell r="F54" t="str">
            <v>?</v>
          </cell>
          <cell r="G54" t="str">
            <v>?</v>
          </cell>
          <cell r="H54" t="str">
            <v>?</v>
          </cell>
          <cell r="I54" t="str">
            <v>L1H1 1.9 DCI 82CH</v>
          </cell>
          <cell r="J54" t="str">
            <v>?</v>
          </cell>
          <cell r="K54" t="str">
            <v>Trafic Bestel L1H1 1000 KG 1.9Dci 80</v>
          </cell>
          <cell r="L54" t="str">
            <v>?</v>
          </cell>
          <cell r="M54" t="str">
            <v>?</v>
          </cell>
          <cell r="N54" t="str">
            <v>L1H1 1,9 DCI</v>
          </cell>
          <cell r="O54" t="str">
            <v>1.9 Dci 82 SL27 SWB</v>
          </cell>
        </row>
        <row r="55">
          <cell r="B55" t="str">
            <v>Vivaro</v>
          </cell>
          <cell r="C55" t="str">
            <v>27 L1H1 1,9 DI</v>
          </cell>
          <cell r="D55" t="str">
            <v>1.9 Di</v>
          </cell>
          <cell r="E55" t="str">
            <v>1.9 Di swb</v>
          </cell>
          <cell r="F55" t="str">
            <v>?</v>
          </cell>
          <cell r="G55" t="str">
            <v>?</v>
          </cell>
          <cell r="H55" t="str">
            <v>?</v>
          </cell>
          <cell r="I55" t="str">
            <v>C1 1.9DI</v>
          </cell>
          <cell r="J55" t="str">
            <v>?</v>
          </cell>
          <cell r="K55" t="str">
            <v>Panel Van L1H1 1.9DI 2700 KG</v>
          </cell>
          <cell r="L55" t="str">
            <v>?</v>
          </cell>
          <cell r="M55" t="str">
            <v>?</v>
          </cell>
          <cell r="N55" t="str">
            <v>1,9 DTI</v>
          </cell>
          <cell r="O55" t="str">
            <v>1.9 Di SWB</v>
          </cell>
        </row>
        <row r="56">
          <cell r="B56" t="str">
            <v>Transporter</v>
          </cell>
          <cell r="C56" t="str">
            <v>1,9 TD</v>
          </cell>
          <cell r="D56" t="str">
            <v>T4 Swissprofi TD</v>
          </cell>
          <cell r="E56" t="str">
            <v>?</v>
          </cell>
          <cell r="F56" t="str">
            <v>2.5 TDI</v>
          </cell>
          <cell r="G56" t="str">
            <v>Industrial 1,9 TD Furgón 2920 E/E 5,4 M/3</v>
          </cell>
          <cell r="H56" t="str">
            <v>1.9TD Firstline</v>
          </cell>
          <cell r="I56" t="str">
            <v>TDI 102 Court Tolé C</v>
          </cell>
          <cell r="J56" t="str">
            <v>1.9 TD</v>
          </cell>
          <cell r="K56" t="str">
            <v>T4 D1.9 50KW Gesl. WB 2920</v>
          </cell>
          <cell r="L56" t="str">
            <v>1000 2.5tD swb</v>
          </cell>
          <cell r="M56" t="str">
            <v>?</v>
          </cell>
          <cell r="N56" t="str">
            <v>Skåp 2,5 TDI</v>
          </cell>
          <cell r="O56" t="str">
            <v>1200 1.9TD P/Van</v>
          </cell>
        </row>
        <row r="57">
          <cell r="B57" t="str">
            <v>Daily</v>
          </cell>
          <cell r="C57" t="str">
            <v>29L9V H1</v>
          </cell>
          <cell r="D57" t="str">
            <v>?</v>
          </cell>
          <cell r="E57" t="str">
            <v>?</v>
          </cell>
          <cell r="F57" t="str">
            <v>29L9</v>
          </cell>
          <cell r="G57" t="str">
            <v>?</v>
          </cell>
          <cell r="H57" t="str">
            <v>?</v>
          </cell>
          <cell r="I57" t="str">
            <v>29L9 V7 D</v>
          </cell>
          <cell r="J57" t="str">
            <v>29L9 2.8 TD</v>
          </cell>
          <cell r="K57" t="str">
            <v>29L11V Bestel 3200 KG/WB 300</v>
          </cell>
          <cell r="L57" t="str">
            <v>?</v>
          </cell>
          <cell r="M57" t="str">
            <v>?</v>
          </cell>
          <cell r="N57" t="str">
            <v>City Skåp 0,9</v>
          </cell>
          <cell r="O57" t="str">
            <v>29L9V 2.8TD 3000</v>
          </cell>
        </row>
        <row r="58">
          <cell r="B58" t="str">
            <v xml:space="preserve">Sprinter </v>
          </cell>
          <cell r="C58" t="str">
            <v>208 CDI swb HR</v>
          </cell>
          <cell r="D58" t="str">
            <v>208 CDI swb HR</v>
          </cell>
          <cell r="E58" t="str">
            <v>208 CDI swb HR</v>
          </cell>
          <cell r="F58" t="str">
            <v>208 CDI swb HR</v>
          </cell>
          <cell r="G58" t="str">
            <v>208 CDI swb HR</v>
          </cell>
          <cell r="H58" t="str">
            <v>208 CDI swb HR</v>
          </cell>
          <cell r="I58" t="str">
            <v>208 CDI swb HR</v>
          </cell>
          <cell r="J58" t="str">
            <v>208 CDI swb HR</v>
          </cell>
          <cell r="K58" t="str">
            <v>208 CDI swb HR</v>
          </cell>
          <cell r="L58" t="str">
            <v>208 CDI swb HR</v>
          </cell>
          <cell r="M58" t="str">
            <v>208 CDI swb HR</v>
          </cell>
          <cell r="N58" t="str">
            <v>208 CDI swb HR</v>
          </cell>
          <cell r="O58" t="str">
            <v>208 CDI swb HR</v>
          </cell>
        </row>
        <row r="63">
          <cell r="B63" t="str">
            <v>Jumper</v>
          </cell>
          <cell r="C63" t="str">
            <v>31 CH 2,5 D</v>
          </cell>
          <cell r="D63" t="str">
            <v>2.8 Hdi 31M</v>
          </cell>
          <cell r="E63" t="str">
            <v>(Relay) 2.5D swb h/r</v>
          </cell>
          <cell r="F63" t="str">
            <v>32 2.5 D MH</v>
          </cell>
          <cell r="G63" t="str">
            <v>?</v>
          </cell>
          <cell r="H63" t="str">
            <v>3.2MH 2,8 Hdi</v>
          </cell>
          <cell r="I63" t="str">
            <v>27C 2.5D Empt 2.85</v>
          </cell>
          <cell r="J63" t="str">
            <v>furgone 2.5 D</v>
          </cell>
          <cell r="K63" t="str">
            <v>Bestel 2.5D 27C WB 285</v>
          </cell>
          <cell r="L63" t="str">
            <v>1,9Td</v>
          </cell>
          <cell r="M63" t="str">
            <v>?</v>
          </cell>
          <cell r="N63" t="str">
            <v>31M 2,5TDI</v>
          </cell>
          <cell r="O63" t="str">
            <v>Relay 2.5D MWB H/R</v>
          </cell>
        </row>
        <row r="64">
          <cell r="B64" t="str">
            <v>Ducato</v>
          </cell>
          <cell r="C64" t="str">
            <v>1000 1,9 TD</v>
          </cell>
          <cell r="D64" t="str">
            <v>Fiat 10 320</v>
          </cell>
          <cell r="E64" t="str">
            <v>?</v>
          </cell>
          <cell r="F64" t="str">
            <v>14 2.8 TD</v>
          </cell>
          <cell r="G64" t="str">
            <v>?</v>
          </cell>
          <cell r="H64" t="str">
            <v>1.9 TD 10 Van</v>
          </cell>
          <cell r="I64" t="str">
            <v>10 M1A 1.9TD</v>
          </cell>
          <cell r="J64" t="str">
            <v>10 1.9 TD</v>
          </cell>
          <cell r="K64" t="str">
            <v>10 Bestel 1.9D WB 285</v>
          </cell>
          <cell r="L64" t="str">
            <v>Van 2.5 Tdi</v>
          </cell>
          <cell r="M64" t="str">
            <v>?</v>
          </cell>
          <cell r="N64" t="str">
            <v>14 2,8 JTD</v>
          </cell>
          <cell r="O64" t="str">
            <v>1000 1.9 TD SWB H/R</v>
          </cell>
        </row>
        <row r="65">
          <cell r="B65" t="str">
            <v>Transit</v>
          </cell>
          <cell r="C65" t="str">
            <v>350 L 2,4 TCI 90pk</v>
          </cell>
          <cell r="D65" t="str">
            <v>350L</v>
          </cell>
          <cell r="E65" t="str">
            <v>350 2.4 Tdi lwb m/r</v>
          </cell>
          <cell r="F65" t="str">
            <v>350 L 90 HK</v>
          </cell>
          <cell r="G65" t="str">
            <v>Industrial Van FT 330M 3300E/E 7,34M/3</v>
          </cell>
          <cell r="H65" t="str">
            <v>FT350L 2.4TDI</v>
          </cell>
          <cell r="I65" t="str">
            <v>350 L TDDI</v>
          </cell>
          <cell r="J65" t="str">
            <v>CC350 2.4 90 td</v>
          </cell>
          <cell r="K65" t="str">
            <v>Bestel 350L 2.4TDDI 66 KW</v>
          </cell>
          <cell r="L65" t="str">
            <v>2.4 Tdi</v>
          </cell>
          <cell r="M65" t="str">
            <v>?</v>
          </cell>
          <cell r="N65" t="str">
            <v>350L 2,4 LWB</v>
          </cell>
          <cell r="O65" t="str">
            <v>350 2.4 Tdi LWB M/R</v>
          </cell>
        </row>
        <row r="66">
          <cell r="B66" t="str">
            <v>Sprinter</v>
          </cell>
          <cell r="C66" t="str">
            <v>311 D CDI</v>
          </cell>
          <cell r="D66" t="str">
            <v>311 Cdi 3550</v>
          </cell>
          <cell r="E66" t="str">
            <v>311 CDI mwb 3.5t</v>
          </cell>
          <cell r="F66" t="str">
            <v>311 3550/3500</v>
          </cell>
          <cell r="G66" t="str">
            <v>?</v>
          </cell>
          <cell r="H66" t="str">
            <v>311 CDI mwb 3,5t</v>
          </cell>
          <cell r="I66" t="str">
            <v>311CDI 35N</v>
          </cell>
          <cell r="J66" t="str">
            <v>311 2.2 CDI</v>
          </cell>
          <cell r="K66" t="str">
            <v>Bestel 311 CDI 3500/355</v>
          </cell>
          <cell r="L66" t="str">
            <v>313 CDI 2.1</v>
          </cell>
          <cell r="M66" t="str">
            <v>?</v>
          </cell>
          <cell r="N66" t="str">
            <v>311 CDI</v>
          </cell>
          <cell r="O66" t="str">
            <v>311 Cdi MWB 3.5t</v>
          </cell>
        </row>
        <row r="67">
          <cell r="B67" t="str">
            <v>Boxer</v>
          </cell>
          <cell r="C67" t="str">
            <v>320 MH</v>
          </cell>
          <cell r="D67" t="str">
            <v>Peugeot 320M 2.8 Hdi</v>
          </cell>
          <cell r="E67" t="str">
            <v>320M 2.5D swb h/r</v>
          </cell>
          <cell r="F67" t="str">
            <v>320 M D</v>
          </cell>
          <cell r="G67" t="str">
            <v>Industrial Furgón 2,5D 320 M Cerrado 9M/3</v>
          </cell>
          <cell r="H67" t="str">
            <v>320M 2,8Hdi</v>
          </cell>
          <cell r="I67" t="str">
            <v>320M 2.5D Empt 3.20</v>
          </cell>
          <cell r="J67" t="str">
            <v>320M 2.5 D</v>
          </cell>
          <cell r="K67" t="str">
            <v>Bestel 2.5D 320MH WB320 Verhoogd</v>
          </cell>
          <cell r="L67" t="str">
            <v>320M 1.9D swb</v>
          </cell>
          <cell r="M67" t="str">
            <v>?</v>
          </cell>
          <cell r="N67" t="str">
            <v>320M 2,8HDI</v>
          </cell>
          <cell r="O67" t="str">
            <v>320M 2.5D SWB H/R</v>
          </cell>
        </row>
        <row r="68">
          <cell r="B68" t="str">
            <v>Master</v>
          </cell>
          <cell r="C68" t="str">
            <v>33 DCI L1H2</v>
          </cell>
          <cell r="D68" t="str">
            <v>3.3t 2.2dCi swb m/r</v>
          </cell>
          <cell r="E68" t="str">
            <v>3.3t 2.2dCi swb m/r</v>
          </cell>
          <cell r="F68" t="str">
            <v>3.3t 2.2dCi swb m/r</v>
          </cell>
          <cell r="G68" t="str">
            <v>?</v>
          </cell>
          <cell r="H68" t="str">
            <v>?</v>
          </cell>
          <cell r="I68" t="str">
            <v>L1H1 3T3 2.2 DCI</v>
          </cell>
          <cell r="J68" t="str">
            <v>FUR T33 2.2 DCI</v>
          </cell>
          <cell r="K68" t="str">
            <v>Bestel T33 L1H1 2.2DCI</v>
          </cell>
          <cell r="L68" t="str">
            <v>3,5t 2.2 dCi swb l/r (mwb/m/r)</v>
          </cell>
          <cell r="M68" t="str">
            <v>?</v>
          </cell>
          <cell r="N68" t="str">
            <v>3,3T L1H2 2.2 DCI</v>
          </cell>
          <cell r="O68" t="str">
            <v>3.3t 2.2Dci SWB M/R</v>
          </cell>
        </row>
        <row r="69">
          <cell r="B69" t="str">
            <v>Movano</v>
          </cell>
          <cell r="C69" t="str">
            <v>33 L1H2 2,2 DTI</v>
          </cell>
          <cell r="D69" t="str">
            <v>Opel 2.2 Dti</v>
          </cell>
          <cell r="E69" t="str">
            <v>3.3t 2.2DTi swb m/r</v>
          </cell>
          <cell r="F69" t="str">
            <v>?</v>
          </cell>
          <cell r="G69" t="str">
            <v>?</v>
          </cell>
          <cell r="H69" t="str">
            <v>?</v>
          </cell>
          <cell r="I69" t="str">
            <v>C1F3300 2.5D</v>
          </cell>
          <cell r="J69" t="str">
            <v>2.2 DTI</v>
          </cell>
          <cell r="K69" t="str">
            <v>Bestel 2.8TD L1H2 3300 KG</v>
          </cell>
          <cell r="L69" t="str">
            <v>?</v>
          </cell>
          <cell r="M69" t="str">
            <v>?</v>
          </cell>
          <cell r="N69" t="str">
            <v>3,3T L1H2 2,2DTI</v>
          </cell>
          <cell r="O69" t="str">
            <v>3.3t 2.2 Dti SWB M/R</v>
          </cell>
        </row>
        <row r="70">
          <cell r="B70" t="str">
            <v>LT</v>
          </cell>
          <cell r="C70" t="str">
            <v>35 2,5 TDI</v>
          </cell>
          <cell r="D70" t="str">
            <v>VW 35 3550 95 PS Tdi</v>
          </cell>
          <cell r="E70" t="str">
            <v>35 2.5 TDI mwb 109 l/r</v>
          </cell>
          <cell r="F70" t="str">
            <v>35 3550 2.5 Tdi</v>
          </cell>
          <cell r="G70" t="str">
            <v>Industrial -35 Furogn 2,5TDI</v>
          </cell>
          <cell r="H70" t="str">
            <v>35 Tdi 2,5 66kw 3,5/30</v>
          </cell>
          <cell r="I70" t="str">
            <v>35 3550 TDI</v>
          </cell>
          <cell r="J70" t="str">
            <v>35 FUR 2.5 TDI</v>
          </cell>
          <cell r="K70" t="str">
            <v>35A Bestel 2.5TDI 80 KW WB 3550</v>
          </cell>
          <cell r="L70" t="str">
            <v>35 2.5 TDI mwb 109 l/r</v>
          </cell>
          <cell r="M70" t="str">
            <v>?</v>
          </cell>
          <cell r="N70" t="str">
            <v>35 2,5TDI</v>
          </cell>
          <cell r="O70" t="str">
            <v>35 2.5 Tdi MWB 109 L/R</v>
          </cell>
        </row>
        <row r="71">
          <cell r="B71" t="str">
            <v>Daily</v>
          </cell>
          <cell r="C71" t="str">
            <v>35 S 11 V 3000 H2</v>
          </cell>
          <cell r="D71" t="str">
            <v>City Truck 11B swb m/r</v>
          </cell>
          <cell r="E71" t="str">
            <v>City Truck 11B swb m/r</v>
          </cell>
          <cell r="F71" t="str">
            <v>29L11</v>
          </cell>
          <cell r="G71" t="str">
            <v>?</v>
          </cell>
          <cell r="H71" t="str">
            <v>?</v>
          </cell>
          <cell r="I71" t="str">
            <v>35S11 V10 TD</v>
          </cell>
          <cell r="J71" t="str">
            <v>35S11V 2.8 TD</v>
          </cell>
          <cell r="K71" t="str">
            <v>35C 11V Bestel</v>
          </cell>
          <cell r="L71" t="str">
            <v>?</v>
          </cell>
          <cell r="M71" t="str">
            <v>?</v>
          </cell>
          <cell r="N71" t="str">
            <v>City Skåp 0,11</v>
          </cell>
          <cell r="O71" t="str">
            <v>35S11V 2.8TD 3000L M/R</v>
          </cell>
        </row>
        <row r="77">
          <cell r="B77" t="str">
            <v>Xsara</v>
          </cell>
          <cell r="C77" t="str">
            <v>2.0 Hdi</v>
          </cell>
          <cell r="D77" t="str">
            <v>2.0 Hdi</v>
          </cell>
          <cell r="E77" t="str">
            <v>2.0 Hdi</v>
          </cell>
          <cell r="F77" t="str">
            <v>2.0 Hdi</v>
          </cell>
          <cell r="G77" t="str">
            <v>2.0 Hdi</v>
          </cell>
          <cell r="H77" t="str">
            <v>2.0 Hdi</v>
          </cell>
          <cell r="I77" t="str">
            <v>2.0 Hdi</v>
          </cell>
          <cell r="J77" t="str">
            <v>2.0 Hdi</v>
          </cell>
          <cell r="K77" t="str">
            <v>2.0 Hdi</v>
          </cell>
          <cell r="L77" t="str">
            <v>2.0 Hdi</v>
          </cell>
          <cell r="M77" t="str">
            <v>2.0 Hdi</v>
          </cell>
          <cell r="N77" t="str">
            <v>2.0 Hdi</v>
          </cell>
          <cell r="O77" t="str">
            <v>2.0 Hdi</v>
          </cell>
        </row>
        <row r="78">
          <cell r="B78" t="str">
            <v>Brava</v>
          </cell>
          <cell r="C78" t="str">
            <v>1.9 JTD</v>
          </cell>
          <cell r="D78" t="str">
            <v>1.9 JTD</v>
          </cell>
          <cell r="E78" t="str">
            <v>1.9 JTD</v>
          </cell>
          <cell r="F78" t="str">
            <v>1.9 JTD</v>
          </cell>
          <cell r="G78" t="str">
            <v>1.9 JTD</v>
          </cell>
          <cell r="H78" t="str">
            <v>1.9 JTD</v>
          </cell>
          <cell r="I78" t="str">
            <v>1.9 JTD</v>
          </cell>
          <cell r="J78" t="str">
            <v>1.9 JTD</v>
          </cell>
          <cell r="K78" t="str">
            <v>1.9 JTD</v>
          </cell>
          <cell r="L78" t="str">
            <v>1.9 JTD</v>
          </cell>
          <cell r="M78" t="str">
            <v>1.9 JTD</v>
          </cell>
          <cell r="N78" t="str">
            <v>1.9 JTD</v>
          </cell>
          <cell r="O78" t="str">
            <v>1.9 JTD</v>
          </cell>
        </row>
        <row r="79">
          <cell r="B79" t="str">
            <v>Focus</v>
          </cell>
          <cell r="C79" t="str">
            <v>1.8 Tddi</v>
          </cell>
          <cell r="D79" t="str">
            <v>1.8 Tddi</v>
          </cell>
          <cell r="E79" t="str">
            <v>1.8 Tddi</v>
          </cell>
          <cell r="F79" t="str">
            <v>1.8 Tddi</v>
          </cell>
          <cell r="G79" t="str">
            <v>1.8 Tddi</v>
          </cell>
          <cell r="H79" t="str">
            <v>1.8 Tddi</v>
          </cell>
          <cell r="I79" t="str">
            <v>1.8 Tddi</v>
          </cell>
          <cell r="J79" t="str">
            <v>1.8 Tddi</v>
          </cell>
          <cell r="K79" t="str">
            <v>1.8 Tddi</v>
          </cell>
          <cell r="L79" t="str">
            <v>1.8 Tddi</v>
          </cell>
          <cell r="M79" t="str">
            <v>1.8 Tddi</v>
          </cell>
          <cell r="N79" t="str">
            <v>1.8 Tddi</v>
          </cell>
          <cell r="O79" t="str">
            <v>1.8 Tddi</v>
          </cell>
        </row>
        <row r="80">
          <cell r="B80" t="str">
            <v>n.a</v>
          </cell>
          <cell r="C80" t="str">
            <v>n.a</v>
          </cell>
          <cell r="D80" t="str">
            <v>n.a</v>
          </cell>
          <cell r="E80" t="str">
            <v>n.a</v>
          </cell>
          <cell r="F80" t="str">
            <v>n.a</v>
          </cell>
          <cell r="G80" t="str">
            <v>n.a</v>
          </cell>
          <cell r="H80" t="str">
            <v>n.a</v>
          </cell>
          <cell r="I80" t="str">
            <v>n.a</v>
          </cell>
          <cell r="J80" t="str">
            <v>n.a</v>
          </cell>
          <cell r="K80" t="str">
            <v>n.a</v>
          </cell>
          <cell r="L80" t="str">
            <v>n.a</v>
          </cell>
          <cell r="M80" t="str">
            <v>n.a</v>
          </cell>
          <cell r="N80" t="str">
            <v>n.a</v>
          </cell>
          <cell r="O80" t="str">
            <v>n.a</v>
          </cell>
        </row>
        <row r="81">
          <cell r="B81" t="str">
            <v>306</v>
          </cell>
          <cell r="C81" t="str">
            <v>2.0 Hdi</v>
          </cell>
          <cell r="D81" t="str">
            <v>2.0 Hdi</v>
          </cell>
          <cell r="E81" t="str">
            <v>2.0 Hdi</v>
          </cell>
          <cell r="F81" t="str">
            <v>2.0 Hdi</v>
          </cell>
          <cell r="G81" t="str">
            <v>2.0 Hdi</v>
          </cell>
          <cell r="H81" t="str">
            <v>2.0 Hdi</v>
          </cell>
          <cell r="I81" t="str">
            <v>2.0 Hdi</v>
          </cell>
          <cell r="J81" t="str">
            <v>2.0 Hdi</v>
          </cell>
          <cell r="K81" t="str">
            <v>2.0 Hdi</v>
          </cell>
          <cell r="L81" t="str">
            <v>2.0 Hdi</v>
          </cell>
          <cell r="M81" t="str">
            <v>2.0 Hdi</v>
          </cell>
          <cell r="N81" t="str">
            <v>2.0 Hdi</v>
          </cell>
          <cell r="O81" t="str">
            <v>2.0 Hdi</v>
          </cell>
        </row>
        <row r="82">
          <cell r="B82" t="str">
            <v>Megane</v>
          </cell>
          <cell r="C82" t="str">
            <v>1.9 dti</v>
          </cell>
          <cell r="D82" t="str">
            <v>1.9 dti</v>
          </cell>
          <cell r="E82" t="str">
            <v>1.9 dti</v>
          </cell>
          <cell r="F82" t="str">
            <v>1.9 dti</v>
          </cell>
          <cell r="G82" t="str">
            <v>1.9 dti</v>
          </cell>
          <cell r="H82" t="str">
            <v>1.9 dti</v>
          </cell>
          <cell r="I82" t="str">
            <v>1.9 dti</v>
          </cell>
          <cell r="J82" t="str">
            <v>1.9 dti</v>
          </cell>
          <cell r="K82" t="str">
            <v>1.9 dti</v>
          </cell>
          <cell r="L82" t="str">
            <v>1.9 dti</v>
          </cell>
          <cell r="M82" t="str">
            <v>1.9 dti</v>
          </cell>
          <cell r="N82" t="str">
            <v>1.9 dti</v>
          </cell>
          <cell r="O82" t="str">
            <v>1.9 dti</v>
          </cell>
        </row>
        <row r="83">
          <cell r="B83" t="str">
            <v>Astra II</v>
          </cell>
          <cell r="C83" t="str">
            <v>2.0 Dti</v>
          </cell>
          <cell r="D83" t="str">
            <v>2.0 Dti</v>
          </cell>
          <cell r="E83" t="str">
            <v>2.0 Dti</v>
          </cell>
          <cell r="F83" t="str">
            <v>2.0 Dti</v>
          </cell>
          <cell r="G83" t="str">
            <v>2.0 Dti</v>
          </cell>
          <cell r="H83" t="str">
            <v>2.0 Dti</v>
          </cell>
          <cell r="I83" t="str">
            <v>2.0 Dti</v>
          </cell>
          <cell r="J83" t="str">
            <v>2.0 Dti</v>
          </cell>
          <cell r="K83" t="str">
            <v>2.0 Dti</v>
          </cell>
          <cell r="L83" t="str">
            <v>2.0 Dti</v>
          </cell>
          <cell r="M83" t="str">
            <v>2.0 Dti</v>
          </cell>
          <cell r="N83" t="str">
            <v>2.0 Dti</v>
          </cell>
          <cell r="O83" t="str">
            <v>2.0 Dti</v>
          </cell>
        </row>
        <row r="84">
          <cell r="B84" t="str">
            <v xml:space="preserve">Golf </v>
          </cell>
          <cell r="C84" t="str">
            <v>1.9 Tdi</v>
          </cell>
          <cell r="D84" t="str">
            <v>1.9 Tdi</v>
          </cell>
          <cell r="E84" t="str">
            <v>1.9 Tdi</v>
          </cell>
          <cell r="F84" t="str">
            <v>1.9 Tdi</v>
          </cell>
          <cell r="G84" t="str">
            <v>1.9 Tdi</v>
          </cell>
          <cell r="H84" t="str">
            <v>1.9 Tdi</v>
          </cell>
          <cell r="I84" t="str">
            <v>1.9 Tdi</v>
          </cell>
          <cell r="J84" t="str">
            <v>1.9 Tdi</v>
          </cell>
          <cell r="K84" t="str">
            <v>1.9 Tdi</v>
          </cell>
          <cell r="L84" t="str">
            <v>1.9 Tdi</v>
          </cell>
          <cell r="M84" t="str">
            <v>1.9 Tdi</v>
          </cell>
          <cell r="N84" t="str">
            <v>1.9 Tdi</v>
          </cell>
          <cell r="O84" t="str">
            <v>1.9 Tdi</v>
          </cell>
        </row>
        <row r="85">
          <cell r="B85" t="str">
            <v>n.a</v>
          </cell>
          <cell r="C85" t="str">
            <v>n.a</v>
          </cell>
          <cell r="D85" t="str">
            <v>n.a</v>
          </cell>
          <cell r="E85" t="str">
            <v>n.a</v>
          </cell>
          <cell r="F85" t="str">
            <v>n.a</v>
          </cell>
          <cell r="G85" t="str">
            <v>n.a</v>
          </cell>
          <cell r="H85" t="str">
            <v>n.a</v>
          </cell>
          <cell r="I85" t="str">
            <v>n.a</v>
          </cell>
          <cell r="J85" t="str">
            <v>n.a</v>
          </cell>
          <cell r="K85" t="str">
            <v>n.a</v>
          </cell>
          <cell r="L85" t="str">
            <v>n.a</v>
          </cell>
          <cell r="M85" t="str">
            <v>n.a</v>
          </cell>
          <cell r="N85" t="str">
            <v>n.a</v>
          </cell>
          <cell r="O85" t="str">
            <v>n.a</v>
          </cell>
        </row>
        <row r="91">
          <cell r="B91" t="str">
            <v>Xantia</v>
          </cell>
          <cell r="C91" t="str">
            <v>2.0 Hdi</v>
          </cell>
          <cell r="D91" t="str">
            <v>2.0 Hdi</v>
          </cell>
          <cell r="E91" t="str">
            <v>2.0 Hdi</v>
          </cell>
          <cell r="F91" t="str">
            <v>2.0 Hdi</v>
          </cell>
          <cell r="G91" t="str">
            <v>2.0 Hdi</v>
          </cell>
          <cell r="H91" t="str">
            <v>2.0 Hdi</v>
          </cell>
          <cell r="I91" t="str">
            <v>2.0 Hdi</v>
          </cell>
          <cell r="J91" t="str">
            <v>2.0 Hdi</v>
          </cell>
          <cell r="K91" t="str">
            <v>2.0 Hdi</v>
          </cell>
          <cell r="L91" t="str">
            <v>2.0 Hdi</v>
          </cell>
          <cell r="M91" t="str">
            <v>2.0 Hdi</v>
          </cell>
          <cell r="N91" t="str">
            <v>2.0 Hdi</v>
          </cell>
          <cell r="O91" t="str">
            <v>2.0 Hdi</v>
          </cell>
        </row>
        <row r="92">
          <cell r="B92" t="str">
            <v>Marea</v>
          </cell>
          <cell r="C92" t="str">
            <v>1.9 JTD</v>
          </cell>
          <cell r="D92" t="str">
            <v>1.9 JTD</v>
          </cell>
          <cell r="E92" t="str">
            <v>1.9 JTD</v>
          </cell>
          <cell r="F92" t="str">
            <v>1.9 JTD</v>
          </cell>
          <cell r="G92" t="str">
            <v>1.9 JTD</v>
          </cell>
          <cell r="H92" t="str">
            <v>1.9 JTD</v>
          </cell>
          <cell r="I92" t="str">
            <v>1.9 JTD</v>
          </cell>
          <cell r="J92" t="str">
            <v>1.9 JTD</v>
          </cell>
          <cell r="K92" t="str">
            <v>1.9 JTD</v>
          </cell>
          <cell r="L92" t="str">
            <v>1.9 JTD</v>
          </cell>
          <cell r="M92" t="str">
            <v>1.9 JTD</v>
          </cell>
          <cell r="N92" t="str">
            <v>1.9 JTD</v>
          </cell>
          <cell r="O92" t="str">
            <v>1.9 JTD</v>
          </cell>
        </row>
        <row r="93">
          <cell r="B93" t="str">
            <v>Mondeo</v>
          </cell>
          <cell r="C93" t="str">
            <v>2.0 DI</v>
          </cell>
          <cell r="D93" t="str">
            <v>2.0 DI</v>
          </cell>
          <cell r="E93" t="str">
            <v>2.0 DI</v>
          </cell>
          <cell r="F93" t="str">
            <v>2.0 DI</v>
          </cell>
          <cell r="G93" t="str">
            <v>2.0 DI</v>
          </cell>
          <cell r="H93" t="str">
            <v>2.0 DI</v>
          </cell>
          <cell r="I93" t="str">
            <v>2.0 DI</v>
          </cell>
          <cell r="J93" t="str">
            <v>2.0 DI</v>
          </cell>
          <cell r="K93" t="str">
            <v>2.0 DI</v>
          </cell>
          <cell r="L93" t="str">
            <v>2.0 DI</v>
          </cell>
          <cell r="M93" t="str">
            <v>2.0 DI</v>
          </cell>
          <cell r="N93" t="str">
            <v>2.0 DI</v>
          </cell>
          <cell r="O93" t="str">
            <v>2.0 DI</v>
          </cell>
        </row>
        <row r="94">
          <cell r="B94" t="str">
            <v>n.a</v>
          </cell>
          <cell r="C94" t="str">
            <v>n.a.</v>
          </cell>
          <cell r="D94" t="str">
            <v>n.a.</v>
          </cell>
          <cell r="E94" t="str">
            <v>n.a.</v>
          </cell>
          <cell r="F94" t="str">
            <v>n.a.</v>
          </cell>
          <cell r="G94" t="str">
            <v>n.a.</v>
          </cell>
          <cell r="H94" t="str">
            <v>n.a.</v>
          </cell>
          <cell r="I94" t="str">
            <v>n.a.</v>
          </cell>
          <cell r="J94" t="str">
            <v>n.a.</v>
          </cell>
          <cell r="K94" t="str">
            <v>n.a.</v>
          </cell>
          <cell r="L94" t="str">
            <v>n.a.</v>
          </cell>
          <cell r="M94" t="str">
            <v>n.a.</v>
          </cell>
          <cell r="N94" t="str">
            <v>n.a.</v>
          </cell>
          <cell r="O94" t="str">
            <v>n.a.</v>
          </cell>
        </row>
        <row r="95">
          <cell r="B95" t="str">
            <v>406</v>
          </cell>
          <cell r="C95" t="str">
            <v>2.0 Hdi</v>
          </cell>
          <cell r="D95" t="str">
            <v>2.0 Hdi</v>
          </cell>
          <cell r="E95" t="str">
            <v>2.0 Hdi</v>
          </cell>
          <cell r="F95" t="str">
            <v>2.0 Hdi</v>
          </cell>
          <cell r="G95" t="str">
            <v>2.0 Hdi</v>
          </cell>
          <cell r="H95" t="str">
            <v>2.0 Hdi</v>
          </cell>
          <cell r="I95" t="str">
            <v>2.0 Hdi</v>
          </cell>
          <cell r="J95" t="str">
            <v>2.0 Hdi</v>
          </cell>
          <cell r="K95" t="str">
            <v>2.0 Hdi</v>
          </cell>
          <cell r="L95" t="str">
            <v>2.0 Hdi</v>
          </cell>
          <cell r="M95" t="str">
            <v>2.0 Hdi</v>
          </cell>
          <cell r="N95" t="str">
            <v>2.0 Hdi</v>
          </cell>
          <cell r="O95" t="str">
            <v>2.0 Hdi</v>
          </cell>
        </row>
        <row r="96">
          <cell r="B96" t="str">
            <v>Laguna</v>
          </cell>
          <cell r="C96" t="str">
            <v>1.9 dci</v>
          </cell>
          <cell r="D96" t="str">
            <v>1.9 dci</v>
          </cell>
          <cell r="E96" t="str">
            <v>1.9 dci</v>
          </cell>
          <cell r="F96" t="str">
            <v>1.9 dci</v>
          </cell>
          <cell r="G96" t="str">
            <v>1.9 dci</v>
          </cell>
          <cell r="H96" t="str">
            <v>1.9 dci</v>
          </cell>
          <cell r="I96" t="str">
            <v>1.9 dci</v>
          </cell>
          <cell r="J96" t="str">
            <v>1.9 dci</v>
          </cell>
          <cell r="K96" t="str">
            <v>1.9 dci</v>
          </cell>
          <cell r="L96" t="str">
            <v>1.9 dci</v>
          </cell>
          <cell r="M96" t="str">
            <v>1.9 dci</v>
          </cell>
          <cell r="N96" t="str">
            <v>1.9 dci</v>
          </cell>
          <cell r="O96" t="str">
            <v>1.9 dci</v>
          </cell>
        </row>
        <row r="97">
          <cell r="B97" t="str">
            <v>Vectra</v>
          </cell>
          <cell r="C97" t="str">
            <v>2.0 dti</v>
          </cell>
          <cell r="D97" t="str">
            <v>2.0 dti</v>
          </cell>
          <cell r="E97" t="str">
            <v>2.0 dti</v>
          </cell>
          <cell r="F97" t="str">
            <v>2.0 dti</v>
          </cell>
          <cell r="G97" t="str">
            <v>2.0 dti</v>
          </cell>
          <cell r="H97" t="str">
            <v>2.0 dti</v>
          </cell>
          <cell r="I97" t="str">
            <v>2.0 dti</v>
          </cell>
          <cell r="J97" t="str">
            <v>2.0 dti</v>
          </cell>
          <cell r="K97" t="str">
            <v>2.0 dti</v>
          </cell>
          <cell r="L97" t="str">
            <v>2.0 dti</v>
          </cell>
          <cell r="M97" t="str">
            <v>2.0 dti</v>
          </cell>
          <cell r="N97" t="str">
            <v>2.0 dti</v>
          </cell>
          <cell r="O97" t="str">
            <v>2.0 dti</v>
          </cell>
        </row>
        <row r="98">
          <cell r="B98" t="str">
            <v>Passat</v>
          </cell>
          <cell r="C98" t="str">
            <v>1.9Tdi</v>
          </cell>
          <cell r="D98" t="str">
            <v>1.9Tdi</v>
          </cell>
          <cell r="E98" t="str">
            <v>1.9Tdi</v>
          </cell>
          <cell r="F98" t="str">
            <v>1.9Tdi</v>
          </cell>
          <cell r="G98" t="str">
            <v>1.9Tdi</v>
          </cell>
          <cell r="H98" t="str">
            <v>1.9Tdi</v>
          </cell>
          <cell r="I98" t="str">
            <v>1.9Tdi</v>
          </cell>
          <cell r="J98" t="str">
            <v>1.9Tdi</v>
          </cell>
          <cell r="K98" t="str">
            <v>1.9Tdi</v>
          </cell>
          <cell r="L98" t="str">
            <v>1.9Tdi</v>
          </cell>
          <cell r="M98" t="str">
            <v>1.9Tdi</v>
          </cell>
          <cell r="N98" t="str">
            <v>1.9Tdi</v>
          </cell>
          <cell r="O98" t="str">
            <v>1.9Tdi</v>
          </cell>
        </row>
        <row r="99">
          <cell r="B99" t="str">
            <v>n.a</v>
          </cell>
          <cell r="C99" t="str">
            <v>n.a.</v>
          </cell>
          <cell r="D99" t="str">
            <v>n.a.</v>
          </cell>
          <cell r="E99" t="str">
            <v>n.a.</v>
          </cell>
          <cell r="F99" t="str">
            <v>n.a.</v>
          </cell>
          <cell r="G99" t="str">
            <v>n.a.</v>
          </cell>
          <cell r="H99" t="str">
            <v>n.a.</v>
          </cell>
          <cell r="I99" t="str">
            <v>n.a.</v>
          </cell>
          <cell r="J99" t="str">
            <v>n.a.</v>
          </cell>
          <cell r="K99" t="str">
            <v>n.a.</v>
          </cell>
          <cell r="L99" t="str">
            <v>n.a.</v>
          </cell>
          <cell r="M99" t="str">
            <v>n.a.</v>
          </cell>
          <cell r="N99" t="str">
            <v>n.a.</v>
          </cell>
          <cell r="O99" t="str">
            <v>n.a.</v>
          </cell>
        </row>
      </sheetData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CpGRP"/>
      <sheetName val="Data Sender-ZS"/>
      <sheetName val="Briefing"/>
      <sheetName val="Planung lt. S+P (keine Eingabe)"/>
      <sheetName val="Planung Brutto bez. "/>
      <sheetName val="Einkaufsvorlagen"/>
      <sheetName val="Hilfstabelle"/>
      <sheetName val="MP NEON 2007"/>
      <sheetName val="DropDown Listen"/>
      <sheetName val="Dropdowns"/>
      <sheetName val="Data_Sender-ZS"/>
      <sheetName val="Data_CpGRP"/>
      <sheetName val="Planung_lt__S+P_(keine_Eingabe)"/>
      <sheetName val="Planung_Brutto_bez__"/>
      <sheetName val="MP_NEON_2007"/>
      <sheetName val="Data_Sender-ZS1"/>
      <sheetName val="Tabelle2"/>
      <sheetName val="MP NEON 2008"/>
      <sheetName val="Lists"/>
      <sheetName val="apendix"/>
      <sheetName val="Services"/>
      <sheetName val="Drop Down"/>
      <sheetName val="Dropdown menu"/>
      <sheetName val="MP 2007"/>
      <sheetName val="вводные 20.01"/>
      <sheetName val="Бюджет 100% ТВ"/>
      <sheetName val="TOTAL"/>
      <sheetName val="BRANDS"/>
      <sheetName val="Барни Fem25-54"/>
      <sheetName val="Milka"/>
      <sheetName val="Oreo THin 18-39"/>
      <sheetName val="расчет весов 2020_mdlz"/>
      <sheetName val="for flow 2020"/>
      <sheetName val="Halls"/>
      <sheetName val="AlpenGold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A-BL"/>
      <sheetName val="Data_Sender-ZS2"/>
      <sheetName val="Data_CpGRP1"/>
      <sheetName val="Planung_lt__S+P_(keine_Eingabe1"/>
      <sheetName val="Planung_Brutto_bez__1"/>
      <sheetName val="MP_NEON_20071"/>
      <sheetName val="DropDown_Listen"/>
      <sheetName val="Data_Sender-ZS3"/>
      <sheetName val="Data_CpGRP2"/>
      <sheetName val="Planung_lt__S+P_(keine_Eingabe2"/>
      <sheetName val="Planung_Brutto_bez__2"/>
      <sheetName val="MP_NEON_20072"/>
      <sheetName val="DropDown_Listen1"/>
      <sheetName val="MP_NEON_2008"/>
      <sheetName val="MP_NEON_20081"/>
      <sheetName val="Kostenplan"/>
      <sheetName val="PIANO GENERALE"/>
      <sheetName val="Drop_Down"/>
      <sheetName val="Dropdown_menu"/>
      <sheetName val="MP_2007"/>
      <sheetName val="Team"/>
      <sheetName val="paramètres"/>
      <sheetName val="Data_Sender-ZS6"/>
      <sheetName val="Data_CpGRP5"/>
      <sheetName val="Planung_lt__S+P_(keine_Eingabe5"/>
      <sheetName val="Planung_Brutto_bez__5"/>
      <sheetName val="MP_NEON_20075"/>
      <sheetName val="DropDown_Listen4"/>
      <sheetName val="Data_Sender-ZS5"/>
      <sheetName val="Data_CpGRP4"/>
      <sheetName val="Planung_lt__S+P_(keine_Eingabe4"/>
      <sheetName val="Planung_Brutto_bez__4"/>
      <sheetName val="MP_NEON_20074"/>
      <sheetName val="DropDown_Listen3"/>
      <sheetName val="Data_Sender-ZS4"/>
      <sheetName val="Data_CpGRP3"/>
      <sheetName val="Planung_lt__S+P_(keine_Eingabe3"/>
      <sheetName val="Planung_Brutto_bez__3"/>
      <sheetName val="MP_NEON_20073"/>
      <sheetName val="DropDown_Listen2"/>
      <sheetName val="MP_NEON_20082"/>
      <sheetName val="Drop_Down1"/>
      <sheetName val="Dropdown_menu1"/>
      <sheetName val="MP_20071"/>
      <sheetName val="PIANO_GENERALE"/>
      <sheetName val="MP_NEON_20083"/>
      <sheetName val="Dropdown_menu2"/>
      <sheetName val="Drop_Down2"/>
      <sheetName val="MP_20072"/>
      <sheetName val="PIANO_GENERALE1"/>
      <sheetName val="вводные_20_01"/>
      <sheetName val="Бюджет_100%_ТВ"/>
      <sheetName val="Барни_Fem25-54"/>
      <sheetName val="Oreo_THin_18-39"/>
      <sheetName val="расчет_весов_2020_mdlz"/>
      <sheetName val="for_flow_2020"/>
      <sheetName val="к-нт_конверсии"/>
      <sheetName val="TUC_25-44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вводные_20_011"/>
      <sheetName val="Бюджет_100%_ТВ1"/>
      <sheetName val="Барни_Fem25-541"/>
      <sheetName val="Oreo_THin_18-391"/>
      <sheetName val="расчет_весов_2020_mdlz1"/>
      <sheetName val="for_flow_20201"/>
      <sheetName val="к-нт_конверсии1"/>
      <sheetName val="TUC_25-44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Drop_Downs"/>
      <sheetName val="Zadání (Brief)"/>
      <sheetName val="tv"/>
      <sheetName val="Affinity"/>
      <sheetName val="Brands CPP"/>
      <sheetName val="Splits"/>
      <sheetName val="расчет бюджетов"/>
      <sheetName val="media plan_darbinis"/>
      <sheetName val="ownprod est"/>
      <sheetName val="FX-Rate"/>
      <sheetName val="ownprod lit"/>
      <sheetName val="Nastavení (Setting)"/>
      <sheetName val="Forecast Drivers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Listes déroulantes"/>
      <sheetName val="Growth"/>
      <sheetName val="3.2 - Digital Fixed 2014 "/>
      <sheetName val="Data_Sender-ZS7"/>
      <sheetName val="Data_CpGRP6"/>
      <sheetName val="Planung_lt__S+P_(keine_Eingabe6"/>
      <sheetName val="Planung_Brutto_bez__6"/>
      <sheetName val="MP_NEON_20076"/>
      <sheetName val="DropDown_Listen5"/>
      <sheetName val="SW-TEO"/>
      <sheetName val="媒体"/>
      <sheetName val="TEMP"/>
      <sheetName val="PlanGRP_V1_2004"/>
      <sheetName val="Ярославль СТС прайс"/>
    </sheetNames>
    <sheetDataSet>
      <sheetData sheetId="0">
        <row r="2">
          <cell r="B2" t="str">
            <v>fehlt !</v>
          </cell>
        </row>
        <row r="3">
          <cell r="B3" t="str">
            <v>fehlt !</v>
          </cell>
        </row>
        <row r="4">
          <cell r="B4" t="str">
            <v>fehlt !</v>
          </cell>
        </row>
        <row r="5">
          <cell r="B5" t="str">
            <v>fehlt !</v>
          </cell>
        </row>
        <row r="6">
          <cell r="B6" t="str">
            <v>fehlt !</v>
          </cell>
        </row>
        <row r="10">
          <cell r="B10" t="str">
            <v>fehlt !</v>
          </cell>
        </row>
        <row r="11">
          <cell r="B11" t="str">
            <v>fehlt !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60">
          <cell r="A60" t="str">
            <v>DATEN &amp; FORMAT FEHLEN !</v>
          </cell>
        </row>
        <row r="61">
          <cell r="A61" t="str">
            <v>FORMAT FEHLT !</v>
          </cell>
        </row>
        <row r="62">
          <cell r="A62" t="str">
            <v>DATEN FEHLEN !</v>
          </cell>
        </row>
      </sheetData>
      <sheetData sheetId="1">
        <row r="2">
          <cell r="B2" t="str">
            <v>fehlt !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B2" t="str">
            <v>fehlt !</v>
          </cell>
        </row>
      </sheetData>
      <sheetData sheetId="11">
        <row r="2">
          <cell r="B2" t="str">
            <v>fehlt !</v>
          </cell>
        </row>
      </sheetData>
      <sheetData sheetId="12">
        <row r="2">
          <cell r="B2" t="str">
            <v>fehlt !</v>
          </cell>
        </row>
      </sheetData>
      <sheetData sheetId="13">
        <row r="2">
          <cell r="B2" t="str">
            <v>fehlt !</v>
          </cell>
        </row>
      </sheetData>
      <sheetData sheetId="14">
        <row r="2">
          <cell r="B2" t="str">
            <v>fehlt !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25">
        <row r="2">
          <cell r="B2" t="str">
            <v>fehlt !</v>
          </cell>
        </row>
      </sheetData>
      <sheetData sheetId="26">
        <row r="2">
          <cell r="B2" t="str">
            <v>fehlt !</v>
          </cell>
        </row>
      </sheetData>
      <sheetData sheetId="27">
        <row r="2">
          <cell r="B2" t="str">
            <v>fehlt !</v>
          </cell>
        </row>
      </sheetData>
      <sheetData sheetId="28">
        <row r="2">
          <cell r="B2" t="str">
            <v>fehlt !</v>
          </cell>
        </row>
      </sheetData>
      <sheetData sheetId="2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2">
        <row r="2">
          <cell r="B2" t="str">
            <v>fehlt !</v>
          </cell>
        </row>
      </sheetData>
      <sheetData sheetId="33">
        <row r="2">
          <cell r="B2" t="str">
            <v>fehlt !</v>
          </cell>
        </row>
      </sheetData>
      <sheetData sheetId="34">
        <row r="2">
          <cell r="B2" t="str">
            <v>fehlt !</v>
          </cell>
        </row>
      </sheetData>
      <sheetData sheetId="35">
        <row r="2">
          <cell r="B2" t="str">
            <v>fehlt !</v>
          </cell>
        </row>
      </sheetData>
      <sheetData sheetId="3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7">
        <row r="2">
          <cell r="B2" t="str">
            <v>fehlt !</v>
          </cell>
        </row>
      </sheetData>
      <sheetData sheetId="38">
        <row r="2">
          <cell r="B2" t="str">
            <v>fehlt !</v>
          </cell>
        </row>
      </sheetData>
      <sheetData sheetId="39">
        <row r="2">
          <cell r="B2" t="str">
            <v>fehlt !</v>
          </cell>
        </row>
      </sheetData>
      <sheetData sheetId="40">
        <row r="2">
          <cell r="B2" t="str">
            <v>fehlt !</v>
          </cell>
        </row>
      </sheetData>
      <sheetData sheetId="4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2"/>
      <sheetData sheetId="4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4">
        <row r="2">
          <cell r="B2" t="str">
            <v>fehlt !</v>
          </cell>
        </row>
      </sheetData>
      <sheetData sheetId="45">
        <row r="2">
          <cell r="B2" t="str">
            <v>fehlt !</v>
          </cell>
        </row>
      </sheetData>
      <sheetData sheetId="46">
        <row r="2">
          <cell r="B2" t="str">
            <v>fehlt !</v>
          </cell>
        </row>
      </sheetData>
      <sheetData sheetId="4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8">
        <row r="2">
          <cell r="B2" t="str">
            <v>fehlt !</v>
          </cell>
        </row>
      </sheetData>
      <sheetData sheetId="49">
        <row r="2">
          <cell r="B2" t="str">
            <v>fehlt !</v>
          </cell>
        </row>
      </sheetData>
      <sheetData sheetId="50">
        <row r="2">
          <cell r="B2" t="str">
            <v>fehlt !</v>
          </cell>
        </row>
      </sheetData>
      <sheetData sheetId="5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2"/>
      <sheetData sheetId="53" refreshError="1"/>
      <sheetData sheetId="54">
        <row r="2">
          <cell r="B2" t="str">
            <v>fehlt !</v>
          </cell>
        </row>
      </sheetData>
      <sheetData sheetId="55">
        <row r="2">
          <cell r="B2" t="str">
            <v>fehlt !</v>
          </cell>
        </row>
      </sheetData>
      <sheetData sheetId="56">
        <row r="2">
          <cell r="B2" t="str">
            <v>fehlt !</v>
          </cell>
        </row>
      </sheetData>
      <sheetData sheetId="57">
        <row r="2">
          <cell r="B2" t="str">
            <v>fehlt !</v>
          </cell>
        </row>
      </sheetData>
      <sheetData sheetId="5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9">
        <row r="2">
          <cell r="B2" t="str">
            <v>fehlt !</v>
          </cell>
        </row>
      </sheetData>
      <sheetData sheetId="60">
        <row r="2">
          <cell r="B2" t="str">
            <v>fehlt !</v>
          </cell>
        </row>
      </sheetData>
      <sheetData sheetId="61">
        <row r="2">
          <cell r="B2" t="str">
            <v>fehlt !</v>
          </cell>
        </row>
      </sheetData>
      <sheetData sheetId="62">
        <row r="2">
          <cell r="B2" t="str">
            <v>fehlt !</v>
          </cell>
        </row>
      </sheetData>
      <sheetData sheetId="63">
        <row r="2">
          <cell r="B2" t="str">
            <v>fehlt !</v>
          </cell>
        </row>
      </sheetData>
      <sheetData sheetId="64">
        <row r="2">
          <cell r="B2" t="str">
            <v>fehlt !</v>
          </cell>
        </row>
      </sheetData>
      <sheetData sheetId="6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6">
        <row r="2">
          <cell r="B2" t="str">
            <v>fehlt !</v>
          </cell>
        </row>
      </sheetData>
      <sheetData sheetId="67">
        <row r="2">
          <cell r="B2" t="str">
            <v>fehlt !</v>
          </cell>
        </row>
      </sheetData>
      <sheetData sheetId="68" refreshError="1"/>
      <sheetData sheetId="69" refreshError="1"/>
      <sheetData sheetId="7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1"/>
      <sheetData sheetId="72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3" refreshError="1"/>
      <sheetData sheetId="74" refreshError="1"/>
      <sheetData sheetId="75">
        <row r="15">
          <cell r="C15">
            <v>0</v>
          </cell>
        </row>
      </sheetData>
      <sheetData sheetId="76">
        <row r="2">
          <cell r="B2" t="str">
            <v>fehlt !</v>
          </cell>
        </row>
      </sheetData>
      <sheetData sheetId="77"/>
      <sheetData sheetId="78"/>
      <sheetData sheetId="79"/>
      <sheetData sheetId="80"/>
      <sheetData sheetId="81">
        <row r="2">
          <cell r="B2" t="str">
            <v>fehlt !</v>
          </cell>
        </row>
      </sheetData>
      <sheetData sheetId="82">
        <row r="2">
          <cell r="B2" t="str">
            <v>fehlt !</v>
          </cell>
        </row>
      </sheetData>
      <sheetData sheetId="83"/>
      <sheetData sheetId="84"/>
      <sheetData sheetId="85"/>
      <sheetData sheetId="86"/>
      <sheetData sheetId="87">
        <row r="2">
          <cell r="B2" t="str">
            <v>fehlt !</v>
          </cell>
        </row>
      </sheetData>
      <sheetData sheetId="88">
        <row r="2">
          <cell r="B2" t="str">
            <v>fehlt !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 22-9 - 26-10"/>
      <sheetName val="GRP"/>
      <sheetName val="RA 31.3-4.5 CIC"/>
      <sheetName val="RA 31.3-4.5 ORO"/>
      <sheetName val="RA 31.3-4.5 TOP"/>
      <sheetName val="RA 31.3-4.5 FOCUS"/>
      <sheetName val="MEDRA3APR"/>
      <sheetName val="RA3-30.3FOC"/>
      <sheetName val="RA5.5-8.6ORO"/>
      <sheetName val="RA5.5-8.6CIC"/>
      <sheetName val="ratop5.5-8.6"/>
      <sheetName val="RA5.5-8.6FOCUS"/>
      <sheetName val="MED3.30-MARORO"/>
      <sheetName val="MED3.30MARTOP"/>
      <sheetName val="MED3-30MARCIC"/>
      <sheetName val="MED3-30MARFOC"/>
      <sheetName val="MEDRA1APR"/>
      <sheetName val="MEDRAI2APR"/>
      <sheetName val="MEDRARAPR"/>
      <sheetName val="MED31.3-4.5 ORO"/>
      <sheetName val="MED31.3-4.5TOP"/>
      <sheetName val="MED31.3-4.5CIC"/>
      <sheetName val="MED31.3-4.5FOC"/>
      <sheetName val="MEDMAGRA1"/>
      <sheetName val="MEDMAGRA2"/>
      <sheetName val="MEDMAGRA3"/>
      <sheetName val="MEDMAGRAR"/>
      <sheetName val="MEDMAGORO"/>
      <sheetName val="MEDMAGTOP"/>
      <sheetName val="MEDMAGCIC"/>
      <sheetName val="MEDMAGFOC"/>
      <sheetName val="TOPGIU"/>
      <sheetName val="MODPTGIU"/>
      <sheetName val="MODDTGIU"/>
      <sheetName val="MODEURGIU"/>
      <sheetName val="spec9-29giu"/>
      <sheetName val="oro 22-9 - 26-10"/>
      <sheetName val="top 22-9 - 26-10"/>
      <sheetName val="spec 22-9 26-10"/>
      <sheetName val="cic 22_9 _ 26_10"/>
      <sheetName val="Programlar"/>
      <sheetName val="Kategoriler"/>
      <sheetName val="1"/>
      <sheetName val="PIANO GENERALE"/>
      <sheetName val="BJ"/>
      <sheetName val="cic_22-9_-_26-10"/>
      <sheetName val="RA_31_3-4_5_CIC"/>
      <sheetName val="RA_31_3-4_5_ORO"/>
      <sheetName val="RA_31_3-4_5_TOP"/>
      <sheetName val="RA_31_3-4_5_FOCUS"/>
      <sheetName val="RA3-30_3FOC"/>
      <sheetName val="RA5_5-8_6ORO"/>
      <sheetName val="RA5_5-8_6CIC"/>
      <sheetName val="ratop5_5-8_6"/>
      <sheetName val="RA5_5-8_6FOCUS"/>
      <sheetName val="MED3_30-MARORO"/>
      <sheetName val="MED3_30MARTOP"/>
      <sheetName val="MED31_3-4_5_ORO"/>
      <sheetName val="MED31_3-4_5TOP"/>
      <sheetName val="MED31_3-4_5CIC"/>
      <sheetName val="MED31_3-4_5FOC"/>
      <sheetName val="oro_22-9_-_26-10"/>
      <sheetName val="top_22-9_-_26-10"/>
      <sheetName val="spec_22-9_26-10"/>
      <sheetName val="cic_22_9___26_10"/>
      <sheetName val="BIGINI96"/>
      <sheetName val="DATI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PIANO_GENERALE"/>
      <sheetName val="nj-Mixed"/>
      <sheetName val="Fujian Mixed"/>
      <sheetName val="Tabelas"/>
      <sheetName val="媒体"/>
      <sheetName val="自动报价"/>
      <sheetName val="Constants"/>
      <sheetName val="Offerta Tv in Italia"/>
      <sheetName val="PRC-TV (0)"/>
      <sheetName val="OP2"/>
      <sheetName val="Data-OMI Col1 - NA"/>
      <sheetName val="Data-Reforecast 2nd Col"/>
      <sheetName val="Sheet1"/>
      <sheetName val="DMA list"/>
      <sheetName val="2012 Categories and 2011"/>
      <sheetName val="Model"/>
      <sheetName val="Make"/>
    </sheetNames>
    <sheetDataSet>
      <sheetData sheetId="0" refreshError="1">
        <row r="11">
          <cell r="D11">
            <v>486.48</v>
          </cell>
        </row>
      </sheetData>
      <sheetData sheetId="1" refreshError="1"/>
      <sheetData sheetId="2">
        <row r="11">
          <cell r="D11">
            <v>486.48</v>
          </cell>
        </row>
      </sheetData>
      <sheetData sheetId="3">
        <row r="11">
          <cell r="D11">
            <v>486.48</v>
          </cell>
        </row>
      </sheetData>
      <sheetData sheetId="4">
        <row r="11">
          <cell r="D11">
            <v>486.48</v>
          </cell>
        </row>
      </sheetData>
      <sheetData sheetId="5">
        <row r="11">
          <cell r="D11">
            <v>486.48</v>
          </cell>
        </row>
      </sheetData>
      <sheetData sheetId="6">
        <row r="11">
          <cell r="D11">
            <v>486.48</v>
          </cell>
        </row>
      </sheetData>
      <sheetData sheetId="7">
        <row r="11">
          <cell r="D11">
            <v>486.48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1">
          <cell r="D11">
            <v>486.48</v>
          </cell>
        </row>
      </sheetData>
      <sheetData sheetId="31">
        <row r="11">
          <cell r="D11">
            <v>486.48</v>
          </cell>
        </row>
      </sheetData>
      <sheetData sheetId="32">
        <row r="11">
          <cell r="D11">
            <v>486.48</v>
          </cell>
        </row>
      </sheetData>
      <sheetData sheetId="33">
        <row r="11">
          <cell r="D11">
            <v>486.48</v>
          </cell>
        </row>
      </sheetData>
      <sheetData sheetId="34">
        <row r="11">
          <cell r="D11">
            <v>486.48</v>
          </cell>
        </row>
      </sheetData>
      <sheetData sheetId="35">
        <row r="11">
          <cell r="D11">
            <v>486.48</v>
          </cell>
        </row>
      </sheetData>
      <sheetData sheetId="36">
        <row r="11">
          <cell r="D11">
            <v>486.48</v>
          </cell>
        </row>
      </sheetData>
      <sheetData sheetId="37">
        <row r="11">
          <cell r="D11">
            <v>486.48</v>
          </cell>
        </row>
      </sheetData>
      <sheetData sheetId="38">
        <row r="11">
          <cell r="D11">
            <v>486.48</v>
          </cell>
        </row>
      </sheetData>
      <sheetData sheetId="39">
        <row r="11">
          <cell r="D11">
            <v>486.48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>
        <row r="11">
          <cell r="D11">
            <v>486.48</v>
          </cell>
        </row>
      </sheetData>
      <sheetData sheetId="46"/>
      <sheetData sheetId="47">
        <row r="11">
          <cell r="D11">
            <v>486.48</v>
          </cell>
        </row>
      </sheetData>
      <sheetData sheetId="48"/>
      <sheetData sheetId="49">
        <row r="11">
          <cell r="D11">
            <v>486.48</v>
          </cell>
        </row>
      </sheetData>
      <sheetData sheetId="50"/>
      <sheetData sheetId="51">
        <row r="11">
          <cell r="D11">
            <v>486.48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Specs"/>
      <sheetName val="Basisdaten"/>
      <sheetName val="SitesVermarkter"/>
      <sheetName val="Mediakostenplan"/>
      <sheetName val="Mediastreuplan"/>
      <sheetName val="ProducerPivot"/>
      <sheetName val="BudgetPivot"/>
      <sheetName val="ReportPivot"/>
      <sheetName val="OnlineURLs"/>
      <sheetName val="OnlineContacts"/>
      <sheetName val="LOGOS"/>
      <sheetName val="cic 22-9 - 26-10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sVermarkter"/>
      <sheetName val="Basisdaten"/>
      <sheetName val="Mediakostenplan"/>
      <sheetName val="Mediastreuplan"/>
      <sheetName val="1P-Report"/>
      <sheetName val="ProducerPivot"/>
      <sheetName val="BudgetPivot"/>
      <sheetName val="ReportPivot"/>
      <sheetName val="FormatSpecs"/>
      <sheetName val="OnlineURLs"/>
      <sheetName val="OnlineContacts"/>
      <sheetName val="LOGOS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  <sheetName val="##"/>
      <sheetName val="MAIL.RU"/>
      <sheetName val="YANDEX.RU"/>
      <sheetName val="VZGLYAD.RU"/>
      <sheetName val="GAZETA.RU"/>
      <sheetName val="KOMMERSANT.RU"/>
      <sheetName val="NEWSRU.COM"/>
      <sheetName val="AFISHA.RU"/>
      <sheetName val="SUBSCRIBE.RU"/>
      <sheetName val="EXPERT.RU"/>
      <sheetName val="AVTO.RU"/>
      <sheetName val="AUTO.RU"/>
      <sheetName val="RIAN.RU"/>
      <sheetName val="AMEDIA.RU"/>
      <sheetName val="VOKRUGSVETA.RU"/>
      <sheetName val="MTV.RU"/>
      <sheetName val="LIVEINTERNET.RU"/>
      <sheetName val="FASHIONTIME.RU"/>
      <sheetName val="ECHO.MSK.RU"/>
      <sheetName val="SUPERSTYLE.RU"/>
      <sheetName val="INOPRESSA.RU"/>
      <sheetName val="3DNEWS.RU"/>
      <sheetName val="SPORTS.RU"/>
      <sheetName val="24OPEN.RU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Print-forms"/>
      <sheetName val="XLRpt_TempSheet"/>
      <sheetName val="E2 Brands"/>
      <sheetName val="Главный"/>
      <sheetName val="WEIGHT AND SPOTS 3 OPT"/>
      <sheetName val="all brands (all media)"/>
      <sheetName val="Vehicles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Zadání (Brief)"/>
      <sheetName val="Nastavení (Setting)"/>
      <sheetName val="Evaluation2"/>
      <sheetName val="Stru.xls"/>
      <sheetName val="Affinity"/>
      <sheetName val="Владивосток_ОРТ_(наш)"/>
      <sheetName val="E2_Brands"/>
      <sheetName val="WEIGHT_AND_SPOTS_3_OPT"/>
      <sheetName val="all_brands_(all_media)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MAP cf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Stru_xls"/>
      <sheetName val="Evaluation"/>
      <sheetName val="17.7mln вар 1"/>
      <sheetName val="Brief"/>
      <sheetName val="Deal 2017"/>
      <sheetName val="CPP base"/>
      <sheetName val="Quality"/>
      <sheetName val="НРА бюджет"/>
      <sheetName val="НРА цена"/>
      <sheetName val="TV spot_supplier"/>
      <sheetName val="Flowchart_Nat"/>
      <sheetName val="Setup"/>
      <sheetName val="Template"/>
      <sheetName val="Status"/>
      <sheetName val="Интернет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Digital_table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организации"/>
      <sheetName val="Var2003 BU-P1"/>
      <sheetName val="МП MI"/>
      <sheetName val="campaign average f"/>
      <sheetName val="LIST"/>
      <sheetName val="Constants"/>
      <sheetName val="NIUs"/>
      <sheetName val="2021"/>
      <sheetName val="Креон"/>
      <sheetName val="Дюфалак"/>
      <sheetName val="Дюспаталин"/>
      <sheetName val="ОРВИ Актив"/>
      <sheetName val="Var2003_BU-P1"/>
      <sheetName val="Zolla_на_70_(мар+май!)"/>
      <sheetName val="Ростов_на_Дону"/>
      <sheetName val="Нижний_Новгород"/>
      <sheetName val="Наб_Челны"/>
      <sheetName val="report"/>
      <sheetName val="MP"/>
      <sheetName val="Аудитория и ТТ"/>
      <sheetName val="WL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Data CpGRP"/>
      <sheetName val="Data Sender-ZS"/>
      <sheetName val="Типы"/>
      <sheetName val="bel"/>
      <sheetName val="MediaAreas"/>
      <sheetName val="Otherlists"/>
      <sheetName val="Cities"/>
      <sheetName val="MediaMarkers"/>
      <sheetName val="PlacementCategories"/>
      <sheetName val="ОРТ"/>
      <sheetName val="РТР"/>
      <sheetName val="MAIL_RU3"/>
      <sheetName val="YANDEX_RU3"/>
      <sheetName val="VZGLYAD_RU3"/>
      <sheetName val="GAZETA_RU3"/>
      <sheetName val="KOMMERSANT_RU3"/>
      <sheetName val="NEWSRU_COM3"/>
      <sheetName val="AFISHA_RU3"/>
      <sheetName val="SUBSCRIBE_RU3"/>
      <sheetName val="EXPERT_RU3"/>
      <sheetName val="AVTO_RU3"/>
      <sheetName val="AUTO_RU3"/>
      <sheetName val="RIAN_RU3"/>
      <sheetName val="AMEDIA_RU3"/>
      <sheetName val="VOKRUGSVETA_RU3"/>
      <sheetName val="MTV_RU3"/>
      <sheetName val="LIVEINTERNET_RU3"/>
      <sheetName val="FASHIONTIME_RU3"/>
      <sheetName val="ECHO_MSK_RU3"/>
      <sheetName val="SUPERSTYLE_RU3"/>
      <sheetName val="INOPRESSA_RU3"/>
      <sheetName val="3DNEWS_RU3"/>
      <sheetName val="SPORTS_RU3"/>
      <sheetName val="24OPEN_RU3"/>
      <sheetName val="Владивосток_ОРТ_(наш)3"/>
      <sheetName val="E2_Brands3"/>
      <sheetName val="WEIGHT_AND_SPOTS_3_OPT3"/>
      <sheetName val="all_brands_(all_media)3"/>
      <sheetName val="Stru_xls2"/>
      <sheetName val="Zadání_(Brief)2"/>
      <sheetName val="Nastavení_(Setting)2"/>
      <sheetName val="Net_CPP2"/>
      <sheetName val="Channel_Selection2"/>
      <sheetName val="MAP_cf1"/>
      <sheetName val="TV_spot_supplier1"/>
      <sheetName val="17_7mln_вар_11"/>
      <sheetName val="Deal_20171"/>
      <sheetName val="CPP_base1"/>
      <sheetName val="НРА_бюджет1"/>
      <sheetName val="НРА_цена1"/>
      <sheetName val="Channel_mix1"/>
      <sheetName val="Intro_-_market_data1"/>
      <sheetName val="Digital_data_sheet"/>
      <sheetName val="ОРВИ_Актив"/>
      <sheetName val="Сводный_файл"/>
      <sheetName val="How_to"/>
      <sheetName val="Deal_2019"/>
      <sheetName val="Deal_2020"/>
      <sheetName val="investments_in_TV_deal_2020"/>
      <sheetName val="Фед__ТВ_стар_(2)"/>
      <sheetName val="Media Plan"/>
      <sheetName val="Digital"/>
      <sheetName val="Bloggers"/>
      <sheetName val="ООН"/>
      <sheetName val="Radio "/>
      <sheetName val="Алматы"/>
      <sheetName val="Нур-Султан"/>
      <sheetName val="Актобе"/>
      <sheetName val="Шымкент"/>
      <sheetName val="Караганда"/>
      <sheetName val="Актау"/>
      <sheetName val="Control"/>
      <sheetName val="HBU_Modern"/>
      <sheetName val="HBU_Trad"/>
      <sheetName val="ConstantsANDSettings"/>
      <sheetName val="Codes"/>
      <sheetName val="kz budget lc"/>
      <sheetName val="PL_Vlad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3">
          <cell r="B3">
            <v>79042863.029660702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>
        <row r="3">
          <cell r="B3" t="str">
            <v>Product #2</v>
          </cell>
        </row>
      </sheetData>
      <sheetData sheetId="90" refreshError="1"/>
      <sheetData sheetId="91" refreshError="1"/>
      <sheetData sheetId="92">
        <row r="3">
          <cell r="B3" t="str">
            <v>Product #2</v>
          </cell>
        </row>
      </sheetData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>
        <row r="3">
          <cell r="B3" t="str">
            <v>Product #2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>
        <row r="3">
          <cell r="B3" t="str">
            <v>Product #2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3">
          <cell r="B3" t="str">
            <v>Product #2</v>
          </cell>
        </row>
      </sheetData>
      <sheetData sheetId="139" refreshError="1"/>
      <sheetData sheetId="140" refreshError="1"/>
      <sheetData sheetId="141"/>
      <sheetData sheetId="142">
        <row r="3">
          <cell r="B3">
            <v>0</v>
          </cell>
        </row>
      </sheetData>
      <sheetData sheetId="143">
        <row r="3">
          <cell r="B3" t="str">
            <v>NRA form</v>
          </cell>
        </row>
      </sheetData>
      <sheetData sheetId="144">
        <row r="3">
          <cell r="B3">
            <v>0</v>
          </cell>
        </row>
      </sheetData>
      <sheetData sheetId="145">
        <row r="3">
          <cell r="B3" t="str">
            <v>NRA form</v>
          </cell>
        </row>
      </sheetData>
      <sheetData sheetId="146">
        <row r="4">
          <cell r="B4" t="str">
            <v>January</v>
          </cell>
        </row>
      </sheetData>
      <sheetData sheetId="147"/>
      <sheetData sheetId="148">
        <row r="3">
          <cell r="B3">
            <v>0</v>
          </cell>
        </row>
      </sheetData>
      <sheetData sheetId="149"/>
      <sheetData sheetId="150">
        <row r="3">
          <cell r="B3" t="str">
            <v>Product #2</v>
          </cell>
        </row>
      </sheetData>
      <sheetData sheetId="151">
        <row r="3">
          <cell r="B3" t="str">
            <v>Product #2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 t="str">
            <v>Product #2</v>
          </cell>
        </row>
      </sheetData>
      <sheetData sheetId="154">
        <row r="3">
          <cell r="B3" t="str">
            <v>Бренд: Premier</v>
          </cell>
        </row>
      </sheetData>
      <sheetData sheetId="155"/>
      <sheetData sheetId="156">
        <row r="3">
          <cell r="B3" t="str">
            <v>Product #2</v>
          </cell>
        </row>
      </sheetData>
      <sheetData sheetId="157">
        <row r="3">
          <cell r="B3" t="str">
            <v>Product #2</v>
          </cell>
        </row>
      </sheetData>
      <sheetData sheetId="158">
        <row r="3">
          <cell r="B3">
            <v>0</v>
          </cell>
        </row>
      </sheetData>
      <sheetData sheetId="159">
        <row r="3">
          <cell r="B3" t="str">
            <v>Product #2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/>
      <sheetData sheetId="166">
        <row r="3">
          <cell r="B3">
            <v>0</v>
          </cell>
        </row>
      </sheetData>
      <sheetData sheetId="167">
        <row r="3">
          <cell r="B3">
            <v>0</v>
          </cell>
        </row>
      </sheetData>
      <sheetData sheetId="168">
        <row r="3">
          <cell r="B3">
            <v>0</v>
          </cell>
        </row>
      </sheetData>
      <sheetData sheetId="169">
        <row r="3">
          <cell r="B3">
            <v>0</v>
          </cell>
        </row>
      </sheetData>
      <sheetData sheetId="170">
        <row r="3">
          <cell r="B3">
            <v>0</v>
          </cell>
        </row>
      </sheetData>
      <sheetData sheetId="171"/>
      <sheetData sheetId="172">
        <row r="3">
          <cell r="B3">
            <v>0</v>
          </cell>
        </row>
      </sheetData>
      <sheetData sheetId="173"/>
      <sheetData sheetId="174">
        <row r="3">
          <cell r="B3">
            <v>0</v>
          </cell>
        </row>
      </sheetData>
      <sheetData sheetId="175"/>
      <sheetData sheetId="176">
        <row r="3">
          <cell r="B3" t="str">
            <v>Product #2</v>
          </cell>
        </row>
      </sheetData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Бренд: Premier</v>
          </cell>
        </row>
      </sheetData>
      <sheetData sheetId="181"/>
      <sheetData sheetId="182" refreshError="1"/>
      <sheetData sheetId="183"/>
      <sheetData sheetId="184">
        <row r="3">
          <cell r="B3">
            <v>0</v>
          </cell>
        </row>
      </sheetData>
      <sheetData sheetId="185" refreshError="1"/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/>
      <sheetData sheetId="192">
        <row r="3">
          <cell r="B3">
            <v>0</v>
          </cell>
        </row>
      </sheetData>
      <sheetData sheetId="193">
        <row r="3">
          <cell r="B3" t="str">
            <v>Product #2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 t="str">
            <v>Product #2</v>
          </cell>
        </row>
      </sheetData>
      <sheetData sheetId="196">
        <row r="3">
          <cell r="B3">
            <v>0</v>
          </cell>
        </row>
      </sheetData>
      <sheetData sheetId="197"/>
      <sheetData sheetId="198"/>
      <sheetData sheetId="199"/>
      <sheetData sheetId="200">
        <row r="3">
          <cell r="B3">
            <v>0</v>
          </cell>
        </row>
      </sheetData>
      <sheetData sheetId="201"/>
      <sheetData sheetId="202">
        <row r="3">
          <cell r="B3">
            <v>0</v>
          </cell>
        </row>
      </sheetData>
      <sheetData sheetId="203">
        <row r="3">
          <cell r="B3">
            <v>0</v>
          </cell>
        </row>
      </sheetData>
      <sheetData sheetId="204">
        <row r="3">
          <cell r="B3" t="str">
            <v>Бренд: Premier</v>
          </cell>
        </row>
      </sheetData>
      <sheetData sheetId="205">
        <row r="3">
          <cell r="B3">
            <v>0</v>
          </cell>
        </row>
      </sheetData>
      <sheetData sheetId="206">
        <row r="3">
          <cell r="B3" t="str">
            <v>Бренд: Premier</v>
          </cell>
        </row>
      </sheetData>
      <sheetData sheetId="207"/>
      <sheetData sheetId="208">
        <row r="3">
          <cell r="B3" t="str">
            <v>Бренд: Premier</v>
          </cell>
        </row>
      </sheetData>
      <sheetData sheetId="209" refreshError="1"/>
      <sheetData sheetId="210" refreshError="1"/>
      <sheetData sheetId="211">
        <row r="3">
          <cell r="B3" t="str">
            <v>Product #2</v>
          </cell>
        </row>
      </sheetData>
      <sheetData sheetId="212">
        <row r="3">
          <cell r="B3" t="str">
            <v>Product #2</v>
          </cell>
        </row>
      </sheetData>
      <sheetData sheetId="213">
        <row r="3">
          <cell r="B3" t="str">
            <v>Product #2</v>
          </cell>
        </row>
      </sheetData>
      <sheetData sheetId="214">
        <row r="3">
          <cell r="B3" t="str">
            <v>NRA form</v>
          </cell>
        </row>
      </sheetData>
      <sheetData sheetId="215">
        <row r="3">
          <cell r="B3" t="str">
            <v>NRA form</v>
          </cell>
        </row>
      </sheetData>
      <sheetData sheetId="216">
        <row r="3">
          <cell r="B3" t="str">
            <v>NRA form</v>
          </cell>
        </row>
      </sheetData>
      <sheetData sheetId="217">
        <row r="3">
          <cell r="B3" t="str">
            <v>NRA form</v>
          </cell>
        </row>
      </sheetData>
      <sheetData sheetId="218">
        <row r="3">
          <cell r="B3" t="str">
            <v>NRA form</v>
          </cell>
        </row>
      </sheetData>
      <sheetData sheetId="219">
        <row r="3">
          <cell r="B3" t="str">
            <v>NRA form</v>
          </cell>
        </row>
      </sheetData>
      <sheetData sheetId="220"/>
      <sheetData sheetId="221"/>
      <sheetData sheetId="222"/>
      <sheetData sheetId="223" refreshError="1"/>
      <sheetData sheetId="224" refreshError="1"/>
      <sheetData sheetId="225">
        <row r="3">
          <cell r="B3" t="str">
            <v>Бренд: Premier</v>
          </cell>
        </row>
      </sheetData>
      <sheetData sheetId="226" refreshError="1"/>
      <sheetData sheetId="227"/>
      <sheetData sheetId="228" refreshError="1"/>
      <sheetData sheetId="229" refreshError="1"/>
      <sheetData sheetId="230">
        <row r="3">
          <cell r="B3">
            <v>0</v>
          </cell>
        </row>
      </sheetData>
      <sheetData sheetId="231"/>
      <sheetData sheetId="232"/>
      <sheetData sheetId="233">
        <row r="1">
          <cell r="BO1">
            <v>0</v>
          </cell>
        </row>
      </sheetData>
      <sheetData sheetId="234">
        <row r="1">
          <cell r="BO1">
            <v>0</v>
          </cell>
        </row>
      </sheetData>
      <sheetData sheetId="235">
        <row r="3">
          <cell r="B3">
            <v>0</v>
          </cell>
        </row>
      </sheetData>
      <sheetData sheetId="236">
        <row r="1">
          <cell r="BO1">
            <v>0</v>
          </cell>
        </row>
      </sheetData>
      <sheetData sheetId="237">
        <row r="1">
          <cell r="BO1">
            <v>0</v>
          </cell>
        </row>
      </sheetData>
      <sheetData sheetId="238">
        <row r="1">
          <cell r="BO1">
            <v>0</v>
          </cell>
        </row>
      </sheetData>
      <sheetData sheetId="239">
        <row r="1">
          <cell r="BO1">
            <v>0</v>
          </cell>
        </row>
      </sheetData>
      <sheetData sheetId="240" refreshError="1"/>
      <sheetData sheetId="241">
        <row r="1">
          <cell r="BO1">
            <v>0</v>
          </cell>
        </row>
      </sheetData>
      <sheetData sheetId="242">
        <row r="1">
          <cell r="BO1">
            <v>0</v>
          </cell>
        </row>
      </sheetData>
      <sheetData sheetId="243">
        <row r="3">
          <cell r="B3">
            <v>0</v>
          </cell>
        </row>
      </sheetData>
      <sheetData sheetId="244">
        <row r="3">
          <cell r="B3" t="str">
            <v>ЗАПОЛНИТЬ</v>
          </cell>
        </row>
      </sheetData>
      <sheetData sheetId="245"/>
      <sheetData sheetId="246">
        <row r="1">
          <cell r="BO1">
            <v>0</v>
          </cell>
        </row>
      </sheetData>
      <sheetData sheetId="247">
        <row r="1">
          <cell r="BO1">
            <v>0</v>
          </cell>
        </row>
      </sheetData>
      <sheetData sheetId="248">
        <row r="3">
          <cell r="B3">
            <v>0</v>
          </cell>
        </row>
      </sheetData>
      <sheetData sheetId="249">
        <row r="3">
          <cell r="B3" t="str">
            <v>ЗАПОЛНИТЬ</v>
          </cell>
        </row>
      </sheetData>
      <sheetData sheetId="250"/>
      <sheetData sheetId="251">
        <row r="1">
          <cell r="BO1">
            <v>0</v>
          </cell>
        </row>
      </sheetData>
      <sheetData sheetId="252">
        <row r="1">
          <cell r="BO1">
            <v>0</v>
          </cell>
        </row>
      </sheetData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>
        <row r="21">
          <cell r="C21">
            <v>0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97QUAR"/>
      <sheetName val="DATI"/>
      <sheetName val="OT97QUAR.XLS"/>
      <sheetName val="Grafici Prodotto"/>
      <sheetName val="Grafici Prodotto GRP Alti"/>
      <sheetName val="Modulo1"/>
      <sheetName val="TITOLO"/>
      <sheetName val="TARGET  "/>
      <sheetName val="planning"/>
      <sheetName val="radio comm.li"/>
      <sheetName val="Report Resume"/>
      <sheetName val="Planning Mobile cpm"/>
      <sheetName val="Planning Display cpc"/>
      <sheetName val="Planning SEM"/>
      <sheetName val="Planning Display cpv"/>
      <sheetName val="Planning Videoseeding"/>
      <sheetName val="Planning DEM cpl"/>
      <sheetName val="Foglio1"/>
      <sheetName val="Foglio2"/>
      <sheetName val="Foglio3"/>
      <sheetName val="Foglio4"/>
      <sheetName val="Foglio5"/>
      <sheetName val="radioa rai"/>
      <sheetName val="Form per RDA"/>
      <sheetName val="\@\CIA_ROME_NT_1\DATA\BLU_RM\A-"/>
      <sheetName val="\C\@\CIA_ROME_NT_1\DATA\BLU_RM\"/>
      <sheetName val="Grafici_Prodotto"/>
      <sheetName val="Grafici_Prodotto_GRP_Alti"/>
      <sheetName val="\\CIA_ROME_NT_1\DATA\BLU_RM\A-B"/>
      <sheetName val="\Users\ccojoc01\AppData\Local\M"/>
      <sheetName val="InputSheet"/>
      <sheetName val="\\server.umg\Users\Emes\Downloa"/>
      <sheetName val="madre"/>
      <sheetName val="Società"/>
      <sheetName val="Peer"/>
      <sheetName val="28.9"/>
      <sheetName val="Grafici_Prodotto1"/>
      <sheetName val="Grafici_Prodotto_GRP_Alti1"/>
      <sheetName val="OT97QUAR_XLS"/>
      <sheetName val="TARGET__"/>
      <sheetName val="radio_comm_li"/>
      <sheetName val="Report_Resume"/>
      <sheetName val="Planning_Mobile_cpm"/>
      <sheetName val="Planning_Display_cpc"/>
      <sheetName val="Planning_SEM"/>
      <sheetName val="Planning_Display_cpv"/>
      <sheetName val="Planning_Videoseeding"/>
      <sheetName val="Planning_DEM_cpl"/>
      <sheetName val="radioa_rai"/>
      <sheetName val="Form_per_RDA"/>
      <sheetName val="Grafici_Prodotto2"/>
      <sheetName val="Grafici_Prodotto_GRP_Alti2"/>
      <sheetName val="OT97QUAR_XLS1"/>
      <sheetName val="TARGET__1"/>
      <sheetName val="radio_comm_li1"/>
      <sheetName val="Report_Resume1"/>
      <sheetName val="Planning_Mobile_cpm1"/>
      <sheetName val="Planning_Display_cpc1"/>
      <sheetName val="Planning_SEM1"/>
      <sheetName val="Planning_Display_cpv1"/>
      <sheetName val="Planning_Videoseeding1"/>
      <sheetName val="Planning_DEM_cpl1"/>
      <sheetName val="radioa_rai1"/>
      <sheetName val="Form_per_RDA1"/>
      <sheetName val="Grafici_Prodotto3"/>
      <sheetName val="Grafici_Prodotto_GRP_Alti3"/>
      <sheetName val="OT97QUAR_XLS2"/>
      <sheetName val="TARGET__2"/>
      <sheetName val="radio_comm_li2"/>
      <sheetName val="Report_Resume2"/>
      <sheetName val="Planning_Mobile_cpm2"/>
      <sheetName val="Planning_Display_cpc2"/>
      <sheetName val="Planning_SEM2"/>
      <sheetName val="Planning_Display_cpv2"/>
      <sheetName val="Planning_Videoseeding2"/>
      <sheetName val="Planning_DEM_cpl2"/>
      <sheetName val="radioa_rai2"/>
      <sheetName val="Form_per_RDA2"/>
      <sheetName val="Grafici_Prodotto5"/>
      <sheetName val="Grafici_Prodotto_GRP_Alti5"/>
      <sheetName val="OT97QUAR_XLS4"/>
      <sheetName val="TARGET__4"/>
      <sheetName val="radio_comm_li4"/>
      <sheetName val="Report_Resume4"/>
      <sheetName val="Planning_Mobile_cpm4"/>
      <sheetName val="Planning_Display_cpc4"/>
      <sheetName val="Planning_SEM4"/>
      <sheetName val="Planning_Display_cpv4"/>
      <sheetName val="Planning_Videoseeding4"/>
      <sheetName val="Planning_DEM_cpl4"/>
      <sheetName val="radioa_rai4"/>
      <sheetName val="Form_per_RDA4"/>
      <sheetName val="Grafici_Prodotto4"/>
      <sheetName val="Grafici_Prodotto_GRP_Alti4"/>
      <sheetName val="OT97QUAR_XLS3"/>
      <sheetName val="TARGET__3"/>
      <sheetName val="radio_comm_li3"/>
      <sheetName val="Report_Resume3"/>
      <sheetName val="Planning_Mobile_cpm3"/>
      <sheetName val="Planning_Display_cpc3"/>
      <sheetName val="Planning_SEM3"/>
      <sheetName val="Planning_Display_cpv3"/>
      <sheetName val="Planning_Videoseeding3"/>
      <sheetName val="Planning_DEM_cpl3"/>
      <sheetName val="radioa_rai3"/>
      <sheetName val="Form_per_RDA3"/>
      <sheetName val="Grafici_Prodotto6"/>
      <sheetName val="Grafici_Prodotto_GRP_Alti6"/>
      <sheetName val="OT97QUAR_XLS5"/>
      <sheetName val="TARGET__5"/>
      <sheetName val="radio_comm_li5"/>
      <sheetName val="Report_Resume5"/>
      <sheetName val="Planning_Mobile_cpm5"/>
      <sheetName val="Planning_Display_cpc5"/>
      <sheetName val="Planning_SEM5"/>
      <sheetName val="Planning_Display_cpv5"/>
      <sheetName val="Planning_Videoseeding5"/>
      <sheetName val="Planning_DEM_cpl5"/>
      <sheetName val="radioa_rai5"/>
      <sheetName val="Form_per_RDA5"/>
      <sheetName val="Grafici_Prodotto7"/>
      <sheetName val="Grafici_Prodotto_GRP_Alti7"/>
      <sheetName val="OT97QUAR_XLS6"/>
      <sheetName val="TARGET__6"/>
      <sheetName val="radio_comm_li6"/>
      <sheetName val="Report_Resume6"/>
      <sheetName val="Planning_Mobile_cpm6"/>
      <sheetName val="Planning_Display_cpc6"/>
      <sheetName val="Planning_SEM6"/>
      <sheetName val="Planning_Display_cpv6"/>
      <sheetName val="Planning_Videoseeding6"/>
      <sheetName val="Planning_DEM_cpl6"/>
      <sheetName val="radioa_rai6"/>
      <sheetName val="Form_per_RDA6"/>
      <sheetName val="Grafici_Prodotto8"/>
      <sheetName val="Grafici_Prodotto_GRP_Alti8"/>
      <sheetName val="OT97QUAR_XLS7"/>
      <sheetName val="TARGET__7"/>
      <sheetName val="radio_comm_li7"/>
      <sheetName val="Report_Resume7"/>
      <sheetName val="Planning_Mobile_cpm7"/>
      <sheetName val="Planning_Display_cpc7"/>
      <sheetName val="Planning_SEM7"/>
      <sheetName val="Planning_Display_cpv7"/>
      <sheetName val="Planning_Videoseeding7"/>
      <sheetName val="Planning_DEM_cpl7"/>
      <sheetName val="radioa_rai7"/>
      <sheetName val="Form_per_RDA7"/>
      <sheetName val="Grafici_Prodotto9"/>
      <sheetName val="Grafici_Prodotto_GRP_Alti9"/>
      <sheetName val="OT97QUAR_XLS8"/>
      <sheetName val="TARGET__8"/>
      <sheetName val="radio_comm_li8"/>
      <sheetName val="Report_Resume8"/>
      <sheetName val="Planning_Mobile_cpm8"/>
      <sheetName val="Planning_Display_cpc8"/>
      <sheetName val="Planning_SEM8"/>
      <sheetName val="Planning_Display_cpv8"/>
      <sheetName val="Planning_Videoseeding8"/>
      <sheetName val="Planning_DEM_cpl8"/>
      <sheetName val="radioa_rai8"/>
      <sheetName val="Form_per_RDA8"/>
      <sheetName val="\\APSGAPFS02\Public$\Users\ccoj"/>
      <sheetName val="Grafici_Prodotto10"/>
      <sheetName val="Grafici_Prodotto_GRP_Alti10"/>
      <sheetName val="OT97QUAR_XLS9"/>
      <sheetName val="TARGET__9"/>
      <sheetName val="radio_comm_li9"/>
      <sheetName val="Report_Resume9"/>
      <sheetName val="Planning_Mobile_cpm9"/>
      <sheetName val="Planning_Display_cpc9"/>
      <sheetName val="Planning_SEM9"/>
      <sheetName val="Planning_Display_cpv9"/>
      <sheetName val="Planning_Videoseeding9"/>
      <sheetName val="Planning_DEM_cpl9"/>
      <sheetName val="radioa_rai9"/>
      <sheetName val="Form_per_RDA9"/>
      <sheetName val="Grafici_Prodotto11"/>
      <sheetName val="Grafici_Prodotto_GRP_Alti11"/>
      <sheetName val="OT97QUAR_XLS10"/>
      <sheetName val="TARGET__10"/>
      <sheetName val="radio_comm_li10"/>
      <sheetName val="Report_Resume10"/>
      <sheetName val="Planning_Mobile_cpm10"/>
      <sheetName val="Planning_Display_cpc10"/>
      <sheetName val="Planning_SEM10"/>
      <sheetName val="Planning_Display_cpv10"/>
      <sheetName val="Planning_Videoseeding10"/>
      <sheetName val="Planning_DEM_cpl10"/>
      <sheetName val="radioa_rai10"/>
      <sheetName val="Form_per_RDA10"/>
      <sheetName val="\\etno03\condivisa vittoria\BLU"/>
      <sheetName val="Grafici_Prodotto12"/>
      <sheetName val="Grafici_Prodotto_GRP_Alti12"/>
      <sheetName val="OT97QUAR_XLS11"/>
      <sheetName val="TARGET__11"/>
      <sheetName val="radio_comm_li11"/>
      <sheetName val="Report_Resume11"/>
      <sheetName val="Planning_Mobile_cpm11"/>
      <sheetName val="Planning_Display_cpc11"/>
      <sheetName val="Planning_SEM11"/>
      <sheetName val="Planning_Display_cpv11"/>
      <sheetName val="Planning_Videoseeding11"/>
      <sheetName val="Planning_DEM_cpl11"/>
      <sheetName val="radioa_rai11"/>
      <sheetName val="Form_per_RDA11"/>
      <sheetName val="Grafici_Prodotto13"/>
      <sheetName val="Grafici_Prodotto_GRP_Alti13"/>
      <sheetName val="OT97QUAR_XLS12"/>
      <sheetName val="TARGET__12"/>
      <sheetName val="radio_comm_li12"/>
      <sheetName val="Report_Resume12"/>
      <sheetName val="Planning_Mobile_cpm12"/>
      <sheetName val="Planning_Display_cpc12"/>
      <sheetName val="Planning_SEM12"/>
      <sheetName val="Planning_Display_cpv12"/>
      <sheetName val="Planning_Videoseeding12"/>
      <sheetName val="Planning_DEM_cpl12"/>
      <sheetName val="radioa_rai12"/>
      <sheetName val="Form_per_RDA12"/>
      <sheetName val="Grafici_Prodotto14"/>
      <sheetName val="Grafici_Prodotto_GRP_Alti14"/>
      <sheetName val="OT97QUAR_XLS13"/>
      <sheetName val="TARGET__13"/>
      <sheetName val="radio_comm_li13"/>
      <sheetName val="Report_Resume13"/>
      <sheetName val="Planning_Mobile_cpm13"/>
      <sheetName val="Planning_Display_cpc13"/>
      <sheetName val="Planning_SEM13"/>
      <sheetName val="Planning_Display_cpv13"/>
      <sheetName val="Planning_Videoseeding13"/>
      <sheetName val="Planning_DEM_cpl13"/>
      <sheetName val="radioa_rai13"/>
      <sheetName val="Form_per_RDA13"/>
      <sheetName val="Grafici_Prodotto15"/>
      <sheetName val="Grafici_Prodotto_GRP_Alti15"/>
      <sheetName val="OT97QUAR_XLS14"/>
      <sheetName val="TARGET__14"/>
      <sheetName val="radio_comm_li14"/>
      <sheetName val="Report_Resume14"/>
      <sheetName val="Planning_Mobile_cpm14"/>
      <sheetName val="Planning_Display_cpc14"/>
      <sheetName val="Planning_SEM14"/>
      <sheetName val="Planning_Display_cpv14"/>
      <sheetName val="Planning_Videoseeding14"/>
      <sheetName val="Planning_DEM_cpl14"/>
      <sheetName val="radioa_rai14"/>
      <sheetName val="Form_per_RDA14"/>
      <sheetName val="\\etno03\condivisa_vittoria\BLU"/>
      <sheetName val="Grafici_Prodotto16"/>
      <sheetName val="Grafici_Prodotto_GRP_Alti16"/>
      <sheetName val="OT97QUAR_XLS15"/>
      <sheetName val="TARGET__15"/>
      <sheetName val="radio_comm_li15"/>
      <sheetName val="Report_Resume15"/>
      <sheetName val="Planning_Mobile_cpm15"/>
      <sheetName val="Planning_Display_cpc15"/>
      <sheetName val="Planning_SEM15"/>
      <sheetName val="Planning_Display_cpv15"/>
      <sheetName val="Planning_Videoseeding15"/>
      <sheetName val="Planning_DEM_cpl15"/>
      <sheetName val="radioa_rai15"/>
      <sheetName val="Form_per_RDA15"/>
      <sheetName val="\\etno03\condivisa_vittoria\BL1"/>
      <sheetName val="\\MIL-FPS39\clientimec$\Users\s"/>
      <sheetName val="\Users\bruno.baty\AppData\Local"/>
      <sheetName val="[OT97QUAR.XLS][OT97QUAR.XLS]\@\"/>
      <sheetName val="[OT97QUAR.XLS][OT97QUAR.XLS]\C\"/>
      <sheetName val="[OT97QUAR.XLS][OT97QUAR.XLS]\\C"/>
      <sheetName val="[OT97QUAR.XLS][OT97QUAR.XLS]\Us"/>
      <sheetName val="[OT97QUAR.XLS][OT97QUAR.XLS]\\A"/>
      <sheetName val="[OT97QUAR.XLS][OT97QUAR.XLS]\\s"/>
      <sheetName val="[OT97QUAR.XLS][OT97QUAR.XLS]\\e"/>
      <sheetName val="[OT97QUAR.XLS][OT97QUAR.XLS]\\M"/>
      <sheetName val="[OT97QUAR.XLS][OT97QUAR.XLS][OT"/>
      <sheetName val="\Users\kunleAdebayo\Downloads\C"/>
      <sheetName val="Grafici_Prodotto17"/>
      <sheetName val="Grafici_Prodotto_GRP_Alti17"/>
      <sheetName val="OT97QUAR_XLS16"/>
      <sheetName val="TARGET__16"/>
      <sheetName val="radio_comm_li16"/>
      <sheetName val="Report_Resume16"/>
      <sheetName val="Planning_Mobile_cpm16"/>
      <sheetName val="Planning_Display_cpc16"/>
      <sheetName val="Planning_SEM16"/>
      <sheetName val="Planning_Display_cpv16"/>
      <sheetName val="Planning_Videoseeding16"/>
      <sheetName val="Planning_DEM_cpl16"/>
      <sheetName val="radioa_rai16"/>
      <sheetName val="Form_per_RDA16"/>
      <sheetName val="28_9"/>
      <sheetName val="\\etno03\condivisa_vittoria\BL2"/>
      <sheetName val="[OT97QUAR.XLS]__myoffice_acce_2"/>
      <sheetName val="SitesVermarkter"/>
      <sheetName val="\BLU_RM\A-BLU_RM\SAGIT\QFF\QFF_"/>
      <sheetName val="[OT97QUAR.XLS]\@\CIA_ROME_NT_1\"/>
      <sheetName val="[OT97QUAR.XLS]\C\@\CIA_ROME_NT_"/>
      <sheetName val="[OT97QUAR.XLS]\\CIA_ROME_NT_1\D"/>
      <sheetName val="[OT97QUAR.XLS]\Users\ccojoc01\A"/>
      <sheetName val="[OT97QUAR.XLS]\\APSGAPFS02\Publ"/>
      <sheetName val="[OT97QUAR.XLS]\\server.umg\User"/>
      <sheetName val="[OT97QUAR.XLS]\\etno03\condivis"/>
      <sheetName val="[OT97QUAR.XLS]\\MIL-FPS39\clien"/>
      <sheetName val="[OT97QUAR.XLS]\Users\bruno.baty"/>
      <sheetName val="[OT97QUAR.XLS]\Users\kunleAdeba"/>
      <sheetName val="[OT97QUAR.XLS]//myoffice.accent"/>
      <sheetName val="[OT97QUAR.XLS]\BLU_RM\A-BLU_RM\"/>
      <sheetName val="[OT97QUAR.XLS]__myoffice_acce_3"/>
      <sheetName val="[OT97QUAR.XLS]__myoffice_acce_4"/>
      <sheetName val="[OT97QUAR.XLS]__myoffice_acce_5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[OT97QUAR.XLS]__myoffice_acce_6"/>
      <sheetName val="[OT97QUAR.XLS]__myoffice_acce_7"/>
      <sheetName val="[OT97QUAR.XLS]__myoffice_acc_21"/>
      <sheetName val="[OT97QUAR.XLS]__myoffice_acce_8"/>
      <sheetName val="[OT97QUAR.XLS]__myoffice_acc_13"/>
      <sheetName val="[OT97QUAR.XLS]__myoffice_acc_11"/>
      <sheetName val="[OT97QUAR.XLS]__myoffice_acce_9"/>
      <sheetName val="[OT97QUAR.XLS]__myoffice_acc_10"/>
      <sheetName val="[OT97QUAR.XLS]__myoffice_acc_12"/>
      <sheetName val="[OT97QUAR.XLS]__myoffice_acc_14"/>
      <sheetName val="[OT97QUAR.XLS]__myoffice_acc_17"/>
      <sheetName val="[OT97QUAR.XLS]__myoffice_acc_15"/>
      <sheetName val="[OT97QUAR.XLS]__myoffice_acc_16"/>
      <sheetName val="[OT97QUAR.XLS]__myoffice_acc_18"/>
      <sheetName val="[OT97QUAR.XLS]__myoffice_acc_19"/>
      <sheetName val="[OT97QUAR.XLS]__myoffice_acc_20"/>
      <sheetName val="[OT97QUAR.XLS]__myoffice_acc_23"/>
      <sheetName val="[OT97QUAR.XLS]__myoffice_acc_22"/>
      <sheetName val="[OT97QUAR.XLS]__myoffice_acc_25"/>
      <sheetName val="[OT97QUAR.XLS]__myoffice_acc_24"/>
      <sheetName val="[OT97QUAR.XLS]__myoffice_acc_28"/>
      <sheetName val="[OT97QUAR.XLS]__myoffice_acc_26"/>
      <sheetName val="[OT97QUAR.XLS]__myoffice_acc_27"/>
      <sheetName val="[OT97QUAR.XLS]__myoffice_acc_29"/>
      <sheetName val="[OT97QUAR.XLS]__myoffice_acc_31"/>
      <sheetName val="[OT97QUAR.XLS]__myoffice_acc_30"/>
      <sheetName val="[OT97QUAR.XLS]__myoffice_acc_32"/>
      <sheetName val="[OT97QUAR.XLS]__myoffice_acc_33"/>
      <sheetName val="[OT97QUAR.XLS]__myoffice_acc_34"/>
      <sheetName val="[OT97QUAR.XLS]__myoffice_acc_35"/>
      <sheetName val="[OT97QUAR.XLS]__myoffice_acc_36"/>
      <sheetName val="[OT97QUAR.XLS]__myoffice_acc_37"/>
      <sheetName val="[OT97QUAR.XLS]__myoffice_acc_39"/>
      <sheetName val="[OT97QUAR.XLS]__myoffice_acc_38"/>
      <sheetName val="[OT97QUAR.XLS]__myoffice_acc_40"/>
      <sheetName val="[OT97QUAR.XLS]__myoffice_acc_41"/>
      <sheetName val="[OT97QUAR.XLS]__myoffice_acc_42"/>
      <sheetName val="[OT97QUAR.XLS]__myoffice_acc_43"/>
      <sheetName val="[OT97QUAR.XLS]__myoffice_acc_44"/>
      <sheetName val="[OT97QUAR.XLS]__myoffice_acc_45"/>
      <sheetName val="[OT97QUAR.XLS]__myoffice_acc_46"/>
      <sheetName val="[OT97QUAR.XLS]__myoffice_acc_47"/>
      <sheetName val="[OT97QUAR.XLS]__myoffice_acc_48"/>
      <sheetName val="Grafici_Prodotto18"/>
      <sheetName val="Grafici_Prodotto_GRP_Alti18"/>
      <sheetName val="OT97QUAR_XLS17"/>
      <sheetName val="TARGET__17"/>
      <sheetName val="radio_comm_li17"/>
      <sheetName val="Report_Resume17"/>
      <sheetName val="Planning_Mobile_cpm17"/>
      <sheetName val="Planning_Display_cpc17"/>
      <sheetName val="Planning_SEM17"/>
      <sheetName val="Planning_Display_cpv17"/>
      <sheetName val="Planning_Videoseeding17"/>
      <sheetName val="Planning_DEM_cpl17"/>
      <sheetName val="radioa_rai17"/>
      <sheetName val="Form_per_RDA17"/>
      <sheetName val="\\etno03\condivisa_vittoria\BL3"/>
      <sheetName val="28_91"/>
      <sheetName val="\\server_umg\Users\Emes\Downloa"/>
      <sheetName val="\Users\bruno_baty\AppData\Local"/>
      <sheetName val="[OT97QUAR_XLS][OT97QUAR_XLS]\@\"/>
      <sheetName val="[OT97QUAR_XLS][OT97QUAR_XLS]\C\"/>
      <sheetName val="[OT97QUAR_XLS][OT97QUAR_XLS]\\C"/>
      <sheetName val="[OT97QUAR_XLS][OT97QUAR_XLS]\Us"/>
      <sheetName val="[OT97QUAR_XLS][OT97QUAR_XLS]\\A"/>
      <sheetName val="[OT97QUAR_XLS][OT97QUAR_XLS]\\s"/>
      <sheetName val="[OT97QUAR_XLS][OT97QUAR_XLS]\\e"/>
      <sheetName val="[OT97QUAR_XLS][OT97QUAR_XLS]\\M"/>
      <sheetName val="[OT97QUAR_XLS][OT97QUAR_XLS][OT"/>
      <sheetName val="//myoffice_accenture_com/Users/"/>
      <sheetName val="Grafici_Prodotto19"/>
      <sheetName val="Grafici_Prodotto_GRP_Alti19"/>
      <sheetName val="OT97QUAR_XLS18"/>
      <sheetName val="TARGET__18"/>
      <sheetName val="radio_comm_li18"/>
      <sheetName val="Report_Resume18"/>
      <sheetName val="Planning_Mobile_cpm18"/>
      <sheetName val="Planning_Display_cpc18"/>
      <sheetName val="Planning_SEM18"/>
      <sheetName val="Planning_Display_cpv18"/>
      <sheetName val="Planning_Videoseeding18"/>
      <sheetName val="Planning_DEM_cpl18"/>
      <sheetName val="radioa_rai18"/>
      <sheetName val="Form_per_RDA18"/>
      <sheetName val="\\etno03\condivisa_vittoria\BL4"/>
      <sheetName val="28_92"/>
      <sheetName val="\\server_umg\Users\Emes\Downlo1"/>
      <sheetName val="\Users\bruno_baty\AppData\Loca1"/>
      <sheetName val="[OT97QUAR_XLS][OT97QUAR_XLS]\@1"/>
      <sheetName val="[OT97QUAR_XLS][OT97QUAR_XLS]\C1"/>
      <sheetName val="[OT97QUAR_XLS][OT97QUAR_XLS]\\1"/>
      <sheetName val="[OT97QUAR_XLS][OT97QUAR_XLS]\U1"/>
      <sheetName val="[OT97QUAR_XLS][OT97QUAR_XLS]\\2"/>
      <sheetName val="[OT97QUAR_XLS][OT97QUAR_XLS]\\3"/>
      <sheetName val="[OT97QUAR_XLS][OT97QUAR_XLS]\\4"/>
      <sheetName val="[OT97QUAR_XLS][OT97QUAR_XLS]\\5"/>
      <sheetName val="[OT97QUAR_XLS][OT97QUAR_XLS][O1"/>
      <sheetName val="//myoffice_accenture_com/Users1"/>
      <sheetName val="COPERTINA"/>
      <sheetName val="[OT97QUAR.XLS]__myoffice_acc_49"/>
      <sheetName val="[OT97QUAR.XLS]__myoffice_acc_73"/>
      <sheetName val="MediaPlan Naming Convention"/>
      <sheetName val="MEDIAMOB WHISTELIST"/>
      <sheetName val="PBU WHITELIST VOL"/>
      <sheetName val="PBU WITHELIST DISPLAY"/>
      <sheetName val="PBU VOL"/>
      <sheetName val="TDominio"/>
      <sheetName val="[OT97QUAR.XLS]__unilever_my__31"/>
      <sheetName val="[OT97QUAR.XLS][OT97QUAR.XLS]\BL"/>
      <sheetName val=" FOCUS"/>
      <sheetName val="DONNE"/>
      <sheetName val="PUB"/>
      <sheetName val="RAI"/>
      <sheetName val="[OT97QUAR.XLS]__unilever_my_s_2"/>
      <sheetName val="[OT97QUAR.XLS]__unilever_my_s_3"/>
      <sheetName val="[OT97QUAR.XLS]__unilever_my_s_4"/>
      <sheetName val="[OT97QUAR.XLS]__myoffice_acc_59"/>
      <sheetName val="[OT97QUAR.XLS]__unilever_my__22"/>
      <sheetName val="[OT97QUAR.XLS]__unilever_my_s_5"/>
      <sheetName val="[OT97QUAR.XLS]__unilever_my_s_6"/>
      <sheetName val="[OT97QUAR.XLS]__unilever_my__10"/>
      <sheetName val="[OT97QUAR.XLS]__unilever_my_s_7"/>
      <sheetName val="[OT97QUAR.XLS]__unilever_my_s_8"/>
      <sheetName val="[OT97QUAR.XLS]__unilever_my_s_9"/>
      <sheetName val="[OT97QUAR.XLS]__unilever_my__16"/>
      <sheetName val="[OT97QUAR.XLS]__unilever_my__15"/>
      <sheetName val="[OT97QUAR.XLS]__unilever_my__14"/>
      <sheetName val="[OT97QUAR.XLS]__unilever_my__13"/>
      <sheetName val="[OT97QUAR.XLS]__unilever_my__11"/>
      <sheetName val="[OT97QUAR.XLS]__unilever_my__12"/>
      <sheetName val="[OT97QUAR.XLS]__unilever_my__17"/>
      <sheetName val="[OT97QUAR.XLS]__myoffice_acc_50"/>
      <sheetName val="[OT97QUAR.XLS]__myoffice_acc_53"/>
      <sheetName val="[OT97QUAR.XLS]__myoffice_acc_51"/>
      <sheetName val="[OT97QUAR.XLS]__myoffice_acc_52"/>
      <sheetName val="[OT97QUAR.XLS]__myoffice_acc_54"/>
      <sheetName val="[OT97QUAR.XLS]__myoffice_acc_57"/>
      <sheetName val="[OT97QUAR.XLS]__unilever_my__20"/>
      <sheetName val="[OT97QUAR.XLS]__myoffice_acc_55"/>
      <sheetName val="[OT97QUAR.XLS]__unilever_my__18"/>
      <sheetName val="[OT97QUAR.XLS]__myoffice_acc_56"/>
      <sheetName val="[OT97QUAR.XLS]__unilever_my__19"/>
      <sheetName val="[OT97QUAR.XLS]__myoffice_acc_58"/>
      <sheetName val="[OT97QUAR.XLS]__unilever_my__21"/>
      <sheetName val="[OT97QUAR.XLS]__myoffice_acc_60"/>
      <sheetName val="[OT97QUAR.XLS]__unilever_my__23"/>
      <sheetName val="[OT97QUAR.XLS]__myoffice_acc_61"/>
      <sheetName val="[OT97QUAR.XLS]__myoffice_acc_62"/>
      <sheetName val="[OT97QUAR.XLS]__unilever_my__25"/>
      <sheetName val="[OT97QUAR.XLS]__unilever_my__24"/>
      <sheetName val="[OT97QUAR.XLS]__myoffice_acc_63"/>
      <sheetName val="[OT97QUAR.XLS]__unilever_my__26"/>
      <sheetName val="[OT97QUAR.XLS]__myoffice_acc_64"/>
      <sheetName val="[OT97QUAR.XLS]__unilever_my__27"/>
      <sheetName val="[OT97QUAR.XLS]__myoffice_acc_66"/>
      <sheetName val="[OT97QUAR.XLS]__myoffice_acc_65"/>
      <sheetName val="[OT97QUAR.XLS]__myoffice_acc_67"/>
      <sheetName val="[OT97QUAR.XLS]__myoffice_acc_68"/>
      <sheetName val="[OT97QUAR.XLS]__myoffice_acc_69"/>
      <sheetName val="[OT97QUAR.XLS]__myoffice_acc_71"/>
      <sheetName val="[OT97QUAR.XLS]__unilever_my__29"/>
      <sheetName val="[OT97QUAR.XLS]__myoffice_acc_70"/>
      <sheetName val="[OT97QUAR.XLS]__unilever_my__28"/>
      <sheetName val="[OT97QUAR.XLS]__myoffice_acc_72"/>
      <sheetName val="[OT97QUAR.XLS]__unilever_my__30"/>
      <sheetName val="[OT97QUAR.XLS]__myoffice_acc_74"/>
      <sheetName val="[OT97QUAR.XLS]__unilever_my__32"/>
      <sheetName val="[OT97QUAR.XLS]__myoffice_acc_78"/>
      <sheetName val="[OT97QUAR.XLS]__myoffice_acc_75"/>
      <sheetName val="[OT97QUAR.XLS]__unilever_my__33"/>
      <sheetName val="[OT97QUAR.XLS]__myoffice_acc_76"/>
      <sheetName val="[OT97QUAR.XLS]__myoffice_acc_77"/>
      <sheetName val="[OT97QUAR.XLS]__unilever_my__34"/>
      <sheetName val="[OT97QUAR.XLS]__myoffice_acc_80"/>
      <sheetName val="[OT97QUAR.XLS]__myoffice_acc_79"/>
      <sheetName val="[OT97QUAR.XLS]__myoffice_acc_81"/>
      <sheetName val="[OT97QUAR.XLS]__unilever_my__36"/>
      <sheetName val="[OT97QUAR.XLS]__unilever_my__35"/>
      <sheetName val="[OT97QUAR.XLS]__myoffice_acc_82"/>
      <sheetName val="[OT97QUAR.XLS]__unilever_my__38"/>
      <sheetName val="[OT97QUAR.XLS]__unilever_my__37"/>
      <sheetName val="[OT97QUAR.XLS]__myoffice_acc_83"/>
      <sheetName val="[OT97QUAR.XLS]__unilever_my__39"/>
      <sheetName val="[OT97QUAR.XLS]__myoffice_acc_86"/>
      <sheetName val="[OT97QUAR.XLS]__myoffice_acc_84"/>
      <sheetName val="[OT97QUAR.XLS]__myoffice_acc_85"/>
      <sheetName val="[OT97QUAR.XLS]__myoffice_acc_87"/>
      <sheetName val="[OT97QUAR.XLS]__unilever_my__40"/>
      <sheetName val="[OT97QUAR.XLS]__myoffice_acc_92"/>
      <sheetName val="[OT97QUAR.XLS]__unilever_my__48"/>
      <sheetName val="[OT97QUAR.XLS]__unilever_my__41"/>
      <sheetName val="[OT97QUAR.XLS]__myoffice_acc_88"/>
      <sheetName val="[OT97QUAR.XLS]__unilever_my__44"/>
      <sheetName val="[OT97QUAR.XLS]__unilever_my__42"/>
      <sheetName val="[OT97QUAR.XLS]__unilever_my__43"/>
      <sheetName val="[OT97QUAR.XLS]__myoffice_acc_89"/>
      <sheetName val="[OT97QUAR.XLS]__unilever_my__45"/>
      <sheetName val="[OT97QUAR.XLS]__myoffice_acc_90"/>
      <sheetName val="[OT97QUAR.XLS]__unilever_my__46"/>
      <sheetName val="[OT97QUAR.XLS]__myoffice_acc_91"/>
      <sheetName val="[OT97QUAR.XLS]__unilever_my__47"/>
      <sheetName val="[OT97QUAR.XLS]__myoffice_acc_93"/>
      <sheetName val="[OT97QUAR.XLS]__myoffice_acc_94"/>
      <sheetName val="[OT97QUAR.XLS]__myoffice_acc_96"/>
      <sheetName val="[OT97QUAR.XLS]__myoffice_acc_95"/>
      <sheetName val="[OT97QUAR.XLS]__myoffice_acc_97"/>
      <sheetName val="[OT97QUAR.XLS]__myoffice_acc_99"/>
      <sheetName val="[OT97QUAR.XLS]__myoffice_acc_98"/>
      <sheetName val="[OT97QUAR.XLS]__myoffice_ac_100"/>
      <sheetName val="[OT97QUAR.XLS]__myoffice_ac_101"/>
      <sheetName val="[OT97QUAR.XLS]__myoffice_ac_102"/>
      <sheetName val="[OT97QUAR.XLS]__myoffice_ac_103"/>
      <sheetName val="[OT97QUAR.XLS]__myoffice_ac_131"/>
      <sheetName val="[OT97QUAR.XLS]__unilever_my__85"/>
      <sheetName val="[OT97QUAR.XLS]__unilever_my__49"/>
      <sheetName val="[OT97QUAR.XLS]__unilever_my__51"/>
      <sheetName val="[OT97QUAR.XLS]__unilever_my__50"/>
      <sheetName val="[OT97QUAR.XLS]__unilever_my__53"/>
      <sheetName val="[OT97QUAR.XLS]__unilever_my__52"/>
      <sheetName val="[OT97QUAR.XLS]__unilever_my__54"/>
      <sheetName val="[OT97QUAR.XLS]__unilever_my__57"/>
      <sheetName val="[OT97QUAR.XLS]__unilever_my__56"/>
      <sheetName val="[OT97QUAR.XLS]__unilever_my__55"/>
      <sheetName val="[OT97QUAR.XLS]__myoffice_ac_104"/>
      <sheetName val="[OT97QUAR.XLS]__unilever_my__59"/>
      <sheetName val="[OT97QUAR.XLS]__unilever_my__58"/>
      <sheetName val="[OT97QUAR.XLS]__myoffice_ac_105"/>
      <sheetName val="[OT97QUAR.XLS]__unilever_my__60"/>
      <sheetName val="[OT97QUAR.XLS]__myoffice_ac_107"/>
      <sheetName val="[OT97QUAR.XLS]__unilever_my__62"/>
      <sheetName val="[OT97QUAR.XLS]__myoffice_ac_106"/>
      <sheetName val="[OT97QUAR.XLS]__unilever_my__61"/>
      <sheetName val="[OT97QUAR.XLS]__myoffice_ac_110"/>
      <sheetName val="[OT97QUAR.XLS]__unilever_my__64"/>
      <sheetName val="[OT97QUAR.XLS]__myoffice_ac_108"/>
      <sheetName val="[OT97QUAR.XLS]__unilever_my__63"/>
      <sheetName val="[OT97QUAR.XLS]__myoffice_ac_109"/>
      <sheetName val="[OT97QUAR.XLS]__myoffice_ac_111"/>
      <sheetName val="[OT97QUAR.XLS]__myoffice_ac_118"/>
      <sheetName val="[OT97QUAR.XLS]__unilever_my__65"/>
      <sheetName val="[OT97QUAR.XLS]__myoffice_ac_113"/>
      <sheetName val="[OT97QUAR.XLS]__unilever_my__67"/>
      <sheetName val="[OT97QUAR.XLS]__myoffice_ac_112"/>
      <sheetName val="[OT97QUAR.XLS]__unilever_my__66"/>
      <sheetName val="[OT97QUAR.XLS]__myoffice_ac_114"/>
      <sheetName val="[OT97QUAR.XLS]__unilever_my__68"/>
      <sheetName val="[OT97QUAR.XLS]__myoffice_ac_115"/>
      <sheetName val="[OT97QUAR.XLS]__unilever_my__69"/>
      <sheetName val="[OT97QUAR.XLS]__myoffice_ac_116"/>
      <sheetName val="[OT97QUAR.XLS]__myoffice_ac_117"/>
      <sheetName val="[OT97QUAR.XLS]__myoffice_ac_119"/>
      <sheetName val="[OT97QUAR.XLS]__unilever_my__70"/>
      <sheetName val="[OT97QUAR.XLS]__myoffice_ac_121"/>
      <sheetName val="[OT97QUAR.XLS]__unilever_my__72"/>
      <sheetName val="[OT97QUAR.XLS]__myoffice_ac_120"/>
      <sheetName val="[OT97QUAR.XLS]__unilever_my__71"/>
      <sheetName val="[OT97QUAR.XLS]__unilever_my__73"/>
      <sheetName val="[OT97QUAR.XLS]__unilever_my__74"/>
      <sheetName val="[OT97QUAR.XLS]__unilever_my__75"/>
      <sheetName val="[OT97QUAR.XLS]__myoffice_ac_124"/>
      <sheetName val="[OT97QUAR.XLS]__unilever_my__78"/>
      <sheetName val="[OT97QUAR.XLS]__myoffice_ac_122"/>
      <sheetName val="[OT97QUAR.XLS]__unilever_my__76"/>
      <sheetName val="[OT97QUAR.XLS]__myoffice_ac_123"/>
      <sheetName val="[OT97QUAR.XLS]__unilever_my__77"/>
      <sheetName val="[OT97QUAR.XLS]__myoffice_ac_125"/>
      <sheetName val="[OT97QUAR.XLS]__unilever_my__79"/>
      <sheetName val="[OT97QUAR.XLS]__myoffice_ac_126"/>
      <sheetName val="[OT97QUAR.XLS]__unilever_my__80"/>
      <sheetName val="[OT97QUAR.XLS]__myoffice_ac_127"/>
      <sheetName val="[OT97QUAR.XLS]__unilever_my__81"/>
      <sheetName val="[OT97QUAR.XLS]__myoffice_ac_130"/>
      <sheetName val="[OT97QUAR.XLS]__unilever_my__84"/>
      <sheetName val="[OT97QUAR.XLS]__myoffice_ac_129"/>
      <sheetName val="[OT97QUAR.XLS]__unilever_my__83"/>
      <sheetName val="[OT97QUAR.XLS]__myoffice_ac_128"/>
      <sheetName val="[OT97QUAR.XLS]__unilever_my__82"/>
      <sheetName val="[OT97QUAR.XLS]__myoffice_ac_132"/>
      <sheetName val="[OT97QUAR.XLS]__unilever_my__86"/>
      <sheetName val="[OT97QUAR.XLS]__myoffice_ac_133"/>
      <sheetName val="[OT97QUAR.XLS]__unilever_my__87"/>
      <sheetName val="[OT97QUAR.XLS]__myoffice_ac_134"/>
      <sheetName val="[OT97QUAR.XLS]__unilever_my__88"/>
      <sheetName val="[OT97QUAR.XLS]__myoffice_ac_135"/>
      <sheetName val="[OT97QUAR.XLS]__unilever_my__89"/>
      <sheetName val="[OT97QUAR.XLS]__myoffice_ac_137"/>
      <sheetName val="[OT97QUAR.XLS]__unilever_my__91"/>
      <sheetName val="[OT97QUAR.XLS]__myoffice_ac_136"/>
      <sheetName val="[OT97QUAR.XLS]__unilever_my__90"/>
      <sheetName val="[OT97QUAR.XLS]__myoffice_ac_138"/>
      <sheetName val="[OT97QUAR.XLS]__unilever_my__92"/>
      <sheetName val="[OT97QUAR.XLS]__myoffice_ac_141"/>
      <sheetName val="[OT97QUAR.XLS]__unilever_my__95"/>
      <sheetName val="[OT97QUAR.XLS]__myoffice_ac_140"/>
      <sheetName val="[OT97QUAR.XLS]__unilever_my__94"/>
      <sheetName val="[OT97QUAR.XLS]__myoffice_ac_139"/>
      <sheetName val="[OT97QUAR.XLS]__unilever_my__93"/>
      <sheetName val="[OT97QUAR.XLS]__myoffice_ac_142"/>
      <sheetName val="[OT97QUAR.XLS]__unilever_my__96"/>
      <sheetName val="[OT97QUAR.XLS]__myoffice_ac_147"/>
      <sheetName val="[OT97QUAR.XLS]__unilever_my_101"/>
      <sheetName val="[OT97QUAR.XLS]__myoffice_ac_143"/>
      <sheetName val="[OT97QUAR.XLS]__unilever_my__97"/>
      <sheetName val="[OT97QUAR.XLS]__myoffice_ac_144"/>
      <sheetName val="[OT97QUAR.XLS]__unilever_my__98"/>
      <sheetName val="[OT97QUAR.XLS]__myoffice_ac_145"/>
      <sheetName val="[OT97QUAR.XLS]__unilever_my__99"/>
      <sheetName val="[OT97QUAR.XLS]__myoffice_ac_146"/>
      <sheetName val="[OT97QUAR.XLS]__unilever_my_100"/>
      <sheetName val="[OT97QUAR.XLS]__myoffice_ac_148"/>
      <sheetName val="[OT97QUAR.XLS]__myoffice_ac_149"/>
      <sheetName val="//globalappsportal-my.sharepoin"/>
      <sheetName val="[OT97QUAR.XLS]__myoffice_ac_150"/>
      <sheetName val="[OT97QUAR.XLS]__myoffice_ac_163"/>
      <sheetName val="[OT97QUAR.XLS]__unilever_my_133"/>
      <sheetName val="[OT97QUAR.XLS]__unilever_my_102"/>
      <sheetName val="[OT97QUAR.XLS]__unilever_my_103"/>
      <sheetName val="[OT97QUAR.XLS]__myoffice_ac_151"/>
      <sheetName val="[OT97QUAR.XLS]__unilever_my_105"/>
      <sheetName val="[OT97QUAR.XLS]__unilever_my_104"/>
      <sheetName val="[OT97QUAR.XLS]__myoffice_ac_152"/>
      <sheetName val="[OT97QUAR.XLS]__unilever_my_106"/>
      <sheetName val="[OT97QUAR.XLS]__myoffice_ac_155"/>
      <sheetName val="[OT97QUAR.XLS]__unilever_my_109"/>
      <sheetName val="[OT97QUAR.XLS]__myoffice_ac_154"/>
      <sheetName val="[OT97QUAR.XLS]__unilever_my_108"/>
      <sheetName val="[OT97QUAR.XLS]__myoffice_ac_153"/>
      <sheetName val="[OT97QUAR.XLS]__unilever_my_107"/>
      <sheetName val="[OT97QUAR.XLS]__unilever_my_125"/>
      <sheetName val="/CIA_ROME_NT_1/DATA/BLU_RM/A-BL"/>
      <sheetName val="[OT97QUAR.XLS]__unilever_my_110"/>
      <sheetName val="[OT97QUAR.XLS]__unilever_my_112"/>
      <sheetName val="[OT97QUAR.XLS]__unilever_my_111"/>
      <sheetName val="[OT97QUAR.XLS]__unilever_my_113"/>
      <sheetName val="[OT97QUAR.XLS]__unilever_my_117"/>
      <sheetName val="[OT97QUAR.XLS]__unilever_my_114"/>
      <sheetName val="[OT97QUAR.XLS]__unilever_my_115"/>
      <sheetName val="[OT97QUAR.XLS]__unilever_my_116"/>
      <sheetName val="[OT97QUAR.XLS]__unilever_my_118"/>
      <sheetName val="[OT97QUAR.XLS]__unilever_my_119"/>
      <sheetName val="[OT97QUAR.XLS]__unilever_my_120"/>
      <sheetName val="[OT97QUAR.XLS]__unilever_my_121"/>
      <sheetName val="[OT97QUAR.XLS]__unilever_my_123"/>
      <sheetName val="[OT97QUAR.XLS]__unilever_my_122"/>
      <sheetName val="[OT97QUAR.XLS]__unilever_my_124"/>
      <sheetName val="[OT97QUAR.XLS]__myoffice_ac_156"/>
      <sheetName val="[OT97QUAR.XLS]__unilever_my_126"/>
      <sheetName val="[OT97QUAR.XLS]__myoffice_ac_157"/>
      <sheetName val="[OT97QUAR.XLS]__unilever_my_127"/>
      <sheetName val="[OT97QUAR.XLS]__myoffice_ac_159"/>
      <sheetName val="[OT97QUAR.XLS]__unilever_my_129"/>
      <sheetName val="[OT97QUAR.XLS]__myoffice_ac_158"/>
      <sheetName val="[OT97QUAR.XLS]__unilever_my_128"/>
      <sheetName val="[OT97QUAR.XLS]__myoffice_ac_161"/>
      <sheetName val="[OT97QUAR.XLS]__unilever_my_131"/>
      <sheetName val="[OT97QUAR.XLS]__myoffice_ac_160"/>
      <sheetName val="[OT97QUAR.XLS]__unilever_my_130"/>
      <sheetName val="[OT97QUAR.XLS]__myoffice_ac_162"/>
      <sheetName val="[OT97QUAR.XLS]__unilever_my_132"/>
      <sheetName val="_@_CIA_ROME_NT_1_DATA_BLU_RM_A-"/>
      <sheetName val="_C_@_CIA_ROME_NT_1_DATA_BLU_RM_"/>
      <sheetName val="__CIA_ROME_NT_1_DATA_BLU_RM_A-B"/>
      <sheetName val="_Users_ccojoc01_AppData_Local_M"/>
      <sheetName val="__APSGAPFS02_Public$_Users_ccoj"/>
      <sheetName val="__etno03_condivisa vittoria_BLU"/>
      <sheetName val="[OT97QUAR.XLS]__myoffice_ac_164"/>
      <sheetName val="[OT97QUAR.XLS]__unilever_my_134"/>
      <sheetName val="[OT97QUAR.XLS]__myoffice_ac_173"/>
      <sheetName val="[OT97QUAR.XLS]__unilever_my_143"/>
      <sheetName val="[OT97QUAR.XLS]__myoffice_ac_172"/>
      <sheetName val="[OT97QUAR.XLS]__unilever_my_142"/>
      <sheetName val="[OT97QUAR.XLS]__myoffice_ac_165"/>
      <sheetName val="[OT97QUAR.XLS]__unilever_my_135"/>
      <sheetName val="[OT97QUAR.XLS]__myoffice_ac_166"/>
      <sheetName val="[OT97QUAR.XLS]__unilever_my_136"/>
      <sheetName val="[OT97QUAR.XLS]__myoffice_ac_167"/>
      <sheetName val="[OT97QUAR.XLS]__unilever_my_137"/>
      <sheetName val="[OT97QUAR.XLS]__myoffice_ac_168"/>
      <sheetName val="[OT97QUAR.XLS]__unilever_my_138"/>
      <sheetName val="[OT97QUAR.XLS]__myoffice_ac_169"/>
      <sheetName val="[OT97QUAR.XLS]__unilever_my_139"/>
      <sheetName val="[OT97QUAR.XLS]__myoffice_ac_170"/>
      <sheetName val="[OT97QUAR.XLS]__unilever_my_140"/>
      <sheetName val="[OT97QUAR.XLS]__myoffice_ac_171"/>
      <sheetName val="[OT97QUAR.XLS]__unilever_my_141"/>
      <sheetName val="[OT97QUAR.XLS]__myoffice_ac_174"/>
      <sheetName val="[OT97QUAR.XLS]__unilever_my_144"/>
      <sheetName val="[OT97QUAR.XLS]__myoffice_ac_175"/>
      <sheetName val="[OT97QUAR.XLS]__unilever_my_145"/>
      <sheetName val="[OT97QUAR.XLS]__myoffice_ac_189"/>
      <sheetName val="[OT97QUAR.XLS]__unilever_my_159"/>
      <sheetName val="[OT97QUAR.XLS]__myoffice_ac_176"/>
      <sheetName val="[OT97QUAR.XLS]__unilever_my_146"/>
      <sheetName val="[OT97QUAR.XLS]__myoffice_ac_177"/>
      <sheetName val="[OT97QUAR.XLS]__unilever_my_147"/>
      <sheetName val="[OT97QUAR.XLS]__myoffice_ac_178"/>
      <sheetName val="[OT97QUAR.XLS]__unilever_my_148"/>
      <sheetName val="[OT97QUAR.XLS]__myoffice_ac_179"/>
      <sheetName val="[OT97QUAR.XLS]__unilever_my_149"/>
      <sheetName val="[OT97QUAR.XLS]__myoffice_ac_180"/>
      <sheetName val="[OT97QUAR.XLS]__unilever_my_150"/>
      <sheetName val="[OT97QUAR.XLS]__myoffice_ac_181"/>
      <sheetName val="[OT97QUAR.XLS]__unilever_my_151"/>
      <sheetName val="[OT97QUAR.XLS]__myoffice_ac_182"/>
      <sheetName val="[OT97QUAR.XLS]__unilever_my_152"/>
      <sheetName val="[OT97QUAR.XLS]__myoffice_ac_183"/>
      <sheetName val="[OT97QUAR.XLS]__unilever_my_153"/>
      <sheetName val="[OT97QUAR.XLS]__myoffice_ac_185"/>
      <sheetName val="[OT97QUAR.XLS]__unilever_my_155"/>
      <sheetName val="[OT97QUAR.XLS]__myoffice_ac_184"/>
      <sheetName val="[OT97QUAR.XLS]__unilever_my_154"/>
      <sheetName val="[OT97QUAR.XLS]__myoffice_ac_187"/>
      <sheetName val="[OT97QUAR.XLS]__unilever_my_157"/>
      <sheetName val="[OT97QUAR.XLS]__myoffice_ac_186"/>
      <sheetName val="[OT97QUAR.XLS]__unilever_my_156"/>
      <sheetName val="[OT97QUAR.XLS]__myoffice_ac_188"/>
      <sheetName val="[OT97QUAR.XLS]__unilever_my_158"/>
      <sheetName val="[OT97QUAR.XLS]__myoffice_ac_191"/>
      <sheetName val="[OT97QUAR.XLS]__unilever_my_161"/>
      <sheetName val="[OT97QUAR.XLS]__myoffice_ac_190"/>
      <sheetName val="[OT97QUAR.XLS]__unilever_my_160"/>
      <sheetName val="[OT97QUAR.XLS]__myoffice_ac_192"/>
      <sheetName val="[OT97QUAR.XLS]__unilever_my_162"/>
      <sheetName val="[OT97QUAR.XLS]__myoffice_ac_193"/>
      <sheetName val="[OT97QUAR.XLS]__unilever_my_163"/>
      <sheetName val="[OT97QUAR.XLS]__myoffice_ac_194"/>
      <sheetName val="[OT97QUAR.XLS]__unilever_my_164"/>
      <sheetName val="[OT97QUAR.XLS]__myoffice_ac_195"/>
      <sheetName val="[OT97QUAR.XLS]__unilever_my_165"/>
      <sheetName val="[OT97QUAR.XLS]__myoffice_ac_196"/>
      <sheetName val="[OT97QUAR.XLS]__unilever_my_166"/>
      <sheetName val="[OT97QUAR.XLS]__myoffice_ac_197"/>
      <sheetName val="[OT97QUAR.XLS]__unilever_my_167"/>
      <sheetName val="[OT97QUAR.XLS]__myoffice_ac_198"/>
      <sheetName val="__server.umg_Users_Emes_Downloa"/>
      <sheetName val="[OT97QUAR.XLS]__myoffice_ac_199"/>
      <sheetName val="[OT97QUAR.XLS]__myoffice_ac_200"/>
      <sheetName val="[OT97QUAR.XLS]__myoffice_ac_201"/>
      <sheetName val="[OT97QUAR.XLS]__myoffice_ac_202"/>
      <sheetName val="[OT97QUAR.XLS]__unilever_my_169"/>
      <sheetName val="[OT97QUAR.XLS]__unilever_my_168"/>
      <sheetName val="[OT97QUAR.XLS]__unilever_my_170"/>
      <sheetName val="[OT97QUAR.XLS]__unilever_my_171"/>
      <sheetName val="[OT97QUAR.XLS]__unilever_my_172"/>
      <sheetName val="[OT97QUAR.XLS]__myoffice_ac_203"/>
      <sheetName val="[OT97QUAR.XLS]__unilever_my_173"/>
      <sheetName val="[OT97QUAR.XLS]__myoffice_ac_204"/>
      <sheetName val="[OT97QUAR.XLS]__unilever_my_174"/>
      <sheetName val="[OT97QUAR.XLS]__myoffice_ac_205"/>
      <sheetName val="[OT97QUAR.XLS]__unilever_my_175"/>
      <sheetName val="[OT97QUAR.XLS]__myoffice_ac_210"/>
      <sheetName val="[OT97QUAR.XLS]__unilever_my_180"/>
      <sheetName val="[OT97QUAR.XLS]__myoffice_ac_206"/>
      <sheetName val="[OT97QUAR.XLS]__unilever_my_176"/>
      <sheetName val="[OT97QUAR.XLS]__myoffice_ac_207"/>
      <sheetName val="[OT97QUAR.XLS]__unilever_my_177"/>
      <sheetName val="[OT97QUAR.XLS]__myoffice_ac_208"/>
      <sheetName val="[OT97QUAR.XLS]__unilever_my_178"/>
      <sheetName val="[OT97QUAR.XLS]__myoffice_ac_209"/>
      <sheetName val="[OT97QUAR.XLS]__unilever_my_179"/>
      <sheetName val="[OT97QUAR.XLS]__myoffice_ac_214"/>
      <sheetName val="[OT97QUAR.XLS]__unilever_my_184"/>
      <sheetName val="[OT97QUAR.XLS]__myoffice_ac_211"/>
      <sheetName val="[OT97QUAR.XLS]__unilever_my_181"/>
      <sheetName val="[OT97QUAR.XLS]__myoffice_ac_212"/>
      <sheetName val="[OT97QUAR.XLS]__unilever_my_182"/>
      <sheetName val="[OT97QUAR.XLS]__myoffice_ac_213"/>
      <sheetName val="[OT97QUAR.XLS]__unilever_my_183"/>
      <sheetName val="[OT97QUAR.XLS]__myoffice_ac_215"/>
      <sheetName val="[OT97QUAR.XLS]__unilever_my_185"/>
      <sheetName val="[OT97QUAR.XLS]__myoffice_ac_216"/>
      <sheetName val="[OT97QUAR.XLS]__unilever_my_186"/>
      <sheetName val="[OT97QUAR.XLS]__myoffice_ac_217"/>
      <sheetName val="[OT97QUAR.XLS]__unilever_my_187"/>
      <sheetName val="[OT97QUAR.XLS]__myoffice_ac_218"/>
      <sheetName val="[OT97QUAR.XLS]__unilever_my_188"/>
      <sheetName val="[OT97QUAR.XLS]__myoffice_ac_219"/>
      <sheetName val="[OT97QUAR.XLS]__unilever_my_189"/>
      <sheetName val="[OT97QUAR.XLS]__myoffice_ac_232"/>
      <sheetName val="[OT97QUAR.XLS]__unilever_my_202"/>
      <sheetName val="[OT97QUAR.XLS]__myoffice_ac_220"/>
      <sheetName val="[OT97QUAR.XLS]__unilever_my_190"/>
      <sheetName val="[OT97QUAR.XLS]__myoffice_ac_221"/>
      <sheetName val="[OT97QUAR.XLS]__unilever_my_191"/>
      <sheetName val="[OT97QUAR.XLS]__myoffice_ac_223"/>
      <sheetName val="[OT97QUAR.XLS]__unilever_my_193"/>
      <sheetName val="[OT97QUAR.XLS]__myoffice_ac_222"/>
      <sheetName val="[OT97QUAR.XLS]__unilever_my_192"/>
      <sheetName val="[OT97QUAR.XLS]__myoffice_ac_224"/>
      <sheetName val="[OT97QUAR.XLS]__unilever_my_194"/>
      <sheetName val="[OT97QUAR.XLS]__myoffice_ac_225"/>
      <sheetName val="[OT97QUAR.XLS]__unilever_my_195"/>
      <sheetName val="[OT97QUAR.XLS]__myoffice_ac_226"/>
      <sheetName val="[OT97QUAR.XLS]__unilever_my_196"/>
      <sheetName val="[OT97QUAR.XLS]___CIA_ROME_NT__2"/>
      <sheetName val="[OT97QUAR.XLS]_C___CIA_ROME_N_2"/>
      <sheetName val="[OT97QUAR.XLS]__CIA_ROME_NT_1_2"/>
      <sheetName val="[OT97QUAR.XLS]_Users_ccojoc01_2"/>
      <sheetName val="[OT97QUAR.XLS]__APSGAPFS02_Pu_2"/>
      <sheetName val="[OT97QUAR.XLS]__etno03_condiv_2"/>
      <sheetName val="[OT97QUAR.XLS]__etno03_condiv_3"/>
      <sheetName val="[OT97QUAR.XLS]__etno03_condiv_4"/>
      <sheetName val="[OT97QUAR.XLS]__MIL_FPS39_cli_2"/>
      <sheetName val="[OT97QUAR.XLS]__server_umg_Us_2"/>
      <sheetName val="[OT97QUAR.XLS]_Users_bruno_ba_2"/>
      <sheetName val="[OT97QUAR.XLS][OT97QUAR.XLS]__2"/>
      <sheetName val="[OT97QUAR.XLS][OT97QUAR.XLS]__3"/>
      <sheetName val="[OT97QUAR.XLS][OT97QUAR.XLS]__4"/>
      <sheetName val="[OT97QUAR.XLS][OT97QUAR.XLS]__5"/>
      <sheetName val="[OT97QUAR.XLS][OT97QUAR.XLS]__6"/>
      <sheetName val="[OT97QUAR.XLS][OT97QUAR.XLS]__7"/>
      <sheetName val="[OT97QUAR.XLS][OT97QUAR.XLS]__8"/>
      <sheetName val="[OT97QUAR.XLS][OT97QUAR.XLS]__9"/>
      <sheetName val="[OT97QUAR.XLS]_Users_kunleAde_2"/>
      <sheetName val="[OT97QUAR.XLS]__etno03_condiv_5"/>
      <sheetName val="BASE DATI REPORT_WM"/>
      <sheetName val="matrixvars"/>
      <sheetName val="[OT97QUAR.XLS]__myoffice_ac_227"/>
      <sheetName val="[OT97QUAR.XLS]__unilever_my_197"/>
      <sheetName val="[OT97QUAR.XLS]__myoffice_ac_228"/>
      <sheetName val="[OT97QUAR.XLS]__unilever_my_198"/>
      <sheetName val="[OT97QUAR.XLS]__myoffice_ac_230"/>
      <sheetName val="[OT97QUAR.XLS]__unilever_my_200"/>
      <sheetName val="[OT97QUAR.XLS]__myoffice_ac_229"/>
      <sheetName val="[OT97QUAR.XLS]__unilever_my_199"/>
      <sheetName val="[OT97QUAR.XLS]__myoffice_ac_231"/>
      <sheetName val="[OT97QUAR.XLS]__unilever_my_201"/>
      <sheetName val="[OT97QUAR.XLS]__myoffice_ac_234"/>
      <sheetName val="[OT97QUAR.XLS]__unilever_my_204"/>
      <sheetName val="[OT97QUAR.XLS]__myoffice_ac_233"/>
      <sheetName val="[OT97QUAR.XLS]__unilever_my_203"/>
      <sheetName val="[OT97QUAR.XLS]__myoffice_ac_235"/>
      <sheetName val="[OT97QUAR.XLS]__unilever_my_205"/>
      <sheetName val="[OT97QUAR.XLS]__myoffice_ac_236"/>
      <sheetName val="[OT97QUAR.XLS]__unilever_my_206"/>
      <sheetName val="[OT97QUAR.XLS]__myoffice_ac_237"/>
      <sheetName val="[OT97QUAR.XLS]__unilever_my_207"/>
      <sheetName val="[OT97QUAR.XLS]__myoffice_ac_238"/>
      <sheetName val="[OT97QUAR.XLS]__unilever_my_208"/>
    </sheetNames>
    <definedNames>
      <definedName name="Alti"/>
      <definedName name="normal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EMA RMB"/>
      <sheetName val="TOTALE CINEMA"/>
      <sheetName val="CINEMA SIPRA"/>
      <sheetName val="CINEMA OPUS"/>
      <sheetName val="lettera superato"/>
      <sheetName val="lettera conferma SIPRA"/>
      <sheetName val="Cinema solo listino"/>
      <sheetName val="Conto Economico.xls"/>
      <sheetName val="OT97QUAR"/>
      <sheetName val="Conto Economico"/>
      <sheetName val="DATI"/>
      <sheetName val="Conto%20Economico.xls"/>
      <sheetName val="CY2017 AOP Rates "/>
      <sheetName val="anarev"/>
      <sheetName val="l_Oreal 2008"/>
      <sheetName val="TOTALE_CINEMA"/>
      <sheetName val="CINEMA_RMB"/>
      <sheetName val="CINEMA_SIPRA"/>
      <sheetName val="CINEMA_OPUS"/>
      <sheetName val="lettera_superato"/>
      <sheetName val="lettera_conferma_SIPRA"/>
      <sheetName val="Cinema_solo_listino"/>
      <sheetName val="SitesVermarkter"/>
      <sheetName val="cic 22-9 - 26-10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%20Economico_xls"/>
      <sheetName val="Conto_Economico"/>
      <sheetName val="l_Oreal_2008"/>
      <sheetName val="TOTALE_CINEMA1"/>
      <sheetName val="CINEMA_RMB1"/>
      <sheetName val="CINEMA_SIPRA1"/>
      <sheetName val="CINEMA_OPUS1"/>
      <sheetName val="lettera_superato1"/>
      <sheetName val="lettera_conferma_SIPRA1"/>
      <sheetName val="Cinema_solo_listino1"/>
      <sheetName val="Conto%20Economico_xls1"/>
      <sheetName val="Conto_Economico1"/>
      <sheetName val="l_Oreal_20081"/>
      <sheetName val="Market information"/>
      <sheetName val="PIANO GENERALE"/>
      <sheetName val="Conto Sipra"/>
      <sheetName val="Print admin"/>
      <sheetName val="R Print10"/>
      <sheetName val="R Print11"/>
      <sheetName val="R OOH10"/>
      <sheetName val="R OOH11"/>
      <sheetName val="R rad10"/>
      <sheetName val="R rad11"/>
      <sheetName val="R TV10"/>
      <sheetName val="R TV11"/>
      <sheetName val="PF RADIO "/>
      <sheetName val="08"/>
      <sheetName val="Last Year"/>
      <sheetName val="BcoDados"/>
      <sheetName val="CashFlow"/>
      <sheetName val="price list"/>
      <sheetName val="Exec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 Sipra"/>
      <sheetName val="riepilogo tv"/>
      <sheetName val="Sipra"/>
      <sheetName val="Publitalia"/>
      <sheetName val="Conto Publitalia"/>
      <sheetName val="Tmc"/>
      <sheetName val="Conto tmc"/>
      <sheetName val="Conto MTV"/>
      <sheetName val="Conto TELE+"/>
      <sheetName val="Conto STREAM"/>
      <sheetName val="Foglio1"/>
      <sheetName val="KUBIK TOTALE"/>
      <sheetName val="Prenot.Publitalia"/>
      <sheetName val="Prenot. MTV"/>
      <sheetName val="CALENDARIO"/>
      <sheetName val="Prenot.stream"/>
      <sheetName val="Prenot.TELE+"/>
      <sheetName val="ADULTI 28 - 3"/>
      <sheetName val="Focus 28 - 3"/>
      <sheetName val="kubik adulti"/>
      <sheetName val="kubik focus"/>
      <sheetName val="CINEMA RMB"/>
      <sheetName val="TV 21Gen-3Feb"/>
      <sheetName val="DATI"/>
      <sheetName val="riepilogo_tv"/>
      <sheetName val="Conto_Sipra"/>
      <sheetName val="Conto_Publitalia"/>
      <sheetName val="Conto_tmc"/>
      <sheetName val="Conto_MTV"/>
      <sheetName val="Conto_TELE+"/>
      <sheetName val="Conto_STREAM"/>
      <sheetName val="KUBIK_TOTALE"/>
      <sheetName val="Prenot_Publitalia"/>
      <sheetName val="Prenot__MTV"/>
      <sheetName val="Prenot_stream"/>
      <sheetName val="Prenot_TELE+"/>
      <sheetName val="ADULTI_28_-_3"/>
      <sheetName val="Focus_28_-_3"/>
      <sheetName val="kubik_adulti"/>
      <sheetName val="kubik_focus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GRP"/>
      <sheetName val="PIANO GENERALE"/>
      <sheetName val="Market information"/>
      <sheetName val="CINEMA_RMB"/>
      <sheetName val="TV_21Gen-3Feb"/>
      <sheetName val="riepilogo_tv1"/>
      <sheetName val="Conto_Sipra1"/>
      <sheetName val="Conto_Publitalia1"/>
      <sheetName val="Conto_tmc1"/>
      <sheetName val="Conto_MTV1"/>
      <sheetName val="Conto_TELE+1"/>
      <sheetName val="Conto_STREAM1"/>
      <sheetName val="KUBIK_TOTALE1"/>
      <sheetName val="Prenot_Publitalia1"/>
      <sheetName val="Prenot__MTV1"/>
      <sheetName val="Prenot_stream1"/>
      <sheetName val="Prenot_TELE+1"/>
      <sheetName val="ADULTI_28_-_31"/>
      <sheetName val="Focus_28_-_31"/>
      <sheetName val="kubik_adulti1"/>
      <sheetName val="kubik_focus1"/>
      <sheetName val="CINEMA_RMB1"/>
      <sheetName val="TV_21Gen-3Feb1"/>
      <sheetName val="Last Year"/>
      <sheetName val="08"/>
      <sheetName val="price list"/>
      <sheetName val="Bos"/>
      <sheetName val="Bul"/>
      <sheetName val="Rom-Ship"/>
      <sheetName val="媒体"/>
      <sheetName val="PF RADIO 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CAMPAIGN RESULTS"/>
      <sheetName val="R CURVES"/>
      <sheetName val="Campaign Accumulated  R and F"/>
      <sheetName val="CAMPAIGN AVERAGE F"/>
      <sheetName val="XLR_NoRangeSheet"/>
      <sheetName val="B"/>
      <sheetName val="Client CPP"/>
      <sheetName val="Splits"/>
      <sheetName val="Evaluation2"/>
      <sheetName val="TV spot_supplier"/>
      <sheetName val="Питер_Эспар2_30-05_07_04"/>
      <sheetName val="MediaMix"/>
      <sheetName val="Input"/>
      <sheetName val="CTC"/>
      <sheetName val="NTV"/>
      <sheetName val="ORT"/>
      <sheetName val="RenTV"/>
      <sheetName val="RTR"/>
      <sheetName val="TV6"/>
      <sheetName val="ODAPLAN_REPORT"/>
      <sheetName val="MAIL.RU"/>
      <sheetName val="Laikai rad"/>
      <sheetName val="OWNPROD LAT"/>
      <sheetName val="От Юли"/>
      <sheetName val="Payment"/>
      <sheetName val="РТР"/>
      <sheetName val="Сводная"/>
      <sheetName val="Самара-график"/>
      <sheetName val="Главный"/>
      <sheetName val="PlanSheet"/>
      <sheetName val="NIT_GRP_1.9"/>
      <sheetName val="Первый_GRP_1.9"/>
      <sheetName val="СТС_GRP_1.9"/>
      <sheetName val="Macro1"/>
      <sheetName val="Hasar Hattı"/>
      <sheetName val="Направления затрат+группа"/>
      <sheetName val="##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Sheet1"/>
      <sheetName val="Print-forms"/>
      <sheetName val="CHECK-LIST"/>
      <sheetName val="PL_Vladik"/>
      <sheetName val="Клипы (2)"/>
      <sheetName val="ОРТ"/>
      <sheetName val="СТС"/>
      <sheetName val="Питер_Эспар2_30-05_07_04.xls"/>
      <sheetName val="МАКРОС1"/>
      <sheetName val="все отчёты рук. ТМ в дирекции"/>
      <sheetName val="справочники"/>
      <sheetName val="Data"/>
      <sheetName val="Регионы"/>
      <sheetName val="Конфигурация"/>
      <sheetName val="Прайс 2007 (Тренд)"/>
      <sheetName val="International"/>
      <sheetName val="1 flight"/>
      <sheetName val="basic_data"/>
      <sheetName val="PG"/>
      <sheetName val="SAD"/>
      <sheetName val="CCS"/>
      <sheetName val="Campaign Budget Summary"/>
      <sheetName val="Vehicles"/>
      <sheetName val="Прайс"/>
      <sheetName val="Интернет"/>
      <sheetName val="Чел Европа+ от сми"/>
      <sheetName val="UKR-1"/>
      <sheetName val="Коммерческое предложение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ChanGr_cfg"/>
      <sheetName val="Cities_cfg"/>
      <sheetName val="JEUDI 24 DÉCEMBRE 1998"/>
      <sheetName val="tv spot list"/>
      <sheetName val="Расчет по Регионам"/>
      <sheetName val="Расчет"/>
      <sheetName val="Сезонка"/>
      <sheetName val="PL_B"/>
      <sheetName val="Скидки"/>
      <sheetName val="OpslagsArk"/>
      <sheetName val="TIME_SLOT,PLAN_CHANNEL_TRAIL"/>
      <sheetName val="%D0%9F%D0%B8%D1%82%D0%B5%D1%80_"/>
      <sheetName val="Feuil1"/>
      <sheetName val="PLANNED"/>
      <sheetName val="Прайс 2005"/>
      <sheetName val="100"/>
      <sheetName val="G2TempSheet"/>
      <sheetName val="Codes"/>
      <sheetName val="USD Consolidation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Прайс_2007_(Тренд)"/>
      <sheetName val="Прайс_2007_(Тренд)1"/>
      <sheetName val="plan"/>
      <sheetName val="Hidden"/>
      <sheetName val="Radio"/>
      <sheetName val="Kaynak"/>
      <sheetName val="Cinema"/>
      <sheetName val="100% ВИ"/>
      <sheetName val="E2 Brands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Ref"/>
      <sheetName val=""/>
      <sheetName val="справочник"/>
      <sheetName val="Client_CPP"/>
      <sheetName val="MAIL_RU"/>
      <sheetName val="Laikai_rad"/>
      <sheetName val="OWNPROD_LAT"/>
      <sheetName val="От_Юли"/>
      <sheetName val="Прайс_2007_(Тренд)2"/>
      <sheetName val="[Питер_Эспар2_30-05_07_04.xls]["/>
      <sheetName val="const"/>
      <sheetName val="Aging Analysis"/>
      <sheetName val="TOTAL"/>
      <sheetName val="MP 2007"/>
      <sheetName val="kz budget lc"/>
      <sheetName val="Master Data"/>
      <sheetName val="CAMPAIGN_RESULTS4"/>
      <sheetName val="R_CURVES4"/>
      <sheetName val="Campaign_Accumulated__R_and_F4"/>
      <sheetName val="CAMPAIGN_AVERAGE_F4"/>
      <sheetName val="55%_and_70%3"/>
      <sheetName val="NIT_GRP_1_92"/>
      <sheetName val="Первый_GRP_1_92"/>
      <sheetName val="СТС_GRP_1_92"/>
      <sheetName val="TV_spot_supplier4"/>
      <sheetName val="Итоги_по_каналам1"/>
      <sheetName val="1_flight"/>
      <sheetName val="Campaign_Budget_Summary"/>
      <sheetName val="Коммерческое_предложение"/>
      <sheetName val="Питер_Эспар2_30-05_07_04_xls"/>
      <sheetName val="Чел_Европа+_от_сми"/>
      <sheetName val="JEUDI_24_DÉCEMBRE_1998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Расчет_по_Регионам"/>
      <sheetName val="USD_Consolidation"/>
      <sheetName val="tv_spot_list"/>
      <sheetName val="[Питер_Эспар2_30-05_07_04.xls]\"/>
      <sheetName val="outdoor st-peter june"/>
      <sheetName val="01"/>
      <sheetName val="Calc"/>
      <sheetName val="Сдобри Новый год"/>
      <sheetName val="Считалка"/>
      <sheetName val="ID"/>
      <sheetName val="ثرسنل (2"/>
      <sheetName val="2 спец затраты-себестоимость"/>
      <sheetName val="Optimization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условия на Алма ТВ"/>
      <sheetName val="modell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tv"/>
      <sheetName val="____________2_30_05_07_04_xls_2"/>
      <sheetName val="Лист2"/>
      <sheetName val="CAMPAIGN_RESULTS5"/>
      <sheetName val="R_CURVES5"/>
      <sheetName val="Campaign_Accumulated__R_and_F5"/>
      <sheetName val="CAMPAIGN_AVERAGE_F5"/>
      <sheetName val="Client_CPP1"/>
      <sheetName val="TV_spot_supplier5"/>
      <sheetName val="MAIL_RU1"/>
      <sheetName val="Laikai_rad1"/>
      <sheetName val="OWNPROD_LAT1"/>
      <sheetName val="От_Юли1"/>
      <sheetName val="Прайс_2007_(Тренд)3"/>
      <sheetName val="NIT_GRP_1_93"/>
      <sheetName val="Первый_GRP_1_93"/>
      <sheetName val="СТС_GRP_1_93"/>
      <sheetName val="Hasar_Hattı1"/>
      <sheetName val="Направления_затрат+группа1"/>
      <sheetName val="Итоги_по_каналам2"/>
      <sheetName val="шкала_расчет1"/>
      <sheetName val="Клипы_(2)1"/>
      <sheetName val="Питер_Эспар2_30-05_07_04_xls1"/>
      <sheetName val="все_отчёты_рук__ТМ_в_дирекции1"/>
      <sheetName val="1_flight1"/>
      <sheetName val="Campaign_Budget_Summary1"/>
      <sheetName val="Чел_Европа+_от_сми1"/>
      <sheetName val="Коммерческое_предложение1"/>
      <sheetName val="55%_and_70%4"/>
      <sheetName val="JEUDI_24_DÉCEMBRE_19981"/>
      <sheetName val="tv_spot_list1"/>
      <sheetName val="Расчет_по_Регионам1"/>
      <sheetName val="Прайс_2005"/>
      <sheetName val="USD_Consolidation1"/>
      <sheetName val="E2_Brands"/>
      <sheetName val="100%_ВИ"/>
      <sheetName val="[Питер_Эспар2_30-05_07_04_xls]["/>
      <sheetName val="Aging_Analysis"/>
      <sheetName val="MP_2007"/>
      <sheetName val="kz_budget_lc"/>
      <sheetName val="Master_Data"/>
      <sheetName val="[Питер_Эспар2_30-05_07_04_xls]\"/>
      <sheetName val="outdoor_st-peter_june"/>
      <sheetName val="Сдобри_Новый_год"/>
      <sheetName val="ثرسنل_(2"/>
      <sheetName val="2_спец_затраты-себестоимость"/>
      <sheetName val="расчет_бюджетов"/>
      <sheetName val="ownprod_est"/>
      <sheetName val="ownprod_lit"/>
      <sheetName val="Divestment_Russia"/>
      <sheetName val="условия_на_Алма_ТВ"/>
      <sheetName val="Selection Screen"/>
      <sheetName val="Datos"/>
      <sheetName val="Maestr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A5" t="str">
            <v>4.2, Developer  (build 121-D5)</v>
          </cell>
        </row>
      </sheetData>
      <sheetData sheetId="5" refreshError="1">
        <row r="5">
          <cell r="A5" t="str">
            <v>4.2, Developer  (build 121-D5)</v>
          </cell>
          <cell r="B5" t="e">
            <v>#NAME?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"/>
      <sheetName val="INIZIO"/>
      <sheetName val="Macro1"/>
      <sheetName val="RIS COM"/>
      <sheetName val="Conto Sipra"/>
      <sheetName val="CINEMA RMB"/>
      <sheetName val="RIS_COM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_Sipra"/>
      <sheetName val="CINEMA_RMB"/>
      <sheetName val="RIS_COM1"/>
      <sheetName val="Conto_Sipra1"/>
      <sheetName val="CINEMA_RMB1"/>
      <sheetName val="Table"/>
      <sheetName val="PIANO GENERALE"/>
      <sheetName val="Market information"/>
      <sheetName val="N TV09"/>
      <sheetName val="R TV09"/>
      <sheetName val="R TV11"/>
      <sheetName val="I nat+reg10"/>
      <sheetName val="N nat10"/>
      <sheetName val="R nat10"/>
      <sheetName val="TV sum"/>
      <sheetName val="Rus TV MP"/>
      <sheetName val="INF keywords"/>
      <sheetName val="Calcul IC"/>
      <sheetName val="PRS Hachette"/>
      <sheetName val="DATI"/>
      <sheetName val="Labels"/>
      <sheetName val="Creative"/>
      <sheetName val="Sites"/>
      <sheetName val="Bos"/>
      <sheetName val="Bul"/>
      <sheetName val="Rom-Ship"/>
      <sheetName val="媒体"/>
      <sheetName val="MBOX TV Report 11.28 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ANO GENERALE"/>
      <sheetName val="MENU"/>
      <sheetName val="RIEPILOGO"/>
      <sheetName val="Target Srl"/>
      <sheetName val="Smafer"/>
      <sheetName val="SMA SpA."/>
      <sheetName val="S.C.I."/>
      <sheetName val="Publionda"/>
      <sheetName val="Publiflor"/>
      <sheetName val="PES Pub.Est.Spec"/>
      <sheetName val="O.P.E. Olcese P."/>
      <sheetName val="Jolly Pubblicita"/>
      <sheetName val="Ipas SpA"/>
      <sheetName val="I.M.A. SpA"/>
      <sheetName val="I.L.L.P.A. Srl"/>
      <sheetName val="Giengi Pubblic."/>
      <sheetName val="Ettore Sibilia"/>
      <sheetName val="Esotas"/>
      <sheetName val="Avip Spa"/>
      <sheetName val="Avenir Italia"/>
      <sheetName val="Alma Media It."/>
      <sheetName val="Alessi SpA"/>
      <sheetName val="Affitalia Srl"/>
      <sheetName val="A&amp;P Srl"/>
      <sheetName val="piano excel BLU 22.5 SPA"/>
      <sheetName val="piano excel BLU 22.5 SPA.XLS"/>
      <sheetName val="piano%20excel%20BLU%2022.5%20SP"/>
      <sheetName val="Conto Sipra"/>
      <sheetName val=""/>
      <sheetName val="GRP"/>
      <sheetName val="Radio 30&quot;Q1 (2)"/>
      <sheetName val="Signature"/>
      <sheetName val="Calc"/>
      <sheetName val="M_S"/>
      <sheetName val="Bos"/>
      <sheetName val="Bul"/>
      <sheetName val="Rom-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7"/>
      <sheetName val="KP_Print"/>
      <sheetName val="cost per month"/>
      <sheetName val="Kostenplan"/>
      <sheetName val="Brazil"/>
      <sheetName val="PIANO GENERALE"/>
      <sheetName val="GRP"/>
      <sheetName val="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l Mega"/>
      <sheetName val="Persil Gel"/>
      <sheetName val="Weißer Riese"/>
      <sheetName val="Spee"/>
      <sheetName val="Master Data"/>
      <sheetName val="Database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DI"/>
      <sheetName val="titolo"/>
      <sheetName val="NOTE"/>
      <sheetName val="budget"/>
      <sheetName val="CREMONA"/>
      <sheetName val="CREMA"/>
      <sheetName val="MP 2007"/>
      <sheetName val="Cover Estimator"/>
      <sheetName val="Control"/>
      <sheetName val="Variables"/>
      <sheetName val="P3"/>
      <sheetName val="STATYSTYKI"/>
      <sheetName val="Kostenplan"/>
      <sheetName val="MP 2008"/>
      <sheetName val="Display Format Definitions"/>
      <sheetName val="Instructions"/>
      <sheetName val="EmpInfo"/>
      <sheetName val="MP_2007"/>
      <sheetName val="Cover_Estimator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P NEON 2008"/>
      <sheetName val="MP NEON 2007"/>
      <sheetName val="Data CpGRP"/>
      <sheetName val="PIANO GENERALE"/>
      <sheetName val="R nat09"/>
      <sheetName val="R nat10"/>
      <sheetName val="R reg09"/>
      <sheetName val="Display_Format_Definitions"/>
      <sheetName val="MP_20071"/>
      <sheetName val="Cover_Estimator1"/>
      <sheetName val="Display_Format_Definitions1"/>
      <sheetName val="GRP"/>
      <sheetName val="R TV11"/>
      <sheetName val="drop downs"/>
      <sheetName val="Strat 1H 2008"/>
      <sheetName val="CEEMEA"/>
      <sheetName val="F&amp;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8"/>
      <sheetName val="KP_Print"/>
      <sheetName val="KP_pro Ausgabe"/>
      <sheetName val="KP_pro Monat"/>
      <sheetName val="Themenübersicht"/>
      <sheetName val="LODI"/>
      <sheetName val="MP 2007"/>
      <sheetName val="SitesVermark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E2 Brands"/>
      <sheetName val="Самара-график"/>
      <sheetName val="Сводная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XLRpt_TempSheet"/>
      <sheetName val="Главный"/>
      <sheetName val="Input"/>
      <sheetName val="TV"/>
      <sheetName val="For ALL brands (Fed TV)"/>
      <sheetName val="For ALL brands (Reg TV)"/>
      <sheetName val="For ALL Beer brands (Tem TV)"/>
      <sheetName val="Hidden"/>
      <sheetName val="Sample"/>
      <sheetName val="Свод за 2008г"/>
      <sheetName val="JEUDI 24 DÉCEMBRE 1998"/>
      <sheetName val="__"/>
      <sheetName val="January"/>
      <sheetName val="2009 сезонки"/>
      <sheetName val="schren"/>
      <sheetName val="schtv6"/>
      <sheetName val="schsts"/>
      <sheetName val="counter (4).xls"/>
      <sheetName val=" 40000035261  ТРК &quot;Петербург&quot; ("/>
      <sheetName val="XLR_NoRangeSheet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International"/>
      <sheetName val="ODAPLAN_REPORT"/>
      <sheetName val="Екатеринбург"/>
      <sheetName val=""/>
      <sheetName val="EMPL_TYPE"/>
      <sheetName val="Data Sheet"/>
      <sheetName val="6х3"/>
      <sheetName val="Города_каналы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counter%20(4).xls"/>
      <sheetName val="5 Канал"/>
      <sheetName val="Sheet1"/>
      <sheetName val="Скидки"/>
      <sheetName val="Направления затрат+группа"/>
      <sheetName val="Фед. ТВ (-)"/>
      <sheetName val="Фед. ТВ (+)"/>
      <sheetName val="MediaMix"/>
      <sheetName val=" Самара Россия"/>
      <sheetName val="Самара СТС"/>
      <sheetName val="Strat 1H 2008"/>
      <sheetName val="FRECEFECBAILEYS"/>
      <sheetName val="Shadow"/>
      <sheetName val="Расчёт"/>
      <sheetName val="counter%20(4)"/>
      <sheetName val="Тематическое ТВ"/>
      <sheetName val="Справочник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Sum"/>
      <sheetName val="Flowchart"/>
      <sheetName val="tech2"/>
      <sheetName val="words begun"/>
      <sheetName val="Лист3"/>
      <sheetName val="списки"/>
      <sheetName val="MP NEON 2008"/>
      <sheetName val="Client CPP"/>
      <sheetName val="Splits"/>
      <sheetName val="Affinity"/>
      <sheetName val="link"/>
      <sheetName val="обобщение"/>
      <sheetName val="Master Data"/>
      <sheetName val="Share Price 2002"/>
      <sheetName val="Список"/>
      <sheetName val="const"/>
      <sheetName val="MP_NEON_2008"/>
      <sheetName val="Client_CPP"/>
      <sheetName val="details"/>
      <sheetName val="B"/>
      <sheetName val="ВИМБ"/>
      <sheetName val="piano generale"/>
      <sheetName val="Лист1"/>
      <sheetName val="Лист2"/>
      <sheetName val="kz budget lc"/>
      <sheetName val="Codes"/>
    </sheetNames>
    <sheetDataSet>
      <sheetData sheetId="0">
        <row r="20">
          <cell r="I20" t="b">
            <v>0</v>
          </cell>
        </row>
      </sheetData>
      <sheetData sheetId="1" refreshError="1"/>
      <sheetData sheetId="2">
        <row r="20">
          <cell r="I20" t="b">
            <v>0</v>
          </cell>
        </row>
      </sheetData>
      <sheetData sheetId="3" refreshError="1">
        <row r="20">
          <cell r="I20" t="b">
            <v>0</v>
          </cell>
        </row>
        <row r="21">
          <cell r="I21" t="b">
            <v>0</v>
          </cell>
        </row>
        <row r="22">
          <cell r="I22" t="b">
            <v>0</v>
          </cell>
        </row>
        <row r="23">
          <cell r="I23" t="b">
            <v>0</v>
          </cell>
        </row>
        <row r="24">
          <cell r="I24" t="b">
            <v>0</v>
          </cell>
        </row>
        <row r="25">
          <cell r="I25" t="b">
            <v>0</v>
          </cell>
        </row>
        <row r="26">
          <cell r="I26" t="b">
            <v>0</v>
          </cell>
        </row>
        <row r="27">
          <cell r="I27" t="b">
            <v>0</v>
          </cell>
        </row>
        <row r="28">
          <cell r="I28" t="b">
            <v>0</v>
          </cell>
        </row>
        <row r="29">
          <cell r="I29" t="b">
            <v>0</v>
          </cell>
        </row>
        <row r="30">
          <cell r="I30" t="b">
            <v>0</v>
          </cell>
        </row>
        <row r="31">
          <cell r="I31" t="b">
            <v>0</v>
          </cell>
        </row>
        <row r="32">
          <cell r="I32" t="b">
            <v>0</v>
          </cell>
        </row>
        <row r="33">
          <cell r="I33" t="b">
            <v>0</v>
          </cell>
        </row>
        <row r="34">
          <cell r="I34" t="b">
            <v>0</v>
          </cell>
        </row>
        <row r="35">
          <cell r="I35" t="b">
            <v>0</v>
          </cell>
        </row>
        <row r="36">
          <cell r="I36" t="b">
            <v>0</v>
          </cell>
        </row>
        <row r="37">
          <cell r="I37" t="b">
            <v>0</v>
          </cell>
        </row>
        <row r="38">
          <cell r="I38" t="b">
            <v>0</v>
          </cell>
        </row>
        <row r="39">
          <cell r="I39" t="b">
            <v>0</v>
          </cell>
        </row>
        <row r="40">
          <cell r="I40" t="b">
            <v>0</v>
          </cell>
        </row>
        <row r="41">
          <cell r="I41" t="b">
            <v>0</v>
          </cell>
        </row>
        <row r="42">
          <cell r="I42" t="b">
            <v>0</v>
          </cell>
        </row>
      </sheetData>
      <sheetData sheetId="4" refreshError="1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20">
          <cell r="I20" t="b">
            <v>0</v>
          </cell>
        </row>
      </sheetData>
      <sheetData sheetId="151">
        <row r="20">
          <cell r="I20" t="b">
            <v>0</v>
          </cell>
        </row>
      </sheetData>
      <sheetData sheetId="152">
        <row r="20">
          <cell r="I20" t="b">
            <v>0</v>
          </cell>
        </row>
      </sheetData>
      <sheetData sheetId="153">
        <row r="20">
          <cell r="I20" t="b">
            <v>0</v>
          </cell>
        </row>
      </sheetData>
      <sheetData sheetId="154">
        <row r="20">
          <cell r="I20" t="b">
            <v>0</v>
          </cell>
        </row>
      </sheetData>
      <sheetData sheetId="155"/>
      <sheetData sheetId="156">
        <row r="20">
          <cell r="I20" t="b">
            <v>0</v>
          </cell>
        </row>
      </sheetData>
      <sheetData sheetId="157"/>
      <sheetData sheetId="158">
        <row r="20">
          <cell r="I20" t="b">
            <v>0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XLRpt_TempSheet"/>
      <sheetName val="##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Скидки"/>
      <sheetName val="B"/>
      <sheetName val="XLR_NoRangeSheet"/>
      <sheetName val="Client CPP"/>
      <sheetName val="Splits"/>
      <sheetName val="Итоги по каналам"/>
      <sheetName val="PLANNED"/>
      <sheetName val="справочники"/>
      <sheetName val="Estimate"/>
      <sheetName val="hiddenА"/>
      <sheetName val="Главный"/>
      <sheetName val="MediaMix"/>
      <sheetName val="\2003\Epson\PhotoPrinters\Map_M"/>
      <sheetName val="Расчет по Регионам"/>
      <sheetName val="Регионы"/>
      <sheetName val="Конфигурация"/>
      <sheetName val="Расчет"/>
      <sheetName val="Прайс 2007 (Тренд)"/>
      <sheetName val="Сезонка"/>
      <sheetName val="Print-forms"/>
      <sheetName val="Evaluation2"/>
      <sheetName val="Самара-график"/>
      <sheetName val="E2 Brands"/>
      <sheetName val="schren"/>
      <sheetName val="schtv6"/>
      <sheetName val="schsts"/>
      <sheetName val="MAP cf"/>
      <sheetName val="basic_data"/>
      <sheetName val="Macro1"/>
      <sheetName val="5 Канал"/>
      <sheetName val="Map_May_94_FSU.xls"/>
      <sheetName val="TV spot_supplie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STS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ODAPLAN_REPORT"/>
      <sheetName val="TV"/>
      <sheetName val="January"/>
      <sheetName val="1 flight"/>
      <sheetName val=" 105445  ТРК &quot;Петербург&quot; (03 ка"/>
      <sheetName val="\\storage\TV$\SIvanov\2011\Конд"/>
      <sheetName val="\F\2003\Epson\PhotoPrinters\Map"/>
      <sheetName val="formule - table"/>
      <sheetName val="DD"/>
      <sheetName val=""/>
      <sheetName val="GRAM расчеты"/>
      <sheetName val="обобщение"/>
      <sheetName val="расчет бюджетов"/>
      <sheetName val="Sayfa2"/>
      <sheetName val="Timeline (2)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Исходные данные по прогнозу"/>
      <sheetName val="FY04 fx"/>
      <sheetName val="Optionen"/>
      <sheetName val="Фед. ТВ (-)"/>
      <sheetName val="International"/>
      <sheetName val="Фед. ТВ (+)"/>
      <sheetName val="Table"/>
      <sheetName val="UKR-1"/>
      <sheetName val="campaign average f"/>
      <sheetName val="Input"/>
      <sheetName val="Прайс"/>
      <sheetName val="[Map_May_94_FSU.xls]\2003\Epson"/>
      <sheetName val="Лист2"/>
      <sheetName val="Выбор функций"/>
      <sheetName val="[Map_May_94_FSU.xls][Map_May_94"/>
      <sheetName val="[Map_May_94_FSU.xls]\\storage\T"/>
      <sheetName val="[Map_May_94_FSU.xls]\F\2003\Eps"/>
      <sheetName val="_2003_Epson_PhotoPrinters_Map_M"/>
      <sheetName val="__storage_TV$_SIvanov_2011_Конд"/>
      <sheetName val="_F_2003_Epson_PhotoPrinters_Map"/>
      <sheetName val="_Map_May_94_FSU.xls__2003_Epson"/>
      <sheetName val="Control"/>
      <sheetName val="Sheet2"/>
      <sheetName val="Tabelle1"/>
      <sheetName val="СПИСОК КАТЕГОРИЙ"/>
      <sheetName val="Sheet1"/>
      <sheetName val="Pivot"/>
      <sheetName val="Фильтр"/>
      <sheetName val="01.2011-12.2019"/>
      <sheetName val="[Map_May_94_FSU.xls]_2003_Eps_2"/>
      <sheetName val="[Map_May_94_FSU.xls]__storage_2"/>
      <sheetName val="[Map_May_94_FSU.xls]_F_2003_E_2"/>
      <sheetName val="5_Канал1"/>
      <sheetName val="DIMANCHE_28_MAI_2000_COND1"/>
      <sheetName val="Расчет_по_Регионам1"/>
      <sheetName val="Итоги_по_каналам1"/>
      <sheetName val="Прайс_2007_(Тренд)1"/>
      <sheetName val="E2_Brands2"/>
      <sheetName val="MAP_cf1"/>
      <sheetName val="Map_May_94_FSU_xls1"/>
      <sheetName val="Исходные_данные_по_прогнозу"/>
      <sheetName val="Data_Sheet1"/>
      <sheetName val="_105445__ТРК_&quot;Петербург&quot;_(03_к1"/>
      <sheetName val="formule_-_table1"/>
      <sheetName val="1_flight1"/>
      <sheetName val="Client_CPP"/>
      <sheetName val="TV_spot_supplier"/>
      <sheetName val="ОСНОВНАЯ_ТАБЛИЦА"/>
      <sheetName val="Направления_затрат+группа"/>
      <sheetName val="Monitor_Q2"/>
      <sheetName val="Timeline_(2)"/>
      <sheetName val="GRAM_расчеты"/>
      <sheetName val="расчет_бюджетов"/>
      <sheetName val="FY04_fx"/>
      <sheetName val="campaign_average_f"/>
      <sheetName val="[Map_May_94_FSU_xls]\2003\Epson"/>
      <sheetName val="Фед__ТВ_(-)"/>
      <sheetName val="Фед__ТВ_(+)"/>
      <sheetName val="Справочник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Список площадок"/>
      <sheetName val="Media plan"/>
      <sheetName val="[Map_May_94_FSU.xls]_Map_May__2"/>
      <sheetName val="[Map_May_94_FSU.xls]_Map_May__3"/>
      <sheetName val="[Map_May_94_FSU.xls]_Map_May__4"/>
      <sheetName val="Base"/>
      <sheetName val="TNS2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plan-gaz1"/>
      <sheetName val="для аудитора"/>
      <sheetName val="_Map_May_94_FSU.xls__Map_May_94"/>
    </sheetNames>
    <sheetDataSet>
      <sheetData sheetId="0" refreshError="1"/>
      <sheetData sheetId="1" refreshError="1">
        <row r="6">
          <cell r="B6" t="str">
            <v>C:\EAGIS\map.bmp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6">
          <cell r="B6" t="str">
            <v>? РЕКЛАМОДАТЕЛЬ 34-90-09 (ТОМСК); IROBOT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>
        <row r="6">
          <cell r="B6" t="str">
            <v>COMPETITORS BRANDS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6">
          <cell r="B6" t="str">
            <v>COMPETITORS BRANDS</v>
          </cell>
        </row>
      </sheetData>
      <sheetData sheetId="136"/>
      <sheetData sheetId="137"/>
      <sheetData sheetId="138"/>
      <sheetData sheetId="139"/>
      <sheetData sheetId="140" refreshError="1"/>
      <sheetData sheetId="141">
        <row r="6">
          <cell r="B6" t="str">
            <v>COMPETITORS BRANDS</v>
          </cell>
        </row>
      </sheetData>
      <sheetData sheetId="142"/>
      <sheetData sheetId="143" refreshError="1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7"/>
      <sheetName val="KP_Print"/>
      <sheetName val="KP_proAusgabe"/>
      <sheetName val="MP NEON 2008"/>
      <sheetName val="MP07_NEON_Plan18"/>
      <sheetName val="MP07_NEON_Plan18.xls"/>
      <sheetName val="Media plan"/>
      <sheetName val="Team"/>
      <sheetName val="Instructions"/>
      <sheetName val="define table"/>
      <sheetName val="Data CpGRP"/>
      <sheetName val="LO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BL"/>
      <sheetName val="E1449"/>
      <sheetName val="Data CpGRP"/>
      <sheetName val="MP NEON 2007"/>
      <sheetName val="MA_BL"/>
      <sheetName val="Team"/>
      <sheetName val="GRP"/>
      <sheetName val="LODI"/>
      <sheetName val="Incentives MBR"/>
      <sheetName val="Makro1"/>
      <sheetName val="#REF"/>
      <sheetName val="Köprü"/>
      <sheetName val="kategoriler"/>
      <sheetName val="tanımlar"/>
      <sheetName val="12"/>
      <sheetName val="Sch#13"/>
      <sheetName val="Source-DO NOT ADJUST"/>
      <sheetName val="Laikai rad"/>
      <sheetName val="FW-Kurse"/>
      <sheetName val="Evaluation2"/>
      <sheetName val="MP NEON 2008"/>
      <sheetName val="Data_CpGRP"/>
      <sheetName val="MP_NEON_2007"/>
      <sheetName val="Laikai_rad"/>
      <sheetName val="Incentives_MBR"/>
      <sheetName val="Kostenplan"/>
      <sheetName val="define table"/>
      <sheetName val="PF RADIO "/>
      <sheetName val="TEMP"/>
      <sheetName val="SM2-MS2 leavers"/>
      <sheetName val="Data Sheet"/>
      <sheetName val="구동"/>
      <sheetName val="Calc"/>
      <sheetName val="M_S"/>
      <sheetName val="Coke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риф"/>
      <sheetName val="Sevimli"/>
      <sheetName val="ZOR"/>
      <sheetName val="UC_R1"/>
      <sheetName val="Navo"/>
      <sheetName val="PB"/>
      <sheetName val="Teleport FIX"/>
      <sheetName val="Прайс-лист"/>
      <sheetName val="Teleport FLOAT"/>
      <sheetName val="TN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Kennziffern"/>
      <sheetName val="13"/>
      <sheetName val="14"/>
      <sheetName val="15"/>
      <sheetName val="16"/>
      <sheetName val="17"/>
      <sheetName val="18"/>
      <sheetName val="19"/>
      <sheetName val="KampagnenRW alt"/>
      <sheetName val="20"/>
      <sheetName val="21"/>
      <sheetName val="22"/>
      <sheetName val="23"/>
      <sheetName val="24"/>
      <sheetName val="25"/>
      <sheetName val="26"/>
      <sheetName val="30"/>
      <sheetName val="31"/>
      <sheetName val="Feiertage"/>
      <sheetName val="LW"/>
      <sheetName val="Tabelle1"/>
      <sheetName val="Kauaffiampel"/>
      <sheetName val="MA-BL"/>
      <sheetName val="CR"/>
      <sheetName val="32"/>
      <sheetName val="33"/>
      <sheetName val="KampagnenRW_alt"/>
      <sheetName val="POS Radio Planungsprogramm"/>
      <sheetName val="DataInfo"/>
      <sheetName val="MP 2008"/>
      <sheetName val="LODI"/>
      <sheetName val="MP NEON 2008"/>
      <sheetName val="QuestionSelectionList"/>
      <sheetName val=""/>
      <sheetName val="KampagnenRW_alt1"/>
      <sheetName val="economico"/>
      <sheetName val="KampagnenRW_alt2"/>
      <sheetName val="POS_Radio_Planungsprogramm"/>
      <sheetName val="KampagnenRW_alt3"/>
      <sheetName val="POS_Radio_Planungsprogramm1"/>
      <sheetName val="KampagnenRW_alt4"/>
      <sheetName val="POS_Radio_Planungsprogramm2"/>
      <sheetName val="All Calcs"/>
      <sheetName val="Kostenplan"/>
      <sheetName val="MP 2007"/>
      <sheetName val="MP NEON 2007"/>
      <sheetName val="OfferCalculations1"/>
      <sheetName val="Variables"/>
      <sheetName val="X"/>
      <sheetName val="Channel Share"/>
      <sheetName val="Data CpGRP"/>
      <sheetName val="TV Pricing"/>
      <sheetName val="KampagnenRW_alt5"/>
      <sheetName val="POS_Radio_Planungsprogramm3"/>
      <sheetName val="MP_NEON_2008"/>
      <sheetName val="All_Calcs"/>
      <sheetName val="MP_NEON_2007"/>
      <sheetName val="KampagnenRW_alt6"/>
      <sheetName val="POS_Radio_Planungsprogramm4"/>
      <sheetName val="MP_NEON_20081"/>
      <sheetName val="All_Calcs1"/>
      <sheetName val="MP_NEON_20071"/>
      <sheetName val="OOH"/>
      <sheetName val="Print"/>
      <sheetName val="KampagnenRW_alt7"/>
      <sheetName val="POS_Radio_Planungsprogramm5"/>
      <sheetName val="MP_NEON_20072"/>
      <sheetName val="MP_NEON_20082"/>
      <sheetName val="All_Calcs2"/>
      <sheetName val="MP_2007"/>
      <sheetName val="Data_CpGRP"/>
      <sheetName val="KampagnenRW_alt8"/>
      <sheetName val="POS_Radio_Planungsprogramm6"/>
      <sheetName val="MP_NEON_20073"/>
      <sheetName val="MP_NEON_20083"/>
      <sheetName val="All_Calcs3"/>
      <sheetName val="MP_20071"/>
      <sheetName val="Data_CpGRP1"/>
      <sheetName val="KampagnenRW_alt9"/>
      <sheetName val="POS_Radio_Planungsprogramm7"/>
      <sheetName val="MP_NEON_20074"/>
      <sheetName val="MP_NEON_20084"/>
      <sheetName val="All_Calcs4"/>
      <sheetName val="MP_20072"/>
      <sheetName val="Data_CpGRP2"/>
      <sheetName val="KampagnenRW_alt10"/>
      <sheetName val="POS_Radio_Planungsprogramm8"/>
      <sheetName val="MP_NEON_20075"/>
      <sheetName val="MP_NEON_20085"/>
      <sheetName val="All_Calcs5"/>
      <sheetName val="MP_20073"/>
      <sheetName val="Data_CpGRP3"/>
      <sheetName val="basic_data"/>
      <sheetName val="Macro1"/>
      <sheetName val="PG"/>
      <sheetName val="SAD"/>
      <sheetName val="CCS"/>
      <sheetName val="Options"/>
      <sheetName val="PF RADIO "/>
      <sheetName val="Pivot"/>
      <sheetName val="2.대외공문"/>
      <sheetName val="Permissable values"/>
      <sheetName val="TELEVISION DETAILS"/>
      <sheetName val="адреска"/>
      <sheetName val="KampagnenRW_alt11"/>
      <sheetName val="POS_Radio_Planungsprogramm9"/>
      <sheetName val="MP_NEON_20076"/>
      <sheetName val="MP_NEON_20086"/>
      <sheetName val="All_Calcs6"/>
      <sheetName val="MP_20074"/>
      <sheetName val="Data_CpGRP4"/>
      <sheetName val="TV_Pricing"/>
      <sheetName val="MP_2008"/>
      <sheetName val="KampagnenRW_alt12"/>
      <sheetName val="POS_Radio_Planungsprogramm10"/>
      <sheetName val="MP_NEON_20077"/>
      <sheetName val="MP_NEON_20087"/>
      <sheetName val="All_Calcs7"/>
      <sheetName val="MP_20075"/>
      <sheetName val="Data_CpGRP5"/>
      <sheetName val="TV_Pricing1"/>
      <sheetName val="MP_20081"/>
      <sheetName val="Channel_Share"/>
    </sheetNames>
    <sheetDataSet>
      <sheetData sheetId="0" refreshError="1">
        <row r="13">
          <cell r="D13">
            <v>2</v>
          </cell>
        </row>
      </sheetData>
      <sheetData sheetId="1">
        <row r="13">
          <cell r="D13">
            <v>2</v>
          </cell>
        </row>
      </sheetData>
      <sheetData sheetId="2">
        <row r="13">
          <cell r="D13">
            <v>2</v>
          </cell>
        </row>
      </sheetData>
      <sheetData sheetId="3">
        <row r="13">
          <cell r="D13">
            <v>2</v>
          </cell>
        </row>
      </sheetData>
      <sheetData sheetId="4">
        <row r="13">
          <cell r="D13">
            <v>2</v>
          </cell>
        </row>
      </sheetData>
      <sheetData sheetId="5">
        <row r="13">
          <cell r="D13">
            <v>2</v>
          </cell>
        </row>
      </sheetData>
      <sheetData sheetId="6">
        <row r="13">
          <cell r="D13">
            <v>2</v>
          </cell>
        </row>
      </sheetData>
      <sheetData sheetId="7">
        <row r="13">
          <cell r="D13">
            <v>2</v>
          </cell>
        </row>
      </sheetData>
      <sheetData sheetId="8">
        <row r="13">
          <cell r="D13">
            <v>2</v>
          </cell>
        </row>
      </sheetData>
      <sheetData sheetId="9">
        <row r="13">
          <cell r="D13">
            <v>2</v>
          </cell>
        </row>
      </sheetData>
      <sheetData sheetId="10">
        <row r="13">
          <cell r="D13">
            <v>2</v>
          </cell>
        </row>
      </sheetData>
      <sheetData sheetId="11">
        <row r="13">
          <cell r="D13">
            <v>2</v>
          </cell>
        </row>
      </sheetData>
      <sheetData sheetId="12">
        <row r="13">
          <cell r="D13">
            <v>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>
        <row r="13">
          <cell r="D13">
            <v>2</v>
          </cell>
        </row>
      </sheetData>
      <sheetData sheetId="36">
        <row r="13">
          <cell r="D13">
            <v>2</v>
          </cell>
        </row>
      </sheetData>
      <sheetData sheetId="37">
        <row r="13">
          <cell r="D13">
            <v>2</v>
          </cell>
        </row>
      </sheetData>
      <sheetData sheetId="38">
        <row r="13">
          <cell r="D13">
            <v>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Campaign Accumulated  R and F"/>
      <sheetName val="XLRpt_TempSheet"/>
      <sheetName val="CAMPAIGN AVERAGE F"/>
      <sheetName val="ORT"/>
      <sheetName val="Прайс"/>
      <sheetName val="TV summary by month"/>
      <sheetName val=" Total"/>
      <sheetName val="PRINT"/>
      <sheetName val="OWNPROD LAT"/>
      <sheetName val="Сводная"/>
      <sheetName val="Main"/>
      <sheetName val="Интернет"/>
      <sheetName val="Data USA Cdn$"/>
      <sheetName val="Data USA US$"/>
      <sheetName val="Splits"/>
      <sheetName val="##"/>
      <sheetName val="Equipment"/>
      <sheetName val="L свод"/>
      <sheetName val="Auris"/>
      <sheetName val="TIME_SLOT,PLAN_CHANNEL_TRAIL"/>
      <sheetName val="Лист2"/>
      <sheetName val="Gazete teaser"/>
      <sheetName val="Клипы (2)"/>
      <sheetName val="Расчет по Регионам"/>
      <sheetName val="Расчет"/>
      <sheetName val="Сезонка"/>
      <sheetName val="Change"/>
      <sheetName val="Campaign_Accumulated__R_and_F"/>
      <sheetName val="CAMPAIGN_AVERAGE_F"/>
      <sheetName val="TV_summary_by_month"/>
      <sheetName val="_Total"/>
      <sheetName val="ITALIANS"/>
      <sheetName val="Outdoor St-Peter June"/>
      <sheetName val="tv spot list"/>
      <sheetName val="G2TempSheet"/>
      <sheetName val="TAB MOD"/>
      <sheetName val="STS"/>
      <sheetName val="REN TV"/>
      <sheetName val="RTR"/>
      <sheetName val="PARAME"/>
      <sheetName val="MediaMix"/>
      <sheetName val="EVOPRIX"/>
      <sheetName val="TAB REG"/>
      <sheetName val="chart41"/>
      <sheetName val="STS(Jun,1)"/>
      <sheetName val="TV management"/>
      <sheetName val="ثرسنل (2"/>
      <sheetName val="novy 2"/>
      <sheetName val="Campaign_Accumulated__R_and_F1"/>
      <sheetName val="CAMPAIGN_AVERAGE_F1"/>
      <sheetName val="_Total1"/>
      <sheetName val="TV_summary_by_month1"/>
      <sheetName val="Data_USA_Cdn$"/>
      <sheetName val="Data_USA_US$"/>
      <sheetName val="OWNPROD_LAT"/>
      <sheetName val="L_свод"/>
      <sheetName val="Расчет_по_Регионам"/>
      <sheetName val="Gazete_teaser"/>
      <sheetName val="Клипы_(2)"/>
      <sheetName val="Outdoor_St-Peter_June"/>
      <sheetName val="TAB_MOD"/>
      <sheetName val="tv_spot_list"/>
      <sheetName val="TAB_REG"/>
      <sheetName val="REN_TV"/>
      <sheetName val="TV_management"/>
      <sheetName val="novy_2"/>
      <sheetName val="ثرسنل_(2"/>
      <sheetName val="Campaign_Accumulated__R_and_F2"/>
      <sheetName val="CAMPAIGN_AVERAGE_F2"/>
      <sheetName val="_Total2"/>
      <sheetName val="TV_summary_by_month2"/>
      <sheetName val="Data_USA_Cdn$1"/>
      <sheetName val="Data_USA_US$1"/>
      <sheetName val="OWNPROD_LAT1"/>
      <sheetName val="L_свод1"/>
      <sheetName val="Расчет_по_Регионам1"/>
      <sheetName val="Gazete_teaser1"/>
      <sheetName val="Клипы_(2)1"/>
      <sheetName val="Outdoor_St-Peter_June1"/>
      <sheetName val="TAB_MOD1"/>
      <sheetName val="tv_spot_list1"/>
      <sheetName val="TAB_REG1"/>
      <sheetName val="REN_TV1"/>
      <sheetName val="TV_management1"/>
      <sheetName val="novy_21"/>
      <sheetName val="ثرسنل_(21"/>
      <sheetName val="1+1"/>
      <sheetName val="7_channel"/>
      <sheetName val="Prm"/>
      <sheetName val="TNS"/>
      <sheetName val="dis"/>
      <sheetName val="Media Plan UAH"/>
      <sheetName val="North "/>
      <sheetName val="3"/>
      <sheetName val="2_3"/>
      <sheetName val="2_4"/>
      <sheetName val="2_5"/>
      <sheetName val="MediaPlan"/>
      <sheetName val="Auto ru"/>
      <sheetName val="Drive"/>
      <sheetName val="МИНИМАЛЬНАЯ опция"/>
      <sheetName val="Media. Октябрь"/>
      <sheetName val="Таргетинг по аудиториям"/>
      <sheetName val="Соц.сети"/>
      <sheetName val="Programmatic"/>
      <sheetName val="Скриншоты_контекст"/>
      <sheetName val="Пример объявлений Бренд кампани"/>
      <sheetName val="DBM"/>
      <sheetName val="Ключевые запросы"/>
      <sheetName val="data"/>
      <sheetName val="Suporte"/>
      <sheetName val="HMAMB"/>
      <sheetName val="Media-plan primary"/>
      <sheetName val="Брянск"/>
      <sheetName val="North"/>
      <sheetName val="Hoja1"/>
      <sheetName val="budget data"/>
      <sheetName val="Справочники"/>
      <sheetName val="NTV"/>
      <sheetName val="RenTV"/>
      <sheetName val="TV6"/>
      <sheetName val="options"/>
      <sheetName val="Rate"/>
      <sheetName val="Расчет и прогнозы"/>
      <sheetName val="Taxes"/>
      <sheetName val="GRP"/>
      <sheetName val="Tabelle1"/>
      <sheetName val="Procedural Controls - AP"/>
      <sheetName val="studia"/>
      <sheetName val="Category&amp;CTR&amp;TA"/>
      <sheetName val="Конструктор недели"/>
      <sheetName val="Clasify"/>
      <sheetName val="mcССClassic"/>
      <sheetName val="PG"/>
      <sheetName val="SAD"/>
      <sheetName val="CCS"/>
      <sheetName val="Name Check"/>
      <sheetName val="ExchRates"/>
      <sheetName val="List"/>
      <sheetName val="CPP"/>
      <sheetName val="Programmatic Video"/>
      <sheetName val="TA data Nielsen UA"/>
      <sheetName val="Sheet8"/>
      <sheetName val="Date 2"/>
      <sheetName val="Forecast"/>
      <sheetName val="Sum"/>
      <sheetName val="Campaign_Accumulated__R_and_F3"/>
      <sheetName val="CAMPAIGN_AVERAGE_F3"/>
      <sheetName val="TV_summary_by_month3"/>
      <sheetName val="_Total3"/>
      <sheetName val="OWNPROD_LAT2"/>
      <sheetName val="Data_USA_Cdn$2"/>
      <sheetName val="Data_USA_US$2"/>
      <sheetName val="L_свод2"/>
      <sheetName val="Gazete_teaser2"/>
      <sheetName val="Расчет_по_Регионам2"/>
      <sheetName val="Клипы_(2)2"/>
      <sheetName val="Outdoor_St-Peter_June2"/>
      <sheetName val="tv_spot_list2"/>
      <sheetName val="TAB_MOD2"/>
      <sheetName val="REN_TV2"/>
      <sheetName val="TAB_REG2"/>
      <sheetName val="novy_22"/>
      <sheetName val="ثرسنل_(22"/>
      <sheetName val="TV_management2"/>
      <sheetName val="Media_Plan_UAH"/>
      <sheetName val="North_"/>
      <sheetName val="Auto_ru"/>
      <sheetName val="МИНИМАЛЬНАЯ_опция"/>
      <sheetName val="Media__Октябрь"/>
      <sheetName val="Таргетинг_по_аудиториям"/>
      <sheetName val="Соц_сети"/>
      <sheetName val="Пример_объявлений_Бренд_кампани"/>
      <sheetName val="Ключевые_запросы"/>
      <sheetName val="Расчет_и_прогнозы"/>
      <sheetName val="Media-plan_primary"/>
      <sheetName val="Check"/>
      <sheetName val="PY 2002"/>
      <sheetName val="SUMMARI"/>
      <sheetName val="04"/>
      <sheetName val="BRZ_F"/>
      <sheetName val="Setup"/>
      <sheetName val="Mercado"/>
      <sheetName val="Admin"/>
      <sheetName val="COMP_C3"/>
      <sheetName val="FRECEFECBAILEYS"/>
      <sheetName val="BAŞV"/>
      <sheetName val="Project Summary"/>
      <sheetName val="Please wait..."/>
      <sheetName val="TRANSGOOGLE"/>
      <sheetName val="Sheet1"/>
      <sheetName val="Нац ТВ 2019_13.08"/>
      <sheetName val="СПОНС"/>
      <sheetName val="Лист1"/>
      <sheetName val="регионы"/>
      <sheetName val="v7.6"/>
      <sheetName val="тайминг v7.5"/>
      <sheetName val="Year 3"/>
      <sheetName val="Basis"/>
      <sheetName val="Campaign_Accumulated__R_and_F4"/>
      <sheetName val="CAMPAIGN_AVERAGE_F4"/>
      <sheetName val="_Total4"/>
      <sheetName val="TV_summary_by_month4"/>
      <sheetName val="OWNPROD_LAT3"/>
      <sheetName val="Data_USA_Cdn$3"/>
      <sheetName val="Data_USA_US$3"/>
      <sheetName val="L_свод3"/>
      <sheetName val="Gazete_teaser3"/>
      <sheetName val="Клипы_(2)3"/>
      <sheetName val="Расчет_по_Регионам3"/>
      <sheetName val="Outdoor_St-Peter_June3"/>
      <sheetName val="tv_spot_list3"/>
      <sheetName val="TAB_MOD3"/>
      <sheetName val="REN_TV3"/>
      <sheetName val="TAB_REG3"/>
      <sheetName val="TV_management3"/>
      <sheetName val="novy_23"/>
      <sheetName val="ثرسنل_(23"/>
      <sheetName val="Auto_ru1"/>
      <sheetName val="МИНИМАЛЬНАЯ_опция1"/>
      <sheetName val="Media__Октябрь1"/>
      <sheetName val="Таргетинг_по_аудиториям1"/>
      <sheetName val="Соц_сети1"/>
      <sheetName val="Пример_объявлений_Бренд_кампан1"/>
      <sheetName val="Ключевые_запросы1"/>
      <sheetName val="Media_Plan_UAH1"/>
      <sheetName val="North_1"/>
      <sheetName val="Media-plan_primary1"/>
      <sheetName val="Расчет_и_прогнозы1"/>
      <sheetName val="budget_data"/>
      <sheetName val="Procedural_Controls_-_AP"/>
      <sheetName val="Конструктор_недели"/>
      <sheetName val="Date_2"/>
      <sheetName val="Name_Check"/>
      <sheetName val="Нац_ТВ_2019_13_08"/>
      <sheetName val="Programmatic_Video"/>
      <sheetName val="TA_data_Nielsen_UA"/>
      <sheetName val="Project_Summary"/>
      <sheetName val="Please_wait___"/>
      <sheetName val="v7_6"/>
      <sheetName val="тайминг_v7_5"/>
      <sheetName val="Parametros"/>
      <sheetName val="CPE - MUESTREOS NUEVOS 2020"/>
      <sheetName val="Col mes"/>
      <sheetName val="Col FY"/>
      <sheetName val="Maximos Col 2020"/>
      <sheetName val="Input Gasto Campañal"/>
      <sheetName val="Input Gasto Mensual"/>
      <sheetName val="MAIL PPTO - SEPT 24"/>
      <sheetName val="Per mes"/>
      <sheetName val="Ecu mes"/>
      <sheetName val="Valores"/>
      <sheetName val="Per FY"/>
      <sheetName val="Ecu FY"/>
      <sheetName val="Ecu"/>
      <sheetName val="Template"/>
      <sheetName val="Total"/>
      <sheetName val="19.02-25.02"/>
      <sheetName val="26.02-04.03"/>
      <sheetName val="05.03-11.03"/>
      <sheetName val="12.03-18.03"/>
      <sheetName val="19.03-25.03"/>
      <sheetName val="Report PPC"/>
      <sheetName val="MP_Branding"/>
      <sheetName val="b2bcontext"/>
      <sheetName val="Библиотека"/>
      <sheetName val="Consolidated"/>
      <sheetName val="Help"/>
      <sheetName val="habillage pour boucle"/>
      <sheetName val="Channelvorgabe"/>
      <sheetName val="Format"/>
      <sheetName val="plan-gaz1"/>
      <sheetName val="Network"/>
      <sheetName val="Placement"/>
      <sheetName val="Sites"/>
      <sheetName val="общий"/>
      <sheetName val="nieakt"/>
      <sheetName val="чел европа+ от сми"/>
      <sheetName val="ppranalysis"/>
      <sheetName val="Laikai rad"/>
      <sheetName val="Controls"/>
      <sheetName val="Slide 10 - gp per kg"/>
      <sheetName val="Copies"/>
      <sheetName val="Vehicles"/>
      <sheetName val="Campaign_Accumulated__R_and_F5"/>
      <sheetName val="CAMPAIGN_AVERAGE_F5"/>
      <sheetName val="_Total5"/>
      <sheetName val="TV_summary_by_month5"/>
      <sheetName val="OWNPROD_LAT4"/>
      <sheetName val="Data_USA_Cdn$4"/>
      <sheetName val="Data_USA_US$4"/>
      <sheetName val="L_свод4"/>
      <sheetName val="Gazete_teaser4"/>
      <sheetName val="Расчет_по_Регионам4"/>
      <sheetName val="Клипы_(2)4"/>
      <sheetName val="Outdoor_St-Peter_June4"/>
      <sheetName val="tv_spot_list4"/>
      <sheetName val="TAB_MOD4"/>
      <sheetName val="REN_TV4"/>
      <sheetName val="TAB_REG4"/>
      <sheetName val="TV_management4"/>
      <sheetName val="novy_24"/>
      <sheetName val="ثرسنل_(24"/>
      <sheetName val="Media_Plan_UAH2"/>
      <sheetName val="North_2"/>
      <sheetName val="Auto_ru2"/>
      <sheetName val="МИНИМАЛЬНАЯ_опция2"/>
      <sheetName val="Media__Октябрь2"/>
      <sheetName val="Таргетинг_по_аудиториям2"/>
      <sheetName val="Соц_сети2"/>
      <sheetName val="Пример_объявлений_Бренд_кампан2"/>
      <sheetName val="Ключевые_запросы2"/>
      <sheetName val="Расчет_и_прогнозы2"/>
      <sheetName val="budget_data1"/>
      <sheetName val="Media-plan_primary2"/>
      <sheetName val="Name_Check1"/>
      <sheetName val="Procedural_Controls_-_AP1"/>
      <sheetName val="Конструктор_недели1"/>
      <sheetName val="Date_21"/>
      <sheetName val="Programmatic_Video1"/>
      <sheetName val="TA_data_Nielsen_UA1"/>
      <sheetName val="Нац_ТВ_2019_13_081"/>
      <sheetName val="Project_Summary1"/>
      <sheetName val="Please_wait___1"/>
      <sheetName val="PY_2002"/>
      <sheetName val="v7_61"/>
      <sheetName val="тайминг_v7_51"/>
      <sheetName val="Year_3"/>
      <sheetName val="19_02-25_02"/>
      <sheetName val="26_02-04_03"/>
      <sheetName val="05_03-11_03"/>
      <sheetName val="12_03-18_03"/>
      <sheetName val="19_03-25_03"/>
      <sheetName val="Report_PPC"/>
      <sheetName val="CPE_-_MUESTREOS_NUEVOS_2020"/>
      <sheetName val="Col_mes"/>
      <sheetName val="Col_FY"/>
      <sheetName val="Maximos_Col_2020"/>
      <sheetName val="Input_Gasto_Campañal"/>
      <sheetName val="Input_Gasto_Mensual"/>
      <sheetName val="MAIL_PPTO_-_SEPT_24"/>
      <sheetName val="Per_mes"/>
      <sheetName val="Ecu_mes"/>
      <sheetName val="Per_FY"/>
      <sheetName val="Ecu_FY"/>
      <sheetName val="Personnel Costs"/>
      <sheetName val="BUDGET STATUS"/>
      <sheetName val="All Data"/>
      <sheetName val="Ymem62"/>
      <sheetName val="Lookups"/>
      <sheetName val="mpp phasing (by fs item)"/>
      <sheetName val="habillage_pour_boucle"/>
      <sheetName val="Slide_10_-_gp_per_kg"/>
      <sheetName val="чел_европа+_от_сми"/>
      <sheetName val="Laikai_rad"/>
      <sheetName val="PPC"/>
      <sheetName val="Social Networks"/>
      <sheetName val="Summary"/>
      <sheetName val="условия платежа"/>
      <sheetName val="Zolla на 70 (мар+май!)"/>
      <sheetName val="cinema"/>
      <sheetName val="Var2002 BU-P1"/>
      <sheetName val="55% and 70%"/>
      <sheetName val="ENERGY "/>
      <sheetName val="QTXD"/>
      <sheetName val="Service"/>
      <sheetName val="Списки"/>
      <sheetName val="СПЛИТ"/>
      <sheetName val="Campaign_Accumulated__R_and_F6"/>
      <sheetName val="CAMPAIGN_AVERAGE_F6"/>
      <sheetName val="_Total6"/>
      <sheetName val="TV_summary_by_month6"/>
      <sheetName val="OWNPROD_LAT5"/>
      <sheetName val="Data_USA_Cdn$5"/>
      <sheetName val="Data_USA_US$5"/>
      <sheetName val="L_свод5"/>
      <sheetName val="Gazete_teaser5"/>
      <sheetName val="Клипы_(2)5"/>
      <sheetName val="Расчет_по_Регионам5"/>
      <sheetName val="Outdoor_St-Peter_June5"/>
      <sheetName val="tv_spot_list5"/>
      <sheetName val="TAB_MOD5"/>
      <sheetName val="REN_TV5"/>
      <sheetName val="TAB_REG5"/>
      <sheetName val="TV_management5"/>
      <sheetName val="ثرسنل_(25"/>
      <sheetName val="novy_25"/>
      <sheetName val="Auto_ru3"/>
      <sheetName val="МИНИМАЛЬНАЯ_опция3"/>
      <sheetName val="Media__Октябрь3"/>
      <sheetName val="Таргетинг_по_аудиториям3"/>
      <sheetName val="Соц_сети3"/>
      <sheetName val="Пример_объявлений_Бренд_кампан3"/>
      <sheetName val="Ключевые_запросы3"/>
      <sheetName val="Media_Plan_UAH3"/>
      <sheetName val="North_3"/>
      <sheetName val="Media-plan_primary3"/>
      <sheetName val="Расчет_и_прогнозы3"/>
      <sheetName val="Date_22"/>
      <sheetName val="budget_data2"/>
      <sheetName val="Procedural_Controls_-_AP2"/>
      <sheetName val="Конструктор_недели2"/>
      <sheetName val="Name_Check2"/>
      <sheetName val="Programmatic_Video2"/>
      <sheetName val="TA_data_Nielsen_UA2"/>
      <sheetName val="Project_Summary2"/>
      <sheetName val="Please_wait___2"/>
      <sheetName val="Нац_ТВ_2019_13_082"/>
      <sheetName val="PY_20021"/>
      <sheetName val="v7_62"/>
      <sheetName val="тайминг_v7_52"/>
      <sheetName val="Year_31"/>
      <sheetName val="CPE_-_MUESTREOS_NUEVOS_20201"/>
      <sheetName val="Col_mes1"/>
      <sheetName val="Col_FY1"/>
      <sheetName val="Maximos_Col_20201"/>
      <sheetName val="Input_Gasto_Campañal1"/>
      <sheetName val="Input_Gasto_Mensual1"/>
      <sheetName val="MAIL_PPTO_-_SEPT_241"/>
      <sheetName val="Per_mes1"/>
      <sheetName val="Ecu_mes1"/>
      <sheetName val="Per_FY1"/>
      <sheetName val="Ecu_FY1"/>
      <sheetName val="19_02-25_021"/>
      <sheetName val="26_02-04_031"/>
      <sheetName val="05_03-11_031"/>
      <sheetName val="12_03-18_031"/>
      <sheetName val="19_03-25_031"/>
      <sheetName val="Report_PPC1"/>
      <sheetName val="habillage_pour_boucle1"/>
      <sheetName val="чел_европа+_от_сми1"/>
      <sheetName val="Laikai_rad1"/>
      <sheetName val="Slide_10_-_gp_per_kg1"/>
      <sheetName val="Personnel_Costs"/>
      <sheetName val="BUDGET_STATUS"/>
      <sheetName val="All_Data"/>
      <sheetName val="mpp_phasing_(by_fs_item)"/>
      <sheetName val="Social_Networks"/>
      <sheetName val="Channels Indexes"/>
      <sheetName val="restaurants monitors"/>
      <sheetName val="01"/>
      <sheetName val="Control"/>
      <sheetName val="HBU_Modern"/>
      <sheetName val="HBU_Trad"/>
      <sheetName val="ConstantsANDSettings"/>
      <sheetName val="Tablas"/>
      <sheetName val="Print-forms"/>
      <sheetName val="Televizyon"/>
      <sheetName val="plan-der"/>
      <sheetName val="aging analysis"/>
      <sheetName val="2007"/>
      <sheetName val="Тариф авт."/>
      <sheetName val="Прайс Москва"/>
      <sheetName val="Тариф трамвай"/>
      <sheetName val="Тариф троллебусов"/>
      <sheetName val="4Q 1995"/>
      <sheetName val="LCMD_0613"/>
      <sheetName val="FY04 fx"/>
      <sheetName val="МП MI"/>
      <sheetName val="Hasar Hattı"/>
      <sheetName val="TV spot_supplier"/>
      <sheetName val="Предлож_СПб"/>
      <sheetName val="Zolla_на_70_(мар+май!)"/>
      <sheetName val="Var2002_BU-P1"/>
      <sheetName val="условия_платежа"/>
      <sheetName val="55%_and_70%"/>
      <sheetName val="ENERGY_"/>
      <sheetName val="Assum"/>
      <sheetName val="Данные"/>
      <sheetName val="Прайслист 2012"/>
      <sheetName val="Считалка"/>
      <sheetName val="Definitions"/>
      <sheetName val="Excel"/>
      <sheetName val="Directory"/>
    </sheetNames>
    <sheetDataSet>
      <sheetData sheetId="0" refreshError="1">
        <row r="2">
          <cell r="B2" t="str">
            <v>R100+</v>
          </cell>
        </row>
        <row r="6">
          <cell r="B6">
            <v>30</v>
          </cell>
          <cell r="C6">
            <v>1.6431246598758016</v>
          </cell>
          <cell r="D6">
            <v>3.3777182942056259</v>
          </cell>
          <cell r="E6">
            <v>6.3827532492473944</v>
          </cell>
          <cell r="F6">
            <v>11.112848939005568</v>
          </cell>
          <cell r="G6">
            <v>17.87773362362049</v>
          </cell>
          <cell r="H6">
            <v>26.66840603907092</v>
          </cell>
          <cell r="I6">
            <v>37.047414617241536</v>
          </cell>
          <cell r="J6">
            <v>48.181697772780574</v>
          </cell>
          <cell r="K6">
            <v>59.034490218942956</v>
          </cell>
          <cell r="L6">
            <v>64.044878499473185</v>
          </cell>
          <cell r="M6">
            <v>68.646041664848738</v>
          </cell>
          <cell r="N6">
            <v>72.770757124394933</v>
          </cell>
          <cell r="O6">
            <v>75.700500291900539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6">
          <cell r="B6" t="str">
            <v>Client</v>
          </cell>
        </row>
      </sheetData>
      <sheetData sheetId="50">
        <row r="6">
          <cell r="B6" t="str">
            <v>Client</v>
          </cell>
        </row>
      </sheetData>
      <sheetData sheetId="51">
        <row r="6">
          <cell r="B6" t="str">
            <v>Client</v>
          </cell>
        </row>
      </sheetData>
      <sheetData sheetId="52">
        <row r="6">
          <cell r="B6" t="str">
            <v>Client</v>
          </cell>
        </row>
      </sheetData>
      <sheetData sheetId="53">
        <row r="6">
          <cell r="B6" t="str">
            <v>Client</v>
          </cell>
        </row>
      </sheetData>
      <sheetData sheetId="54">
        <row r="6">
          <cell r="B6" t="str">
            <v>Client</v>
          </cell>
        </row>
      </sheetData>
      <sheetData sheetId="55">
        <row r="6">
          <cell r="B6" t="str">
            <v>Client</v>
          </cell>
        </row>
      </sheetData>
      <sheetData sheetId="56">
        <row r="6">
          <cell r="B6" t="str">
            <v>Client</v>
          </cell>
        </row>
      </sheetData>
      <sheetData sheetId="57">
        <row r="6">
          <cell r="B6" t="str">
            <v>Client</v>
          </cell>
        </row>
      </sheetData>
      <sheetData sheetId="5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5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4">
        <row r="6">
          <cell r="B6" t="str">
            <v>Client</v>
          </cell>
        </row>
      </sheetData>
      <sheetData sheetId="85">
        <row r="6">
          <cell r="B6" t="str">
            <v>Client</v>
          </cell>
        </row>
      </sheetData>
      <sheetData sheetId="86" refreshError="1"/>
      <sheetData sheetId="87" refreshError="1"/>
      <sheetData sheetId="88" refreshError="1"/>
      <sheetData sheetId="8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6">
          <cell r="B6" t="str">
            <v>Client</v>
          </cell>
        </row>
      </sheetData>
      <sheetData sheetId="99">
        <row r="6">
          <cell r="B6" t="str">
            <v>Client</v>
          </cell>
        </row>
      </sheetData>
      <sheetData sheetId="100">
        <row r="6">
          <cell r="B6" t="str">
            <v>Client</v>
          </cell>
        </row>
      </sheetData>
      <sheetData sheetId="101">
        <row r="6">
          <cell r="B6" t="str">
            <v>Client</v>
          </cell>
        </row>
      </sheetData>
      <sheetData sheetId="102">
        <row r="6">
          <cell r="B6" t="str">
            <v>Client</v>
          </cell>
        </row>
      </sheetData>
      <sheetData sheetId="103">
        <row r="6">
          <cell r="B6" t="str">
            <v>Client</v>
          </cell>
        </row>
      </sheetData>
      <sheetData sheetId="104">
        <row r="6">
          <cell r="B6" t="str">
            <v>Client</v>
          </cell>
        </row>
      </sheetData>
      <sheetData sheetId="105">
        <row r="6">
          <cell r="B6" t="str">
            <v>Client</v>
          </cell>
        </row>
      </sheetData>
      <sheetData sheetId="106">
        <row r="6">
          <cell r="B6" t="str">
            <v>Client</v>
          </cell>
        </row>
      </sheetData>
      <sheetData sheetId="107">
        <row r="6">
          <cell r="B6" t="str">
            <v>Client</v>
          </cell>
        </row>
      </sheetData>
      <sheetData sheetId="108">
        <row r="6">
          <cell r="B6" t="str">
            <v>Client</v>
          </cell>
        </row>
      </sheetData>
      <sheetData sheetId="109">
        <row r="6">
          <cell r="B6" t="str">
            <v>Client</v>
          </cell>
        </row>
      </sheetData>
      <sheetData sheetId="11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6">
          <cell r="B6">
            <v>0</v>
          </cell>
        </row>
      </sheetData>
      <sheetData sheetId="148">
        <row r="6">
          <cell r="B6">
            <v>0</v>
          </cell>
        </row>
      </sheetData>
      <sheetData sheetId="149">
        <row r="6">
          <cell r="B6">
            <v>0</v>
          </cell>
        </row>
      </sheetData>
      <sheetData sheetId="150">
        <row r="6">
          <cell r="B6">
            <v>0</v>
          </cell>
        </row>
      </sheetData>
      <sheetData sheetId="151">
        <row r="6">
          <cell r="B6">
            <v>0</v>
          </cell>
        </row>
      </sheetData>
      <sheetData sheetId="152">
        <row r="6">
          <cell r="B6">
            <v>0</v>
          </cell>
        </row>
      </sheetData>
      <sheetData sheetId="153">
        <row r="6">
          <cell r="B6">
            <v>0</v>
          </cell>
        </row>
      </sheetData>
      <sheetData sheetId="154">
        <row r="6">
          <cell r="B6">
            <v>0</v>
          </cell>
        </row>
      </sheetData>
      <sheetData sheetId="155">
        <row r="6">
          <cell r="B6">
            <v>0</v>
          </cell>
        </row>
      </sheetData>
      <sheetData sheetId="156">
        <row r="6">
          <cell r="B6">
            <v>0</v>
          </cell>
        </row>
      </sheetData>
      <sheetData sheetId="157">
        <row r="6">
          <cell r="B6">
            <v>0</v>
          </cell>
        </row>
      </sheetData>
      <sheetData sheetId="158">
        <row r="6">
          <cell r="B6">
            <v>0</v>
          </cell>
        </row>
      </sheetData>
      <sheetData sheetId="159">
        <row r="6">
          <cell r="B6">
            <v>0</v>
          </cell>
        </row>
      </sheetData>
      <sheetData sheetId="160">
        <row r="6">
          <cell r="B6">
            <v>0</v>
          </cell>
        </row>
      </sheetData>
      <sheetData sheetId="161">
        <row r="6">
          <cell r="B6">
            <v>0</v>
          </cell>
        </row>
      </sheetData>
      <sheetData sheetId="162">
        <row r="6">
          <cell r="B6" t="str">
            <v>Client</v>
          </cell>
        </row>
      </sheetData>
      <sheetData sheetId="163">
        <row r="6">
          <cell r="B6">
            <v>0</v>
          </cell>
        </row>
      </sheetData>
      <sheetData sheetId="164">
        <row r="6">
          <cell r="B6" t="str">
            <v>Client</v>
          </cell>
        </row>
      </sheetData>
      <sheetData sheetId="165">
        <row r="6">
          <cell r="B6">
            <v>0</v>
          </cell>
        </row>
      </sheetData>
      <sheetData sheetId="166">
        <row r="6">
          <cell r="B6">
            <v>0</v>
          </cell>
        </row>
      </sheetData>
      <sheetData sheetId="167">
        <row r="6">
          <cell r="B6">
            <v>0</v>
          </cell>
        </row>
      </sheetData>
      <sheetData sheetId="168">
        <row r="6">
          <cell r="B6">
            <v>0</v>
          </cell>
        </row>
      </sheetData>
      <sheetData sheetId="169">
        <row r="6">
          <cell r="B6" t="str">
            <v>Client</v>
          </cell>
        </row>
      </sheetData>
      <sheetData sheetId="170">
        <row r="6">
          <cell r="B6" t="str">
            <v>Агентское вознаграждение</v>
          </cell>
        </row>
      </sheetData>
      <sheetData sheetId="171">
        <row r="6">
          <cell r="B6" t="str">
            <v>Client</v>
          </cell>
        </row>
      </sheetData>
      <sheetData sheetId="172">
        <row r="6">
          <cell r="B6" t="str">
            <v>Client</v>
          </cell>
        </row>
      </sheetData>
      <sheetData sheetId="173">
        <row r="6">
          <cell r="B6">
            <v>0</v>
          </cell>
        </row>
      </sheetData>
      <sheetData sheetId="174">
        <row r="6">
          <cell r="B6" t="str">
            <v>Client</v>
          </cell>
        </row>
      </sheetData>
      <sheetData sheetId="175">
        <row r="6">
          <cell r="B6">
            <v>0</v>
          </cell>
        </row>
      </sheetData>
      <sheetData sheetId="176">
        <row r="6">
          <cell r="B6">
            <v>0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6">
          <cell r="B6">
            <v>0</v>
          </cell>
        </row>
      </sheetData>
      <sheetData sheetId="187">
        <row r="6">
          <cell r="B6">
            <v>0</v>
          </cell>
        </row>
      </sheetData>
      <sheetData sheetId="188">
        <row r="6">
          <cell r="B6">
            <v>0</v>
          </cell>
        </row>
      </sheetData>
      <sheetData sheetId="189">
        <row r="6">
          <cell r="B6">
            <v>0</v>
          </cell>
        </row>
      </sheetData>
      <sheetData sheetId="190">
        <row r="6">
          <cell r="B6">
            <v>0</v>
          </cell>
        </row>
      </sheetData>
      <sheetData sheetId="191">
        <row r="6">
          <cell r="B6">
            <v>0</v>
          </cell>
        </row>
      </sheetData>
      <sheetData sheetId="192">
        <row r="6">
          <cell r="B6">
            <v>0</v>
          </cell>
        </row>
      </sheetData>
      <sheetData sheetId="193">
        <row r="6">
          <cell r="B6">
            <v>0</v>
          </cell>
        </row>
      </sheetData>
      <sheetData sheetId="194">
        <row r="6">
          <cell r="B6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>
        <row r="6">
          <cell r="B6" t="str">
            <v>Client</v>
          </cell>
        </row>
      </sheetData>
      <sheetData sheetId="200">
        <row r="6">
          <cell r="B6">
            <v>0</v>
          </cell>
        </row>
      </sheetData>
      <sheetData sheetId="201">
        <row r="6">
          <cell r="B6">
            <v>0</v>
          </cell>
        </row>
      </sheetData>
      <sheetData sheetId="202">
        <row r="6">
          <cell r="B6" t="str">
            <v>Client</v>
          </cell>
        </row>
      </sheetData>
      <sheetData sheetId="203">
        <row r="6">
          <cell r="B6">
            <v>0</v>
          </cell>
        </row>
      </sheetData>
      <sheetData sheetId="204">
        <row r="6">
          <cell r="B6">
            <v>0</v>
          </cell>
        </row>
      </sheetData>
      <sheetData sheetId="205">
        <row r="6">
          <cell r="B6">
            <v>0</v>
          </cell>
        </row>
      </sheetData>
      <sheetData sheetId="206">
        <row r="6">
          <cell r="B6" t="str">
            <v>Client</v>
          </cell>
        </row>
      </sheetData>
      <sheetData sheetId="207">
        <row r="6">
          <cell r="B6" t="str">
            <v>Client</v>
          </cell>
        </row>
      </sheetData>
      <sheetData sheetId="208">
        <row r="6">
          <cell r="B6">
            <v>0</v>
          </cell>
        </row>
      </sheetData>
      <sheetData sheetId="209">
        <row r="6">
          <cell r="B6">
            <v>0</v>
          </cell>
        </row>
      </sheetData>
      <sheetData sheetId="210">
        <row r="6">
          <cell r="B6">
            <v>0</v>
          </cell>
        </row>
      </sheetData>
      <sheetData sheetId="211">
        <row r="6">
          <cell r="B6">
            <v>0</v>
          </cell>
        </row>
      </sheetData>
      <sheetData sheetId="212">
        <row r="6">
          <cell r="B6">
            <v>0</v>
          </cell>
        </row>
      </sheetData>
      <sheetData sheetId="213">
        <row r="6">
          <cell r="B6">
            <v>0</v>
          </cell>
        </row>
      </sheetData>
      <sheetData sheetId="214">
        <row r="6">
          <cell r="B6">
            <v>0</v>
          </cell>
        </row>
      </sheetData>
      <sheetData sheetId="215">
        <row r="6">
          <cell r="B6">
            <v>0</v>
          </cell>
        </row>
      </sheetData>
      <sheetData sheetId="216">
        <row r="6">
          <cell r="B6">
            <v>0</v>
          </cell>
        </row>
      </sheetData>
      <sheetData sheetId="217">
        <row r="6">
          <cell r="B6">
            <v>0</v>
          </cell>
        </row>
      </sheetData>
      <sheetData sheetId="218">
        <row r="6">
          <cell r="B6">
            <v>0</v>
          </cell>
        </row>
      </sheetData>
      <sheetData sheetId="219">
        <row r="6">
          <cell r="B6">
            <v>0</v>
          </cell>
        </row>
      </sheetData>
      <sheetData sheetId="220">
        <row r="6">
          <cell r="B6">
            <v>0</v>
          </cell>
        </row>
      </sheetData>
      <sheetData sheetId="221">
        <row r="6">
          <cell r="B6">
            <v>0</v>
          </cell>
        </row>
      </sheetData>
      <sheetData sheetId="222">
        <row r="6">
          <cell r="B6" t="str">
            <v>Client</v>
          </cell>
        </row>
      </sheetData>
      <sheetData sheetId="223">
        <row r="6">
          <cell r="B6">
            <v>0</v>
          </cell>
        </row>
      </sheetData>
      <sheetData sheetId="224">
        <row r="6">
          <cell r="B6">
            <v>0</v>
          </cell>
        </row>
      </sheetData>
      <sheetData sheetId="225">
        <row r="6">
          <cell r="B6">
            <v>0</v>
          </cell>
        </row>
      </sheetData>
      <sheetData sheetId="226">
        <row r="6">
          <cell r="B6">
            <v>0</v>
          </cell>
        </row>
      </sheetData>
      <sheetData sheetId="227">
        <row r="6">
          <cell r="B6">
            <v>0</v>
          </cell>
        </row>
      </sheetData>
      <sheetData sheetId="228">
        <row r="6">
          <cell r="B6">
            <v>0</v>
          </cell>
        </row>
      </sheetData>
      <sheetData sheetId="229">
        <row r="6">
          <cell r="B6">
            <v>0</v>
          </cell>
        </row>
      </sheetData>
      <sheetData sheetId="230" refreshError="1"/>
      <sheetData sheetId="231">
        <row r="6">
          <cell r="B6">
            <v>0</v>
          </cell>
        </row>
      </sheetData>
      <sheetData sheetId="232">
        <row r="6">
          <cell r="B6">
            <v>0</v>
          </cell>
        </row>
      </sheetData>
      <sheetData sheetId="233">
        <row r="6">
          <cell r="B6">
            <v>0</v>
          </cell>
        </row>
      </sheetData>
      <sheetData sheetId="234">
        <row r="6">
          <cell r="B6">
            <v>0</v>
          </cell>
        </row>
      </sheetData>
      <sheetData sheetId="235">
        <row r="6">
          <cell r="B6">
            <v>0</v>
          </cell>
        </row>
      </sheetData>
      <sheetData sheetId="236">
        <row r="6">
          <cell r="B6">
            <v>0</v>
          </cell>
        </row>
      </sheetData>
      <sheetData sheetId="237">
        <row r="6">
          <cell r="B6">
            <v>0</v>
          </cell>
        </row>
      </sheetData>
      <sheetData sheetId="238">
        <row r="6">
          <cell r="B6">
            <v>0</v>
          </cell>
        </row>
      </sheetData>
      <sheetData sheetId="239">
        <row r="6">
          <cell r="B6">
            <v>0</v>
          </cell>
        </row>
      </sheetData>
      <sheetData sheetId="240">
        <row r="6">
          <cell r="B6">
            <v>0</v>
          </cell>
        </row>
      </sheetData>
      <sheetData sheetId="241">
        <row r="6">
          <cell r="B6">
            <v>0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6">
          <cell r="B6">
            <v>0</v>
          </cell>
        </row>
      </sheetData>
      <sheetData sheetId="256">
        <row r="6">
          <cell r="B6">
            <v>0</v>
          </cell>
        </row>
      </sheetData>
      <sheetData sheetId="257">
        <row r="6">
          <cell r="B6" t="str">
            <v>Client</v>
          </cell>
        </row>
      </sheetData>
      <sheetData sheetId="258">
        <row r="6">
          <cell r="B6">
            <v>0</v>
          </cell>
        </row>
      </sheetData>
      <sheetData sheetId="259">
        <row r="6">
          <cell r="B6">
            <v>0</v>
          </cell>
        </row>
      </sheetData>
      <sheetData sheetId="260">
        <row r="6">
          <cell r="B6" t="str">
            <v>Client</v>
          </cell>
        </row>
      </sheetData>
      <sheetData sheetId="261">
        <row r="6">
          <cell r="B6">
            <v>0</v>
          </cell>
        </row>
      </sheetData>
      <sheetData sheetId="262">
        <row r="6">
          <cell r="B6">
            <v>0</v>
          </cell>
        </row>
      </sheetData>
      <sheetData sheetId="263">
        <row r="6">
          <cell r="B6">
            <v>0</v>
          </cell>
        </row>
      </sheetData>
      <sheetData sheetId="264">
        <row r="6">
          <cell r="B6">
            <v>0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DAILY  ACCUMULATED R AND F"/>
      <sheetName val="ITALIANS"/>
      <sheetName val="XLRpt_TempSheet"/>
      <sheetName val="CAMPAIGN AVERAGE F"/>
      <sheetName val="Splits"/>
      <sheetName val="ORT"/>
      <sheetName val="СТС_GRP_1.9"/>
      <sheetName val="R CURVES_Иркутск"/>
      <sheetName val="CAMPAIGN RESULTS"/>
      <sheetName val="Basis"/>
      <sheetName val="PRINT"/>
      <sheetName val="schsts"/>
      <sheetName val="OWNPROD LAT"/>
      <sheetName val="TV summary by month"/>
      <sheetName val="##"/>
      <sheetName val="TV spot_supplier"/>
      <sheetName val="Change"/>
      <sheetName val=" Total"/>
      <sheetName val="validation"/>
      <sheetName val="Ind. Eco. 2003"/>
      <sheetName val="PARAME"/>
      <sheetName val="Клипы (2)"/>
      <sheetName val="Предлож_СПб"/>
      <sheetName val="Gazete teaser"/>
      <sheetName val="Лист2"/>
      <sheetName val="Европа Плюс Москва "/>
      <sheetName val="DAILY__ACCUMULATED_R_AND_F"/>
      <sheetName val="TV_summary_by_month"/>
      <sheetName val="R_CURVES_Иркутск"/>
      <sheetName val="CAMPAIGN_RESULTS"/>
      <sheetName val="CAMPAIGN_AVERAGE_F"/>
      <sheetName val="OWNPROD_LAT"/>
      <sheetName val="TV_spot_supplier"/>
      <sheetName val="СТС_GRP_1_9"/>
      <sheetName val="_Total"/>
      <sheetName val="Print-forms"/>
      <sheetName val="Media Plan UAH"/>
      <sheetName val="Data USA Cdn$"/>
      <sheetName val="Data USA US$"/>
      <sheetName val="Справочники"/>
      <sheetName val="options"/>
      <sheetName val="Конструктор недели"/>
      <sheetName val="Clasify"/>
      <sheetName val="DAILY__ACCUMULATED_R_AND_F1"/>
      <sheetName val="TV_summary_by_month1"/>
      <sheetName val="R_CURVES_Иркутск1"/>
      <sheetName val="CAMPAIGN_RESULTS1"/>
      <sheetName val="CAMPAIGN_AVERAGE_F1"/>
      <sheetName val="OWNPROD_LAT1"/>
      <sheetName val="СТС_GRP_1_91"/>
      <sheetName val="TV_spot_supplier1"/>
      <sheetName val="_Total1"/>
      <sheetName val="Клипы_(2)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Media Citroen JAN"/>
      <sheetName val="Сентябрь"/>
      <sheetName val="Нац ТВ 2019_13.08"/>
      <sheetName val="СПОНС"/>
      <sheetName val="Лист1"/>
      <sheetName val="Work Sheet"/>
      <sheetName val="Лист8"/>
      <sheetName val="DAILY__ACCUMULATED_R_AND_F2"/>
      <sheetName val="R_CURVES_Иркутск2"/>
      <sheetName val="CAMPAIGN_RESULTS2"/>
      <sheetName val="CAMPAIGN_AVERAGE_F2"/>
      <sheetName val="TV_summary_by_month2"/>
      <sheetName val="OWNPROD_LAT2"/>
      <sheetName val="СТС_GRP_1_92"/>
      <sheetName val="TV_spot_supplier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Sheet1"/>
      <sheetName val="Date 2"/>
      <sheetName val="tv"/>
      <sheetName val="Чел Европа+ от сми"/>
      <sheetName val="Aug,24"/>
      <sheetName val="schren"/>
      <sheetName val="schtv6"/>
      <sheetName val="ТЛ"/>
      <sheetName val="chart11"/>
      <sheetName val="Lib"/>
      <sheetName val="Владивосток ОРТ (наш)"/>
      <sheetName val="OUTFLOW"/>
      <sheetName val="key"/>
      <sheetName val="Title"/>
      <sheetName val="Тех_доп"/>
      <sheetName val="all brands (all media)"/>
      <sheetName val="Control"/>
      <sheetName val="DAILY__ACCUMULATED_R_AND_F3"/>
      <sheetName val="R_CURVES_Иркутск3"/>
      <sheetName val="CAMPAIGN_RESULTS3"/>
      <sheetName val="CAMPAIGN_AVERAGE_F3"/>
      <sheetName val="TV_summary_by_month3"/>
      <sheetName val="OWNPROD_LAT3"/>
      <sheetName val="TV_spot_supplier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kz budget lc"/>
      <sheetName val="сплит"/>
      <sheetName val="цены и коэф."/>
      <sheetName val="G2TempSheet"/>
      <sheetName val="Date_2"/>
      <sheetName val="Чел_Европа+_от_сми"/>
      <sheetName val="FY04 fx"/>
      <sheetName val="разбивка по каналам"/>
      <sheetName val="ChanGr_cfg"/>
      <sheetName val="Base"/>
      <sheetName val="odaplan_report"/>
      <sheetName val="сводная"/>
      <sheetName val="Total Sara Lee Int WH"/>
      <sheetName val="Total Sara Lee Int FTE"/>
      <sheetName val="Evaluation2"/>
      <sheetName val="Codes"/>
      <sheetName val="Tablas"/>
      <sheetName val="BUDGET STATUS"/>
      <sheetName val="All Data"/>
      <sheetName val="Ymem62"/>
      <sheetName val="Lookups"/>
      <sheetName val="HBU_Modern"/>
      <sheetName val="HBU_Trad"/>
      <sheetName val="ConstantsANDSettings"/>
      <sheetName val="Tsitrinka"/>
      <sheetName val=" 40000035261  трк &quot;петербург&quot; ("/>
      <sheetName val="DAILY__ACCUMULATED_R_AND_F4"/>
      <sheetName val="R_CURVES_Иркутск4"/>
      <sheetName val="CAMPAIGN_RESULTS4"/>
      <sheetName val="CAMPAIGN_AVERAGE_F4"/>
      <sheetName val="OWNPROD_LAT4"/>
      <sheetName val="TV_summary_by_month4"/>
      <sheetName val="СТС_GRP_1_94"/>
      <sheetName val="TV_spot_supplier4"/>
      <sheetName val="_Total4"/>
      <sheetName val="Клипы_(2)3"/>
      <sheetName val="Gazete_teaser3"/>
      <sheetName val="Европа_Плюс_Москва_3"/>
      <sheetName val="Ind__Eco__20033"/>
      <sheetName val="Data_USA_Cdn$3"/>
      <sheetName val="Data_USA_US$3"/>
      <sheetName val="Media_Citroen_JAN2"/>
      <sheetName val="Media_Plan_UAH3"/>
      <sheetName val="Конструктор_недели2"/>
      <sheetName val="Нац_ТВ_2019_13_082"/>
      <sheetName val="Work_Sheet1"/>
      <sheetName val="Date_21"/>
      <sheetName val="Чел_Европа+_от_сми1"/>
      <sheetName val="Владивосток_ОРТ_(наш)"/>
      <sheetName val="all_brands_(all_media)"/>
      <sheetName val="kz_budget_lc"/>
      <sheetName val="FY04_fx"/>
      <sheetName val="цены_и_коэф_"/>
      <sheetName val="разбивка_по_каналам"/>
      <sheetName val="Total_Sara_Lee_Int_WH"/>
      <sheetName val="Total_Sara_Lee_Int_FTE"/>
      <sheetName val="шаблон помесячно"/>
      <sheetName val="Picklists"/>
    </sheetNames>
    <sheetDataSet>
      <sheetData sheetId="0" refreshError="1">
        <row r="2">
          <cell r="B2" t="str">
            <v>15+</v>
          </cell>
        </row>
        <row r="6">
          <cell r="P6">
            <v>7.4042043629654009</v>
          </cell>
          <cell r="Q6">
            <v>12.637494009221278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8</v>
          </cell>
        </row>
      </sheetData>
      <sheetData sheetId="45">
        <row r="6">
          <cell r="P6">
            <v>8</v>
          </cell>
        </row>
      </sheetData>
      <sheetData sheetId="46">
        <row r="6">
          <cell r="P6">
            <v>8</v>
          </cell>
        </row>
      </sheetData>
      <sheetData sheetId="47">
        <row r="6">
          <cell r="P6">
            <v>8</v>
          </cell>
        </row>
      </sheetData>
      <sheetData sheetId="48">
        <row r="6">
          <cell r="P6">
            <v>8</v>
          </cell>
        </row>
      </sheetData>
      <sheetData sheetId="49">
        <row r="6">
          <cell r="P6">
            <v>8</v>
          </cell>
        </row>
      </sheetData>
      <sheetData sheetId="50">
        <row r="6">
          <cell r="P6">
            <v>8</v>
          </cell>
        </row>
      </sheetData>
      <sheetData sheetId="51">
        <row r="6">
          <cell r="P6">
            <v>8</v>
          </cell>
        </row>
      </sheetData>
      <sheetData sheetId="52">
        <row r="6">
          <cell r="P6">
            <v>8</v>
          </cell>
        </row>
      </sheetData>
      <sheetData sheetId="53">
        <row r="6">
          <cell r="P6">
            <v>8</v>
          </cell>
        </row>
      </sheetData>
      <sheetData sheetId="54">
        <row r="6">
          <cell r="P6">
            <v>8</v>
          </cell>
        </row>
      </sheetData>
      <sheetData sheetId="55">
        <row r="6">
          <cell r="P6">
            <v>8</v>
          </cell>
        </row>
      </sheetData>
      <sheetData sheetId="56">
        <row r="6">
          <cell r="P6">
            <v>8</v>
          </cell>
        </row>
      </sheetData>
      <sheetData sheetId="57">
        <row r="6">
          <cell r="P6">
            <v>8</v>
          </cell>
        </row>
      </sheetData>
      <sheetData sheetId="58">
        <row r="6">
          <cell r="P6">
            <v>8</v>
          </cell>
        </row>
      </sheetData>
      <sheetData sheetId="59">
        <row r="6">
          <cell r="P6">
            <v>8</v>
          </cell>
        </row>
      </sheetData>
      <sheetData sheetId="60" refreshError="1"/>
      <sheetData sheetId="61" refreshError="1"/>
      <sheetData sheetId="62">
        <row r="6">
          <cell r="P6">
            <v>8</v>
          </cell>
        </row>
      </sheetData>
      <sheetData sheetId="63">
        <row r="6">
          <cell r="P6">
            <v>8</v>
          </cell>
        </row>
      </sheetData>
      <sheetData sheetId="64">
        <row r="6">
          <cell r="P6">
            <v>8</v>
          </cell>
        </row>
      </sheetData>
      <sheetData sheetId="65" refreshError="1"/>
      <sheetData sheetId="66" refreshError="1"/>
      <sheetData sheetId="67">
        <row r="6">
          <cell r="P6">
            <v>8</v>
          </cell>
        </row>
      </sheetData>
      <sheetData sheetId="68">
        <row r="6">
          <cell r="P6">
            <v>8</v>
          </cell>
        </row>
      </sheetData>
      <sheetData sheetId="69">
        <row r="6">
          <cell r="P6">
            <v>8</v>
          </cell>
        </row>
      </sheetData>
      <sheetData sheetId="70">
        <row r="6">
          <cell r="P6">
            <v>8</v>
          </cell>
        </row>
      </sheetData>
      <sheetData sheetId="71">
        <row r="6">
          <cell r="P6">
            <v>8</v>
          </cell>
        </row>
      </sheetData>
      <sheetData sheetId="72">
        <row r="6">
          <cell r="P6">
            <v>8</v>
          </cell>
        </row>
      </sheetData>
      <sheetData sheetId="73">
        <row r="6">
          <cell r="P6">
            <v>8</v>
          </cell>
        </row>
      </sheetData>
      <sheetData sheetId="74">
        <row r="6">
          <cell r="P6">
            <v>8</v>
          </cell>
        </row>
      </sheetData>
      <sheetData sheetId="75">
        <row r="6">
          <cell r="P6">
            <v>8</v>
          </cell>
        </row>
      </sheetData>
      <sheetData sheetId="76">
        <row r="6">
          <cell r="P6">
            <v>8</v>
          </cell>
        </row>
      </sheetData>
      <sheetData sheetId="77">
        <row r="6">
          <cell r="P6">
            <v>8</v>
          </cell>
        </row>
      </sheetData>
      <sheetData sheetId="78">
        <row r="6">
          <cell r="P6">
            <v>8</v>
          </cell>
        </row>
      </sheetData>
      <sheetData sheetId="79">
        <row r="6">
          <cell r="P6">
            <v>8</v>
          </cell>
        </row>
      </sheetData>
      <sheetData sheetId="80">
        <row r="6">
          <cell r="P6">
            <v>8</v>
          </cell>
        </row>
      </sheetData>
      <sheetData sheetId="81">
        <row r="6">
          <cell r="P6">
            <v>8</v>
          </cell>
        </row>
      </sheetData>
      <sheetData sheetId="82">
        <row r="6">
          <cell r="P6">
            <v>8</v>
          </cell>
        </row>
      </sheetData>
      <sheetData sheetId="83">
        <row r="6">
          <cell r="P6">
            <v>8</v>
          </cell>
        </row>
      </sheetData>
      <sheetData sheetId="84">
        <row r="6">
          <cell r="P6">
            <v>8</v>
          </cell>
        </row>
      </sheetData>
      <sheetData sheetId="85">
        <row r="6">
          <cell r="P6">
            <v>8</v>
          </cell>
        </row>
      </sheetData>
      <sheetData sheetId="86">
        <row r="6">
          <cell r="P6">
            <v>8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6">
          <cell r="P6">
            <v>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6">
          <cell r="P6">
            <v>8</v>
          </cell>
        </row>
      </sheetData>
      <sheetData sheetId="119">
        <row r="6">
          <cell r="P6">
            <v>8</v>
          </cell>
        </row>
      </sheetData>
      <sheetData sheetId="120">
        <row r="6">
          <cell r="P6">
            <v>8</v>
          </cell>
        </row>
      </sheetData>
      <sheetData sheetId="121">
        <row r="6">
          <cell r="P6">
            <v>8</v>
          </cell>
        </row>
      </sheetData>
      <sheetData sheetId="122">
        <row r="6">
          <cell r="P6">
            <v>8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8"/>
      <sheetName val="KP 2008"/>
      <sheetName val="cost per month"/>
      <sheetName val="Themenübersicht"/>
      <sheetName val="12"/>
      <sheetName val="Media plan"/>
      <sheetName val="MA-BL"/>
      <sheetName val="Kostenplan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enplan"/>
      <sheetName val="Grunddaten für Einkauf"/>
      <sheetName val="Belegungsplan"/>
      <sheetName val="Streuplan"/>
      <sheetName val="Mo-Fr-Kalkulation"/>
      <sheetName val="Sa-Kalkulation"/>
      <sheetName val="So-Kalkulation"/>
      <sheetName val="Jahresvolumen"/>
      <sheetName val="Rabattstaffeln"/>
      <sheetName val="Kombinationen 2005"/>
      <sheetName val="BudgetControl"/>
      <sheetName val="Dealcheck"/>
      <sheetName val="PIANO GENERALE"/>
      <sheetName val="MP 2008"/>
      <sheetName val="12"/>
      <sheetName val="Grunddaten_für_Einkauf"/>
      <sheetName val="Kombinationen_2005"/>
      <sheetName val="PIANO_GENERALE"/>
      <sheetName val="Kostenplan%20Funk_070205.xls"/>
      <sheetName val="Kostenplan Funk_070205"/>
      <sheetName val="Table"/>
      <sheetName val="PC"/>
      <sheetName val="Corp"/>
      <sheetName val="IW"/>
      <sheetName val="MBS"/>
      <sheetName val="MED"/>
      <sheetName val="Server"/>
      <sheetName val="Client"/>
      <sheetName val=""/>
      <sheetName val="Commercial SoC"/>
      <sheetName val="MP 2007"/>
      <sheetName val="Grunddaten f?r Einkauf"/>
      <sheetName val="Dashboard Data"/>
      <sheetName val="Grunddaten_für_Einkauf1"/>
      <sheetName val="Kombinationen_20051"/>
      <sheetName val="PIANO_GENERALE1"/>
      <sheetName val="MP_2008"/>
      <sheetName val="Dashboard_Data"/>
      <sheetName val="Kostenplan%20Funk_070205_xls"/>
      <sheetName val="Kostenplan_Funk_070205"/>
      <sheetName val="Grunddaten_für_Einkauf2"/>
      <sheetName val="Kombinationen_20052"/>
      <sheetName val="PIANO_GENERALE2"/>
      <sheetName val="Grunddaten_für_Einkauf3"/>
      <sheetName val="Kombinationen_20053"/>
      <sheetName val="PIANO_GENERALE3"/>
      <sheetName val="MP_20081"/>
      <sheetName val="Grunddaten_für_Einkauf4"/>
      <sheetName val="Kombinationen_20054"/>
      <sheetName val="PIANO_GENERALE4"/>
      <sheetName val="MP_20082"/>
      <sheetName val="GRP"/>
      <sheetName val="MP NEON 2007"/>
      <sheetName val="MEN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i09Ewa35CMrdfSNnWzn0qSHiOxq8jBKR/view?usp=share_link" TargetMode="External"/><Relationship Id="rId18" Type="http://schemas.openxmlformats.org/officeDocument/2006/relationships/hyperlink" Target="https://drive.google.com/file/d/1B6YdcLWfpxjZQsxhj3XbKgOELDmOn-wc/view?usp=share_link" TargetMode="External"/><Relationship Id="rId26" Type="http://schemas.openxmlformats.org/officeDocument/2006/relationships/hyperlink" Target="https://drive.google.com/file/d/1tHxuollaKTYGjMCX-Univv3ylah-N3GW/view?usp=share_link" TargetMode="External"/><Relationship Id="rId39" Type="http://schemas.openxmlformats.org/officeDocument/2006/relationships/hyperlink" Target="https://drive.google.com/file/d/1nDfPVkL_EWSreIdYfH4FrNXXI6bui2tY/view?usp=share_link" TargetMode="External"/><Relationship Id="rId21" Type="http://schemas.openxmlformats.org/officeDocument/2006/relationships/hyperlink" Target="https://drive.google.com/file/d/1JQcJ8uOe-zQwrRK5m2lveI602POhvIIM/view?usp=drive_link" TargetMode="External"/><Relationship Id="rId34" Type="http://schemas.openxmlformats.org/officeDocument/2006/relationships/hyperlink" Target="https://drive.google.com/file/d/1BTZg9H8CUi1y3qYnI8zLYoN-F8CxeUgf/view?usp=share_link" TargetMode="External"/><Relationship Id="rId42" Type="http://schemas.openxmlformats.org/officeDocument/2006/relationships/hyperlink" Target="https://drive.google.com/file/d/1bFLUDuIepb_3Cm142gxrZqCJsg19AIyv/view?usp=share_link" TargetMode="External"/><Relationship Id="rId47" Type="http://schemas.openxmlformats.org/officeDocument/2006/relationships/hyperlink" Target="https://drive.google.com/file/d/14K4kiRoVDy3bVytCps0_ZAAuu9h_gXyd/view?usp=share_link" TargetMode="External"/><Relationship Id="rId50" Type="http://schemas.openxmlformats.org/officeDocument/2006/relationships/hyperlink" Target="https://drive.google.com/file/d/1Ld_eIj7tA_h_zOVlh_U9zyJJJ7VpDUAa/view?usp=drive_link" TargetMode="External"/><Relationship Id="rId7" Type="http://schemas.openxmlformats.org/officeDocument/2006/relationships/hyperlink" Target="https://drive.google.com/file/d/1wZdv_duKu2tQEUK8wKarDVvnFSx1HIuz/view?usp=share_link" TargetMode="External"/><Relationship Id="rId2" Type="http://schemas.openxmlformats.org/officeDocument/2006/relationships/hyperlink" Target="https://drive.google.com/file/d/1mUfQLgHgVoCsF2A9_9U2JCr9MwyQd6Qa/view?usp=share_link" TargetMode="External"/><Relationship Id="rId16" Type="http://schemas.openxmlformats.org/officeDocument/2006/relationships/hyperlink" Target="https://drive.google.com/file/d/1evghv2gvLlU1Zyu-lKH3ClvSnR5eLnPT/view?usp=share_link" TargetMode="External"/><Relationship Id="rId29" Type="http://schemas.openxmlformats.org/officeDocument/2006/relationships/hyperlink" Target="https://drive.google.com/file/d/1JtiS-oz5ZyEh7YPH2-iIQCpYel9TB8pk/view?usp=sharing" TargetMode="External"/><Relationship Id="rId11" Type="http://schemas.openxmlformats.org/officeDocument/2006/relationships/hyperlink" Target="https://drive.google.com/file/d/1VQNO4vTycq15dMGlVAJRqsoNI03ZaGmr/view?usp=share_link" TargetMode="External"/><Relationship Id="rId24" Type="http://schemas.openxmlformats.org/officeDocument/2006/relationships/hyperlink" Target="https://drive.google.com/file/d/1JD443DtIWKJ0jVBmRbasSd4P9YC8QzkJ/view?usp=drive_link" TargetMode="External"/><Relationship Id="rId32" Type="http://schemas.openxmlformats.org/officeDocument/2006/relationships/hyperlink" Target="https://drive.google.com/file/d/1_-rVDBhUnU_QrukFGGz_ACm_jv9yyNRP/view?usp=drive_link" TargetMode="External"/><Relationship Id="rId37" Type="http://schemas.openxmlformats.org/officeDocument/2006/relationships/hyperlink" Target="https://drive.google.com/file/d/1ycLf-P3BZxjI57BB7pnH2-fsM-2HKShU/view?usp=share_link" TargetMode="External"/><Relationship Id="rId40" Type="http://schemas.openxmlformats.org/officeDocument/2006/relationships/hyperlink" Target="https://drive.google.com/file/d/1bBvZ0HQzNq1fDo1CDZHerJgrqtckTJYZ/view" TargetMode="External"/><Relationship Id="rId45" Type="http://schemas.openxmlformats.org/officeDocument/2006/relationships/hyperlink" Target="https://drive.google.com/file/d/1QUyo4K3-JVAH_nX8iaV9FZZI3uufkDa1/view?usp=drive_link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https://drive.google.com/file/d/1Ev0WNHh_54Z8B3mgoMWcVmQrH41Yb70F/view?usp=share_link" TargetMode="External"/><Relationship Id="rId10" Type="http://schemas.openxmlformats.org/officeDocument/2006/relationships/hyperlink" Target="https://drive.google.com/file/d/1a3inNGUmctrOzUHUm2E5WWCJwUTA6Eu8/view?usp=share_link" TargetMode="External"/><Relationship Id="rId19" Type="http://schemas.openxmlformats.org/officeDocument/2006/relationships/hyperlink" Target="https://drive.google.com/file/d/1ALJFt0rzHi2DbVaXFw30Xs2Z45U0MyPJ/view?usp=share_link" TargetMode="External"/><Relationship Id="rId31" Type="http://schemas.openxmlformats.org/officeDocument/2006/relationships/hyperlink" Target="https://drive.google.com/file/d/1LnsxrJdS3fbWkkd6B8Vo5VQplZvgZYd1/view?usp=share_link" TargetMode="External"/><Relationship Id="rId44" Type="http://schemas.openxmlformats.org/officeDocument/2006/relationships/hyperlink" Target="https://drive.google.com/file/d/1dHSkM68r0rySUWME-3s8XBQ3XZu5Rauz/view?usp=share_link" TargetMode="External"/><Relationship Id="rId52" Type="http://schemas.openxmlformats.org/officeDocument/2006/relationships/hyperlink" Target="https://drive.google.com/file/d/1QNUaASS5WD9rEHzRFeeIQsLs-eRwYBhW/view?usp=share_link" TargetMode="External"/><Relationship Id="rId4" Type="http://schemas.openxmlformats.org/officeDocument/2006/relationships/hyperlink" Target="https://drive.google.com/file/d/1-ejPTUGFXee5zhaVnWAXXRsSaqNcWlkH/view?usp=share_link" TargetMode="External"/><Relationship Id="rId9" Type="http://schemas.openxmlformats.org/officeDocument/2006/relationships/hyperlink" Target="https://drive.google.com/file/d/1sogU51gkjrx_lWcd4UwKx_6JFqsKb7Hq/view?usp=share_link" TargetMode="External"/><Relationship Id="rId14" Type="http://schemas.openxmlformats.org/officeDocument/2006/relationships/hyperlink" Target="https://drive.google.com/file/d/1lgPxHgeycv5-XnGVcp6U_EqagFGsZJvm/view?usp=drive_link" TargetMode="External"/><Relationship Id="rId22" Type="http://schemas.openxmlformats.org/officeDocument/2006/relationships/hyperlink" Target="https://drive.google.com/file/d/1MVdT7V8C-Sf_ix5d4QkSqfkZm-GFtagY/view?usp=share_link" TargetMode="External"/><Relationship Id="rId27" Type="http://schemas.openxmlformats.org/officeDocument/2006/relationships/hyperlink" Target="https://drive.google.com/file/d/11Z87JOOPFWpaSnfXlMY4kpiVyXYSIbxY/view?usp=share_link" TargetMode="External"/><Relationship Id="rId30" Type="http://schemas.openxmlformats.org/officeDocument/2006/relationships/hyperlink" Target="https://drive.google.com/file/d/1mxRNtTVtNmBMyjb1SsR3p36QkoV_VJcK/view?usp=sharing" TargetMode="External"/><Relationship Id="rId35" Type="http://schemas.openxmlformats.org/officeDocument/2006/relationships/hyperlink" Target="https://drive.google.com/file/d/1XQMaKcaMiZagTd5meIVZtiw-yEiuXdRE/view?usp=share_link" TargetMode="External"/><Relationship Id="rId43" Type="http://schemas.openxmlformats.org/officeDocument/2006/relationships/hyperlink" Target="https://drive.google.com/file/d/1UlZrAvgfwoxzks7WhhhJqFhV_s94Wm26/view?usp=share_link" TargetMode="External"/><Relationship Id="rId48" Type="http://schemas.openxmlformats.org/officeDocument/2006/relationships/hyperlink" Target="https://drive.google.com/file/d/11fg-HW5_3k0v8wtWvxOrTBEvquwZ22IQ/view?usp=share_link" TargetMode="External"/><Relationship Id="rId8" Type="http://schemas.openxmlformats.org/officeDocument/2006/relationships/hyperlink" Target="https://drive.google.com/file/d/1jZDDmLzT0u8iDed_s6yYK-QShJY6lIp_/view?usp=share_link" TargetMode="External"/><Relationship Id="rId51" Type="http://schemas.openxmlformats.org/officeDocument/2006/relationships/hyperlink" Target="https://drive.google.com/file/d/1advJYQYPx79MoLsP7ZXZOr_8FwW2qfuw/view?usp=share_link" TargetMode="External"/><Relationship Id="rId3" Type="http://schemas.openxmlformats.org/officeDocument/2006/relationships/hyperlink" Target="https://drive.google.com/file/d/1D0XRYili1zXCVBsHk0HavnWrzGWSwcsH/view?usp=share_link" TargetMode="External"/><Relationship Id="rId12" Type="http://schemas.openxmlformats.org/officeDocument/2006/relationships/hyperlink" Target="https://drive.google.com/file/d/1z0KEVQUH3d_Q-_iugTGiL1y5XQX3oxfj/view?usp=drive_link" TargetMode="External"/><Relationship Id="rId17" Type="http://schemas.openxmlformats.org/officeDocument/2006/relationships/hyperlink" Target="https://drive.google.com/file/d/1LA4F1T3B-UzyLqCBpV9UGObVkwklykIp/view?usp=share_link" TargetMode="External"/><Relationship Id="rId25" Type="http://schemas.openxmlformats.org/officeDocument/2006/relationships/hyperlink" Target="https://drive.google.com/file/d/11OB1vUpi60hcb25AdcPng8wMXG24LF-C/view?usp=share_link" TargetMode="External"/><Relationship Id="rId33" Type="http://schemas.openxmlformats.org/officeDocument/2006/relationships/hyperlink" Target="https://drive.google.com/file/d/1DvN_SVpwMOggne3oO_F6Ebyh8nqn_v0_/view?usp=sharing" TargetMode="External"/><Relationship Id="rId38" Type="http://schemas.openxmlformats.org/officeDocument/2006/relationships/hyperlink" Target="https://drive.google.com/file/d/1-_Pz5t6VNz6sIfEb7SIaiQtPCQFeNnSh/view?usp=share_link" TargetMode="External"/><Relationship Id="rId46" Type="http://schemas.openxmlformats.org/officeDocument/2006/relationships/hyperlink" Target="https://drive.google.com/file/d/12wkhBlMh2N4YM7RZ-55RRzu6yvviebg8/view?usp=sharing" TargetMode="External"/><Relationship Id="rId20" Type="http://schemas.openxmlformats.org/officeDocument/2006/relationships/hyperlink" Target="https://drive.google.com/file/d/1VK8ClvH6nlLF2GWGjjwlS2ac2k4BXqSA/view?usp=drive_link" TargetMode="External"/><Relationship Id="rId41" Type="http://schemas.openxmlformats.org/officeDocument/2006/relationships/hyperlink" Target="https://drive.google.com/file/d/1uo5NzThMGRPUlR-cMBLcsI41BnUd2owf/view?usp=share_link" TargetMode="External"/><Relationship Id="rId54" Type="http://schemas.openxmlformats.org/officeDocument/2006/relationships/drawing" Target="../drawings/drawing2.xml"/><Relationship Id="rId1" Type="http://schemas.openxmlformats.org/officeDocument/2006/relationships/hyperlink" Target="https://drive.google.com/file/d/1381oWSjUlpUmp6ysOYzeRDhLo5SwV65I/view?usp=share_link" TargetMode="External"/><Relationship Id="rId6" Type="http://schemas.openxmlformats.org/officeDocument/2006/relationships/hyperlink" Target="https://drive.google.com/file/d/1VOoFbbxdDyKDmaejuOqwkO52i0SqVk0f/view?usp=share_link" TargetMode="External"/><Relationship Id="rId15" Type="http://schemas.openxmlformats.org/officeDocument/2006/relationships/hyperlink" Target="https://drive.google.com/file/d/1AmLsbhQCg_OQ8-ZTLDY4kH4wr8_C-C08/view?usp=share_link" TargetMode="External"/><Relationship Id="rId23" Type="http://schemas.openxmlformats.org/officeDocument/2006/relationships/hyperlink" Target="https://drive.google.com/file/d/13pxE5U2tLBQJtVn3q7NJvkIa7_94tavU/view?usp=drive_link" TargetMode="External"/><Relationship Id="rId28" Type="http://schemas.openxmlformats.org/officeDocument/2006/relationships/hyperlink" Target="https://drive.google.com/file/d/1AoncQWdIihQbhdEUTdP5QF4aXor3r_VB/view?usp=sharing" TargetMode="External"/><Relationship Id="rId36" Type="http://schemas.openxmlformats.org/officeDocument/2006/relationships/hyperlink" Target="https://drive.google.com/file/d/17LuBMNAkJniLAkEy7T5DVUrmGSQilLbn/view?usp=sharing" TargetMode="External"/><Relationship Id="rId49" Type="http://schemas.openxmlformats.org/officeDocument/2006/relationships/hyperlink" Target="https://drive.google.com/file/d/1DHZss3CiNUMmG6iIps8GgELPXB0jj6He/view?usp=sharin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hU7dDX2bWAq4p314buatHA4tfDFA1Pq5/view?usp=sharing" TargetMode="External"/><Relationship Id="rId21" Type="http://schemas.openxmlformats.org/officeDocument/2006/relationships/hyperlink" Target="https://drive.google.com/file/d/1wNbKCTCkLv46KYIKxXck4xW0wruPSbJq/view?usp=sharing" TargetMode="External"/><Relationship Id="rId42" Type="http://schemas.openxmlformats.org/officeDocument/2006/relationships/hyperlink" Target="https://drive.google.com/file/d/1ONXVeaA2AvHXV3Xy_Qp1_DnD00LCuHMa/view?usp=sharing" TargetMode="External"/><Relationship Id="rId47" Type="http://schemas.openxmlformats.org/officeDocument/2006/relationships/hyperlink" Target="https://drive.google.com/file/d/1mk_0jnZ-8wQfe7FnkoK0JKZHPyUOA31Q/view?usp=sharing" TargetMode="External"/><Relationship Id="rId63" Type="http://schemas.openxmlformats.org/officeDocument/2006/relationships/hyperlink" Target="https://drive.google.com/file/d/1RRnm_6iRac1WSE_aO8qCGHEVx4_WYPVk/view?usp=sharing" TargetMode="External"/><Relationship Id="rId68" Type="http://schemas.openxmlformats.org/officeDocument/2006/relationships/hyperlink" Target="https://drive.google.com/file/d/1tc0eYtvykT9q3htzlOnlhRjPw3b6dQ4M/view?usp=sharing" TargetMode="External"/><Relationship Id="rId84" Type="http://schemas.openxmlformats.org/officeDocument/2006/relationships/hyperlink" Target="https://drive.google.com/file/d/1OqPiUQBOUnVgDWuephWs8G1jbH82Bm0U/view?usp=sharing" TargetMode="External"/><Relationship Id="rId89" Type="http://schemas.openxmlformats.org/officeDocument/2006/relationships/hyperlink" Target="https://drive.google.com/file/d/1reb4ZtUBrd3WLp6fh8eiW2kalZmUbyKH/view?usp=sharing" TargetMode="External"/><Relationship Id="rId16" Type="http://schemas.openxmlformats.org/officeDocument/2006/relationships/hyperlink" Target="https://drive.google.com/file/d/19KWhq7ff9uHpLUqt9rh4Xh6gr8UMmFq3/view?usp=sharing" TargetMode="External"/><Relationship Id="rId11" Type="http://schemas.openxmlformats.org/officeDocument/2006/relationships/hyperlink" Target="https://drive.google.com/file/d/1XDUxmv6U2P6csDfWTBLOrW5xZI6LUt0j/view?usp=sharing" TargetMode="External"/><Relationship Id="rId32" Type="http://schemas.openxmlformats.org/officeDocument/2006/relationships/hyperlink" Target="https://drive.google.com/file/d/1k7J92lscd1vBFhL0S9K_plN1u91Bnfx6/view?usp=sharing" TargetMode="External"/><Relationship Id="rId37" Type="http://schemas.openxmlformats.org/officeDocument/2006/relationships/hyperlink" Target="https://drive.google.com/file/d/1Blkbtw2uYfjndUbRgFkAgqKnikel2z40/view?usp=sharing" TargetMode="External"/><Relationship Id="rId53" Type="http://schemas.openxmlformats.org/officeDocument/2006/relationships/hyperlink" Target="https://drive.google.com/file/d/1n6hs8FxT8l1Aubr9sjWtUNZ3jqT4ivJk/view?usp=sharing" TargetMode="External"/><Relationship Id="rId58" Type="http://schemas.openxmlformats.org/officeDocument/2006/relationships/hyperlink" Target="https://drive.google.com/file/d/1MOKX5fHh1ggX9uV4vw-z7GOT6wSnHuJD/view?usp=sharing" TargetMode="External"/><Relationship Id="rId74" Type="http://schemas.openxmlformats.org/officeDocument/2006/relationships/hyperlink" Target="https://drive.google.com/file/d/1xWxh4HiaAQyTWO0R9CFTa8n4en6fldjN/view?usp=sharing" TargetMode="External"/><Relationship Id="rId79" Type="http://schemas.openxmlformats.org/officeDocument/2006/relationships/hyperlink" Target="https://drive.google.com/file/d/1VnadPIEMoNH0BLf1BNhKmOFRO4gD4tOv/view?usp=sharing" TargetMode="External"/><Relationship Id="rId5" Type="http://schemas.openxmlformats.org/officeDocument/2006/relationships/hyperlink" Target="https://drive.google.com/file/d/1O-r0Smtnr9t53zNNlhB--ueeDrc-dpkd/view?usp=sharing" TargetMode="External"/><Relationship Id="rId90" Type="http://schemas.openxmlformats.org/officeDocument/2006/relationships/hyperlink" Target="https://drive.google.com/file/d/1qAvd3STawtYNJtqG4y5BVfv0CAfK5ej2/view?usp=sharing" TargetMode="External"/><Relationship Id="rId14" Type="http://schemas.openxmlformats.org/officeDocument/2006/relationships/hyperlink" Target="https://drive.google.com/file/d/1TZ6wUxG5eRajjfI5WOIcbwXftjOz8b3X/view?usp=sharing" TargetMode="External"/><Relationship Id="rId22" Type="http://schemas.openxmlformats.org/officeDocument/2006/relationships/hyperlink" Target="https://drive.google.com/file/d/1FLlNBupcjSkQ3SH0f6Vsyvtj23fAG5-K/view?usp=sharing" TargetMode="External"/><Relationship Id="rId27" Type="http://schemas.openxmlformats.org/officeDocument/2006/relationships/hyperlink" Target="https://drive.google.com/file/d/1H5FJc-JJq73SFyfUDdXNELZf0UpKye9s/view?usp=sharing" TargetMode="External"/><Relationship Id="rId30" Type="http://schemas.openxmlformats.org/officeDocument/2006/relationships/hyperlink" Target="https://drive.google.com/file/d/11Na_weSbJAy1DHrAx9CEYyTmqtrbWl-o/view?usp=sharing" TargetMode="External"/><Relationship Id="rId35" Type="http://schemas.openxmlformats.org/officeDocument/2006/relationships/hyperlink" Target="https://drive.google.com/file/d/1IrG4xk8CC5-G_ZF9FXprsRyJmADc3XQa/view?usp=sharing" TargetMode="External"/><Relationship Id="rId43" Type="http://schemas.openxmlformats.org/officeDocument/2006/relationships/hyperlink" Target="https://drive.google.com/file/d/1vMTm7KCKRC1kRx6Pe9J_15irWa8XE1ko/view?usp=sharing" TargetMode="External"/><Relationship Id="rId48" Type="http://schemas.openxmlformats.org/officeDocument/2006/relationships/hyperlink" Target="https://drive.google.com/file/d/1zapDlGMlZnuYYnJmjvBlHkMmcPNMVKZZ/view?usp=sharing" TargetMode="External"/><Relationship Id="rId56" Type="http://schemas.openxmlformats.org/officeDocument/2006/relationships/hyperlink" Target="https://drive.google.com/file/d/1v2WhAr4OpRkuLQP6uJqdqsLh-x5BE4u6/view?usp=sharing" TargetMode="External"/><Relationship Id="rId64" Type="http://schemas.openxmlformats.org/officeDocument/2006/relationships/hyperlink" Target="https://drive.google.com/file/d/1PHmjFr-2iCg2qD9CbzED4RiJJh8UMlgp/view?usp=sharing" TargetMode="External"/><Relationship Id="rId69" Type="http://schemas.openxmlformats.org/officeDocument/2006/relationships/hyperlink" Target="https://drive.google.com/file/d/1KQu7t5O18xk64xEZGBq_isvF53_FlzPS/view?usp=sharing" TargetMode="External"/><Relationship Id="rId77" Type="http://schemas.openxmlformats.org/officeDocument/2006/relationships/hyperlink" Target="https://drive.google.com/file/d/1BG56ojPO4pOTN7rHvfvp-tsve5IV5mWj/view?usp=sharing" TargetMode="External"/><Relationship Id="rId8" Type="http://schemas.openxmlformats.org/officeDocument/2006/relationships/hyperlink" Target="https://drive.google.com/file/d/1V0yLo5Gau6sUwHblQm46hqv_xiX5pEOF/view?usp=sharing" TargetMode="External"/><Relationship Id="rId51" Type="http://schemas.openxmlformats.org/officeDocument/2006/relationships/hyperlink" Target="https://drive.google.com/file/d/1FoP6wNHULmlOZ_pPSa7I1JkjzqqVmrfO/view?usp=sharing" TargetMode="External"/><Relationship Id="rId72" Type="http://schemas.openxmlformats.org/officeDocument/2006/relationships/hyperlink" Target="https://drive.google.com/file/d/1no4W0i_Wj-xPzDYkwLAA8fF6L6BmYdoU/view?usp=sharing" TargetMode="External"/><Relationship Id="rId80" Type="http://schemas.openxmlformats.org/officeDocument/2006/relationships/hyperlink" Target="https://drive.google.com/file/d/1LNfShRbO_-n1ngLGTBT1CbpEX8sgkQe8/view?usp=sharing" TargetMode="External"/><Relationship Id="rId85" Type="http://schemas.openxmlformats.org/officeDocument/2006/relationships/hyperlink" Target="https://drive.google.com/file/d/1gFeF3mKWvJL1NB6P2SL-hF-P1EDYiR2w/view?usp=sharing" TargetMode="External"/><Relationship Id="rId3" Type="http://schemas.openxmlformats.org/officeDocument/2006/relationships/hyperlink" Target="https://drive.google.com/file/d/1xywnr82eM7e4EtwnAtz-8v4Pr33bkskc/view?usp=sharing" TargetMode="External"/><Relationship Id="rId12" Type="http://schemas.openxmlformats.org/officeDocument/2006/relationships/hyperlink" Target="https://drive.google.com/file/d/11jvvpVYYUhpXZVLmFWh724o0GGCkQdCg/view?usp=sharing" TargetMode="External"/><Relationship Id="rId17" Type="http://schemas.openxmlformats.org/officeDocument/2006/relationships/hyperlink" Target="https://drive.google.com/file/d/1DnQCrn1_5HjcvTC9NAU6Ct9mHPa_SG48/view?usp=sharing" TargetMode="External"/><Relationship Id="rId25" Type="http://schemas.openxmlformats.org/officeDocument/2006/relationships/hyperlink" Target="https://drive.google.com/file/d/1JqVzDTrTw1nq6KGrQAtTHCcCFO7eUm8j/view?usp=sharing" TargetMode="External"/><Relationship Id="rId33" Type="http://schemas.openxmlformats.org/officeDocument/2006/relationships/hyperlink" Target="https://drive.google.com/file/d/16FuqcsdxCAQ6pgUcC4TU2GUzgSgpfr1-/view?usp=sharing" TargetMode="External"/><Relationship Id="rId38" Type="http://schemas.openxmlformats.org/officeDocument/2006/relationships/hyperlink" Target="https://drive.google.com/file/d/1cpw00QnHdNzNoWhlKEdaC0U-127rSz0y/view?usp=sharing" TargetMode="External"/><Relationship Id="rId46" Type="http://schemas.openxmlformats.org/officeDocument/2006/relationships/hyperlink" Target="https://drive.google.com/file/d/12m-SQxHXQ4xP-AeHvUJOMdPRHrt6nic_/view?usp=sharing" TargetMode="External"/><Relationship Id="rId59" Type="http://schemas.openxmlformats.org/officeDocument/2006/relationships/hyperlink" Target="https://drive.google.com/file/d/1ZVIogo-kP5vLaLlZPHRal3yaqxBhM6Ed/view?usp=sharing" TargetMode="External"/><Relationship Id="rId67" Type="http://schemas.openxmlformats.org/officeDocument/2006/relationships/hyperlink" Target="https://drive.google.com/file/d/1I0Lrl1faasURY8l9SWk4l0CaNkViKeWn/view?usp=sharing" TargetMode="External"/><Relationship Id="rId20" Type="http://schemas.openxmlformats.org/officeDocument/2006/relationships/hyperlink" Target="https://drive.google.com/file/d/1pvc1ze9XaDa9zXqrR_L4HnuviO57fuh2/view?usp=sharing" TargetMode="External"/><Relationship Id="rId41" Type="http://schemas.openxmlformats.org/officeDocument/2006/relationships/hyperlink" Target="https://drive.google.com/file/d/1VUOJr_-pgS1AS3ugYs5_lKDD7zl0Npvd/view?usp=sharing" TargetMode="External"/><Relationship Id="rId54" Type="http://schemas.openxmlformats.org/officeDocument/2006/relationships/hyperlink" Target="https://drive.google.com/file/d/1_KEbJVw_K111XSCJOyuIrd4X__I0DaBK/view?usp=sharing" TargetMode="External"/><Relationship Id="rId62" Type="http://schemas.openxmlformats.org/officeDocument/2006/relationships/hyperlink" Target="https://drive.google.com/file/d/1_7eTxCGLOl0qbXhb_MVv5c35cpfxHFQw/view?usp=sharing" TargetMode="External"/><Relationship Id="rId70" Type="http://schemas.openxmlformats.org/officeDocument/2006/relationships/hyperlink" Target="https://drive.google.com/file/d/1JmFnXcTt9nIHQCL1GIVFXPwf6BzvM1Hn/view?usp=sharing" TargetMode="External"/><Relationship Id="rId75" Type="http://schemas.openxmlformats.org/officeDocument/2006/relationships/hyperlink" Target="https://drive.google.com/file/d/13Hf7_YGnFgNdn8PuI1mIWIwMa7I4srbV/view?usp=sharing" TargetMode="External"/><Relationship Id="rId83" Type="http://schemas.openxmlformats.org/officeDocument/2006/relationships/hyperlink" Target="https://drive.google.com/file/d/1F2EYqpLXKfF0ng7FKvK00MaZFh2twk7j/view?usp=sharing" TargetMode="External"/><Relationship Id="rId88" Type="http://schemas.openxmlformats.org/officeDocument/2006/relationships/hyperlink" Target="https://drive.google.com/file/d/1ZlxZf69d2DqnPnL1VXsl3mX7lxRpISVw/view?usp=sharing" TargetMode="External"/><Relationship Id="rId91" Type="http://schemas.openxmlformats.org/officeDocument/2006/relationships/printerSettings" Target="../printerSettings/printerSettings3.bin"/><Relationship Id="rId1" Type="http://schemas.openxmlformats.org/officeDocument/2006/relationships/hyperlink" Target="https://drive.google.com/file/d/1xW6xwUP6ilOrYau6_dSqo9cDDaJxPBPd/view?usp=sharing" TargetMode="External"/><Relationship Id="rId6" Type="http://schemas.openxmlformats.org/officeDocument/2006/relationships/hyperlink" Target="https://drive.google.com/file/d/15tfIB-4ZVlWWCz4ghMDlAMdTAzNJRf32/view?usp=sharing" TargetMode="External"/><Relationship Id="rId15" Type="http://schemas.openxmlformats.org/officeDocument/2006/relationships/hyperlink" Target="https://drive.google.com/file/d/1B7HyiBCH1WA26VNLLscTZPfdrU54FM0W/view?usp=sharing" TargetMode="External"/><Relationship Id="rId23" Type="http://schemas.openxmlformats.org/officeDocument/2006/relationships/hyperlink" Target="https://drive.google.com/file/d/15Hb-k_Fhmm_pCvIIhcPy7DDhZ2OJj48u/view?usp=sharing" TargetMode="External"/><Relationship Id="rId28" Type="http://schemas.openxmlformats.org/officeDocument/2006/relationships/hyperlink" Target="https://drive.google.com/file/d/1NkhpWoiIkaDjNwP0FiozdASCZaZg7i98/view?usp=sharing" TargetMode="External"/><Relationship Id="rId36" Type="http://schemas.openxmlformats.org/officeDocument/2006/relationships/hyperlink" Target="https://drive.google.com/file/d/16g3SKig4mD9yNk86XXOIHJeLnPwjcfpH/view?usp=sharing" TargetMode="External"/><Relationship Id="rId49" Type="http://schemas.openxmlformats.org/officeDocument/2006/relationships/hyperlink" Target="https://drive.google.com/file/d/1mCg20YQsF8v856pQZyLUGfXjqY0aoE12/view?usp=sharing" TargetMode="External"/><Relationship Id="rId57" Type="http://schemas.openxmlformats.org/officeDocument/2006/relationships/hyperlink" Target="https://drive.google.com/file/d/1EO2920Cdn0cKYih2d1g9BddhhFh4d-C8/view?usp=sharing" TargetMode="External"/><Relationship Id="rId10" Type="http://schemas.openxmlformats.org/officeDocument/2006/relationships/hyperlink" Target="https://drive.google.com/file/d/1xqEOPFo0q9eClZA2mD-CFAX_eRffHq8A/view?usp=sharing" TargetMode="External"/><Relationship Id="rId31" Type="http://schemas.openxmlformats.org/officeDocument/2006/relationships/hyperlink" Target="https://drive.google.com/file/d/1CV5lpg_fpf5ygUiFk5A43TfRKpUgresl/view?usp=sharing" TargetMode="External"/><Relationship Id="rId44" Type="http://schemas.openxmlformats.org/officeDocument/2006/relationships/hyperlink" Target="https://drive.google.com/file/d/1a1M3KK9fFbtFRJ2tHmbSAqUxCqecRRxD/view?usp=sharing" TargetMode="External"/><Relationship Id="rId52" Type="http://schemas.openxmlformats.org/officeDocument/2006/relationships/hyperlink" Target="https://drive.google.com/file/d/1KnfBDwVmoN5qFi189RHMF_iBjdDmazXl/view?usp=sharing" TargetMode="External"/><Relationship Id="rId60" Type="http://schemas.openxmlformats.org/officeDocument/2006/relationships/hyperlink" Target="https://drive.google.com/file/d/1wd-FmGsFopJ_822Z9xd2RLuknp4pLAIz/view?usp=sharing" TargetMode="External"/><Relationship Id="rId65" Type="http://schemas.openxmlformats.org/officeDocument/2006/relationships/hyperlink" Target="https://drive.google.com/file/d/1TgBYbVlm6FeQmlK7tCa46vgA_OyFVi7n/view?usp=sharing" TargetMode="External"/><Relationship Id="rId73" Type="http://schemas.openxmlformats.org/officeDocument/2006/relationships/hyperlink" Target="https://drive.google.com/file/d/1DHBpY4sLoCg6jzudQGm8pfYPEvPS4gw9/view?usp=sharing" TargetMode="External"/><Relationship Id="rId78" Type="http://schemas.openxmlformats.org/officeDocument/2006/relationships/hyperlink" Target="https://drive.google.com/file/d/12moNKL8LEtZ9JK-iusXnnpP_zYoHM-dV/view?usp=sharing" TargetMode="External"/><Relationship Id="rId81" Type="http://schemas.openxmlformats.org/officeDocument/2006/relationships/hyperlink" Target="https://drive.google.com/file/d/1epJSxlBIiKymThHCwZ4PDzoOpXnHHkeq/view?usp=sharing" TargetMode="External"/><Relationship Id="rId86" Type="http://schemas.openxmlformats.org/officeDocument/2006/relationships/hyperlink" Target="https://drive.google.com/file/d/1oCMCCkvlzkK-Gm8j01qYT_a6llxr33Ke/view?usp=sharing" TargetMode="External"/><Relationship Id="rId4" Type="http://schemas.openxmlformats.org/officeDocument/2006/relationships/hyperlink" Target="https://drive.google.com/file/d/1C6go8NsQQmGjifEQe0XfPuNIt4ntS_TM/view?usp=sharing" TargetMode="External"/><Relationship Id="rId9" Type="http://schemas.openxmlformats.org/officeDocument/2006/relationships/hyperlink" Target="https://drive.google.com/file/d/1nFtI7bu--IhW_c_po6oCbgrFnxYkMZmv/view?usp=sharing" TargetMode="External"/><Relationship Id="rId13" Type="http://schemas.openxmlformats.org/officeDocument/2006/relationships/hyperlink" Target="https://drive.google.com/file/d/16DOWyaHfPapR_E09Yq9ZNgz6I5L9uaoR/view?usp=sharing" TargetMode="External"/><Relationship Id="rId18" Type="http://schemas.openxmlformats.org/officeDocument/2006/relationships/hyperlink" Target="https://drive.google.com/file/d/1hxEaZrQobTzYpc-MNOyj-gMtGOMltt7J/view?usp=sharing" TargetMode="External"/><Relationship Id="rId39" Type="http://schemas.openxmlformats.org/officeDocument/2006/relationships/hyperlink" Target="https://drive.google.com/file/d/1sB9-BDRXWt5JT3MWd97DhsA-cnmNhL1P/view?usp=sharing" TargetMode="External"/><Relationship Id="rId34" Type="http://schemas.openxmlformats.org/officeDocument/2006/relationships/hyperlink" Target="https://drive.google.com/file/d/18Pz95CwQFPcePbnoUt8o6417avP4Sskz/view?usp=sharing" TargetMode="External"/><Relationship Id="rId50" Type="http://schemas.openxmlformats.org/officeDocument/2006/relationships/hyperlink" Target="https://drive.google.com/file/d/1Pjam7FFsPgbAUO1jH3Arl34meWzlJA8V/view?usp=sharing" TargetMode="External"/><Relationship Id="rId55" Type="http://schemas.openxmlformats.org/officeDocument/2006/relationships/hyperlink" Target="https://drive.google.com/file/d/1UvFPM6EDdysoq-Z_-GkNml3yvw3Ox8GD/view?usp=sharing" TargetMode="External"/><Relationship Id="rId76" Type="http://schemas.openxmlformats.org/officeDocument/2006/relationships/hyperlink" Target="https://drive.google.com/file/d/1-bx6a4WYOXs0RD_j1A3pwFu4AX46M14L/view?usp=sharing" TargetMode="External"/><Relationship Id="rId7" Type="http://schemas.openxmlformats.org/officeDocument/2006/relationships/hyperlink" Target="https://drive.google.com/file/d/1tMficYIDQ7vL5DZhwcUsHG2MEvucDTLY/view?usp=sharing" TargetMode="External"/><Relationship Id="rId71" Type="http://schemas.openxmlformats.org/officeDocument/2006/relationships/hyperlink" Target="https://drive.google.com/file/d/1FqXPizhQpHY4G48WJ1UzvlKOhyPL9y1d/view?usp=sharing" TargetMode="External"/><Relationship Id="rId92" Type="http://schemas.openxmlformats.org/officeDocument/2006/relationships/drawing" Target="../drawings/drawing3.xml"/><Relationship Id="rId2" Type="http://schemas.openxmlformats.org/officeDocument/2006/relationships/hyperlink" Target="https://drive.google.com/file/d/1DzmTd2W0fVYnUbawAvP7q80z4yuWFkJg/view?usp=sharing" TargetMode="External"/><Relationship Id="rId29" Type="http://schemas.openxmlformats.org/officeDocument/2006/relationships/hyperlink" Target="https://drive.google.com/file/d/1KqmjnS2m0Bk-nJGflTRRAchGM_q0JThC/view?usp=sharing" TargetMode="External"/><Relationship Id="rId24" Type="http://schemas.openxmlformats.org/officeDocument/2006/relationships/hyperlink" Target="https://drive.google.com/file/d/1wkazpC2cwFnMzdXp-6qimQwV8mdiXTd3/view?usp=sharing" TargetMode="External"/><Relationship Id="rId40" Type="http://schemas.openxmlformats.org/officeDocument/2006/relationships/hyperlink" Target="https://drive.google.com/file/d/1YSk_GvU6-OZEd87kx63F09Zp4hAXNjcb/view?usp=sharing" TargetMode="External"/><Relationship Id="rId45" Type="http://schemas.openxmlformats.org/officeDocument/2006/relationships/hyperlink" Target="https://drive.google.com/file/d/1Ix2D3ZraAvY9TY6kxCjzkZzDsBV3UJCi/view?usp=sharing" TargetMode="External"/><Relationship Id="rId66" Type="http://schemas.openxmlformats.org/officeDocument/2006/relationships/hyperlink" Target="https://drive.google.com/file/d/1RRnm_6iRac1WSE_aO8qCGHEVx4_WYPVk/view?usp=sharing" TargetMode="External"/><Relationship Id="rId87" Type="http://schemas.openxmlformats.org/officeDocument/2006/relationships/hyperlink" Target="https://drive.google.com/file/d/1vC0hmFCiYHoX5Dtq7Y8TERrznebSKRc5/view?usp=sharing" TargetMode="External"/><Relationship Id="rId61" Type="http://schemas.openxmlformats.org/officeDocument/2006/relationships/hyperlink" Target="https://drive.google.com/file/d/19jHbbBj8NM5vKZ4Uocm8GwYPC5wRpE0Y/view?usp=sharing" TargetMode="External"/><Relationship Id="rId82" Type="http://schemas.openxmlformats.org/officeDocument/2006/relationships/hyperlink" Target="https://drive.google.com/file/d/1HVXrml_MPP0mpHGxy0lltAi2lBkVLuNs/view?usp=sharing" TargetMode="External"/><Relationship Id="rId19" Type="http://schemas.openxmlformats.org/officeDocument/2006/relationships/hyperlink" Target="https://drive.google.com/file/d/1jGc72dQgEBmA678zSfJKUGk5C4OoB53Q/view?usp=shari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rive.google.com/file/d/1wRJmL9cWiW402cRNpCeANgmmT3hLApR_/view?usp=share_link&#1101;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tXrEtiWZfFcrlClfyiFsj8ZnA7QB2HP0/view?usp=sharing" TargetMode="External"/><Relationship Id="rId2" Type="http://schemas.openxmlformats.org/officeDocument/2006/relationships/hyperlink" Target="https://drive.google.com/file/d/13yfP75CUEWIUVQlY7HMSHS2nS0D1uRgM/view?usp=sharing" TargetMode="External"/><Relationship Id="rId1" Type="http://schemas.openxmlformats.org/officeDocument/2006/relationships/hyperlink" Target="https://drive.google.com/file/d/1_-sB5ljCMH2amATi6obK8t-TUpKx-lW_/view?usp=sharing" TargetMode="External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drive.google.com/file/d/12_EOwNYE-ernIwgUosyBgOW4Em1fifjo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drive.google.com/file/d/1KsgU9qBWeL58VGGwOr0o6ay7aCm3dBRz/view?usp=sharing" TargetMode="External"/><Relationship Id="rId1" Type="http://schemas.openxmlformats.org/officeDocument/2006/relationships/hyperlink" Target="https://drive.google.com/file/d/1KsgU9qBWeL58VGGwOr0o6ay7aCm3dBRz/view?usp=sharing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drive.google.com/file/d/1nt6HgU19Cnz-A-zSCgBUQXdu7ywkw5kq/view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A24E-9483-4F18-B894-31A7FF83B971}">
  <dimension ref="A1:S26"/>
  <sheetViews>
    <sheetView tabSelected="1" zoomScale="75" zoomScaleNormal="75" workbookViewId="0">
      <selection activeCell="D6" sqref="D6"/>
    </sheetView>
  </sheetViews>
  <sheetFormatPr defaultColWidth="19.140625" defaultRowHeight="15.75"/>
  <cols>
    <col min="1" max="1" width="21.42578125" style="7" customWidth="1"/>
    <col min="2" max="2" width="16.140625" style="7" customWidth="1"/>
    <col min="3" max="3" width="20.28515625" style="7" customWidth="1"/>
    <col min="4" max="4" width="39.85546875" style="7" customWidth="1"/>
    <col min="5" max="5" width="25.42578125" style="7" customWidth="1"/>
    <col min="6" max="6" width="22.85546875" style="7" customWidth="1"/>
    <col min="7" max="7" width="19.42578125" style="7" customWidth="1"/>
    <col min="8" max="8" width="23.42578125" style="7" customWidth="1"/>
    <col min="9" max="11" width="20.42578125" style="7" customWidth="1"/>
    <col min="12" max="12" width="24.140625" style="7" customWidth="1"/>
    <col min="13" max="13" width="21.140625" style="7" customWidth="1"/>
    <col min="14" max="14" width="24" style="7" customWidth="1"/>
    <col min="15" max="16" width="21.85546875" style="7" customWidth="1"/>
    <col min="17" max="17" width="24" style="7" customWidth="1"/>
    <col min="18" max="18" width="52.42578125" style="7" customWidth="1"/>
    <col min="19" max="16384" width="19.140625" style="4"/>
  </cols>
  <sheetData>
    <row r="1" spans="3:19">
      <c r="D1" s="9"/>
    </row>
    <row r="2" spans="3:19">
      <c r="C2" s="50" t="s">
        <v>176</v>
      </c>
      <c r="D2" s="10" t="s">
        <v>581</v>
      </c>
    </row>
    <row r="3" spans="3:19">
      <c r="C3" s="50" t="s">
        <v>177</v>
      </c>
      <c r="D3" s="10" t="s">
        <v>183</v>
      </c>
    </row>
    <row r="4" spans="3:19">
      <c r="C4" s="50" t="s">
        <v>178</v>
      </c>
      <c r="D4" s="51"/>
      <c r="F4" s="239"/>
      <c r="G4" s="240"/>
    </row>
    <row r="5" spans="3:19">
      <c r="C5" s="50" t="s">
        <v>179</v>
      </c>
      <c r="D5" s="52" t="s">
        <v>575</v>
      </c>
    </row>
    <row r="6" spans="3:19">
      <c r="C6" s="50" t="s">
        <v>493</v>
      </c>
      <c r="D6" s="240" t="s">
        <v>580</v>
      </c>
    </row>
    <row r="8" spans="3:19" s="7" customFormat="1" ht="15" customHeight="1">
      <c r="O8" s="12"/>
      <c r="P8" s="12"/>
      <c r="S8" s="4"/>
    </row>
    <row r="9" spans="3:19" s="7" customFormat="1" ht="15" customHeight="1">
      <c r="O9" s="12"/>
      <c r="P9" s="12"/>
      <c r="S9" s="4"/>
    </row>
    <row r="10" spans="3:19" s="7" customFormat="1" ht="30" customHeight="1">
      <c r="D10" s="109"/>
      <c r="E10" s="114" t="s">
        <v>419</v>
      </c>
      <c r="F10" s="114" t="s">
        <v>443</v>
      </c>
      <c r="G10" s="114" t="s">
        <v>444</v>
      </c>
      <c r="H10" s="114" t="s">
        <v>462</v>
      </c>
      <c r="I10" s="114" t="s">
        <v>259</v>
      </c>
      <c r="J10" s="114" t="s">
        <v>393</v>
      </c>
      <c r="K10" s="114" t="s">
        <v>494</v>
      </c>
      <c r="L10" s="114" t="s">
        <v>445</v>
      </c>
      <c r="M10" s="114" t="s">
        <v>446</v>
      </c>
      <c r="S10" s="4"/>
    </row>
    <row r="11" spans="3:19" s="7" customFormat="1" ht="30" customHeight="1">
      <c r="D11" s="53" t="s">
        <v>170</v>
      </c>
      <c r="E11" s="54">
        <f>'LED Ташкент'!R61</f>
        <v>1003309800</v>
      </c>
      <c r="F11" s="54">
        <f>'LED Регионы'!U99</f>
        <v>987120000</v>
      </c>
      <c r="G11" s="54">
        <f>'LED Остановки '!T21</f>
        <v>52200000</v>
      </c>
      <c r="H11" s="54">
        <f>'Статика Таш + Регионы'!S83</f>
        <v>523840000</v>
      </c>
      <c r="I11" s="54">
        <f>Аэропорт!T13</f>
        <v>472620000</v>
      </c>
      <c r="J11" s="54">
        <f>Автобусы!R14</f>
        <v>358575000</v>
      </c>
      <c r="K11" s="54">
        <f>Поезда!Q11</f>
        <v>115200000</v>
      </c>
      <c r="L11" s="63">
        <f>SUM(E11:K11)</f>
        <v>3512864800</v>
      </c>
      <c r="M11" s="64">
        <f>L11/140</f>
        <v>25091891.428571429</v>
      </c>
      <c r="S11" s="4"/>
    </row>
    <row r="12" spans="3:19" s="7" customFormat="1" ht="30" customHeight="1">
      <c r="D12" s="55" t="s">
        <v>262</v>
      </c>
      <c r="E12" s="56">
        <f>E11*5%</f>
        <v>50165490</v>
      </c>
      <c r="F12" s="56">
        <f>F11*5%</f>
        <v>49356000</v>
      </c>
      <c r="G12" s="56">
        <f t="shared" ref="G12:K12" si="0">G11*5%</f>
        <v>2610000</v>
      </c>
      <c r="H12" s="56">
        <f t="shared" si="0"/>
        <v>26192000</v>
      </c>
      <c r="I12" s="56">
        <f t="shared" si="0"/>
        <v>23631000</v>
      </c>
      <c r="J12" s="56">
        <f t="shared" si="0"/>
        <v>17928750</v>
      </c>
      <c r="K12" s="56">
        <f t="shared" si="0"/>
        <v>5760000</v>
      </c>
      <c r="L12" s="56">
        <f>L11*5%</f>
        <v>175643240</v>
      </c>
      <c r="M12" s="64">
        <f>M11*5%</f>
        <v>1254594.5714285716</v>
      </c>
      <c r="S12" s="4"/>
    </row>
    <row r="13" spans="3:19" s="7" customFormat="1" ht="30" customHeight="1">
      <c r="D13" s="57" t="s">
        <v>275</v>
      </c>
      <c r="E13" s="58">
        <f>(E11+E12)*1.12</f>
        <v>1179892324.8000002</v>
      </c>
      <c r="F13" s="58">
        <f>(F11+F12)*1.12</f>
        <v>1160853120</v>
      </c>
      <c r="G13" s="58">
        <f>(G11+G12)*1.12</f>
        <v>61387200.000000007</v>
      </c>
      <c r="H13" s="58">
        <f>(H11+H12)*1.12</f>
        <v>616035840</v>
      </c>
      <c r="I13" s="58">
        <f t="shared" ref="I13" si="1">(I11+I12)*1.12</f>
        <v>555801120</v>
      </c>
      <c r="J13" s="58">
        <f>(J11+J12)*1.12</f>
        <v>421684200.00000006</v>
      </c>
      <c r="K13" s="58">
        <f>(K11+K12)*1.12</f>
        <v>135475200</v>
      </c>
      <c r="L13" s="58">
        <f>(L11+L12)*1.12</f>
        <v>4131129004.8000002</v>
      </c>
      <c r="M13" s="64">
        <f>(M11+M12)*1.12</f>
        <v>29508064.320000004</v>
      </c>
      <c r="N13" s="238">
        <v>29508064</v>
      </c>
      <c r="S13" s="4"/>
    </row>
    <row r="14" spans="3:19">
      <c r="M14" s="238"/>
    </row>
    <row r="15" spans="3:19" s="7" customFormat="1">
      <c r="E15" s="59"/>
      <c r="L15" s="68"/>
      <c r="S15" s="4"/>
    </row>
    <row r="16" spans="3:19" s="7" customFormat="1">
      <c r="S16" s="4"/>
    </row>
    <row r="17" spans="5:19">
      <c r="F17" s="68"/>
    </row>
    <row r="18" spans="5:19" s="7" customFormat="1">
      <c r="E18" s="59"/>
      <c r="S18" s="4"/>
    </row>
    <row r="26" spans="5:19">
      <c r="H26" s="109"/>
    </row>
  </sheetData>
  <sheetProtection selectLockedCells="1"/>
  <conditionalFormatting sqref="S1:S1048576">
    <cfRule type="duplicateValues" dxfId="6" priority="1"/>
  </conditionalFormatting>
  <pageMargins left="0.7" right="0.7" top="0.75" bottom="0.75" header="0.3" footer="0.3"/>
  <pageSetup paperSize="9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D514-38D6-4298-9BF5-596450BE7915}">
  <dimension ref="A1:V62"/>
  <sheetViews>
    <sheetView zoomScale="75" zoomScaleNormal="140" workbookViewId="0">
      <selection activeCell="D8" sqref="D8"/>
    </sheetView>
  </sheetViews>
  <sheetFormatPr defaultColWidth="19.140625" defaultRowHeight="15"/>
  <cols>
    <col min="1" max="3" width="15.85546875" style="20" customWidth="1"/>
    <col min="4" max="4" width="46.28515625" style="20" customWidth="1"/>
    <col min="5" max="7" width="15.85546875" style="20" customWidth="1"/>
    <col min="8" max="8" width="15.85546875" style="20" hidden="1" customWidth="1"/>
    <col min="9" max="12" width="15.85546875" style="20" customWidth="1"/>
    <col min="13" max="17" width="20.85546875" style="20" hidden="1" customWidth="1"/>
    <col min="18" max="19" width="20.85546875" style="22" customWidth="1"/>
    <col min="20" max="16384" width="19.140625" style="4"/>
  </cols>
  <sheetData>
    <row r="1" spans="1:22">
      <c r="D1" s="69"/>
    </row>
    <row r="2" spans="1:22" ht="15.75">
      <c r="A2" s="109"/>
      <c r="B2" s="109"/>
      <c r="C2" s="115" t="s">
        <v>176</v>
      </c>
      <c r="D2" s="116" t="s">
        <v>581</v>
      </c>
      <c r="E2" s="109"/>
      <c r="F2" s="109"/>
      <c r="G2" s="109"/>
      <c r="H2" s="109"/>
      <c r="I2" s="109"/>
      <c r="J2" s="109"/>
      <c r="K2" s="109"/>
      <c r="L2" s="109"/>
      <c r="M2" s="109"/>
      <c r="N2" s="4"/>
      <c r="O2" s="4"/>
      <c r="P2" s="4"/>
      <c r="Q2" s="4"/>
      <c r="R2" s="4"/>
      <c r="S2" s="4"/>
    </row>
    <row r="3" spans="1:22" ht="15.75">
      <c r="A3" s="109"/>
      <c r="B3" s="109"/>
      <c r="C3" s="115" t="s">
        <v>177</v>
      </c>
      <c r="D3" s="116" t="s">
        <v>183</v>
      </c>
      <c r="E3" s="109"/>
      <c r="F3" s="109"/>
      <c r="G3" s="109"/>
      <c r="H3" s="109"/>
      <c r="I3" s="109"/>
      <c r="J3" s="109"/>
      <c r="K3" s="109"/>
      <c r="L3" s="109"/>
      <c r="M3" s="109"/>
      <c r="N3" s="4"/>
      <c r="O3" s="4"/>
      <c r="P3" s="4"/>
      <c r="Q3" s="4"/>
      <c r="R3" s="4"/>
      <c r="S3" s="4"/>
    </row>
    <row r="4" spans="1:22" ht="15.75">
      <c r="A4" s="109"/>
      <c r="B4" s="109"/>
      <c r="C4" s="115" t="s">
        <v>179</v>
      </c>
      <c r="D4" s="52" t="s">
        <v>575</v>
      </c>
      <c r="E4" s="109"/>
      <c r="F4" s="109"/>
      <c r="G4" s="109"/>
      <c r="H4" s="109"/>
      <c r="I4" s="109"/>
      <c r="J4" s="109"/>
      <c r="K4" s="109"/>
      <c r="L4" s="109"/>
      <c r="M4" s="109"/>
      <c r="N4" s="4"/>
      <c r="O4" s="4"/>
      <c r="P4" s="4"/>
      <c r="Q4" s="4"/>
      <c r="R4" s="4"/>
      <c r="S4" s="4"/>
    </row>
    <row r="5" spans="1:22">
      <c r="C5" s="101" t="s">
        <v>179</v>
      </c>
      <c r="D5" s="100"/>
      <c r="F5" s="90"/>
    </row>
    <row r="6" spans="1:22">
      <c r="T6" s="242" t="s">
        <v>579</v>
      </c>
      <c r="U6" s="242"/>
      <c r="V6" s="242"/>
    </row>
    <row r="7" spans="1:22" s="49" customFormat="1" ht="65.45" customHeight="1">
      <c r="A7" s="117" t="s">
        <v>180</v>
      </c>
      <c r="B7" s="117" t="s">
        <v>171</v>
      </c>
      <c r="C7" s="117" t="s">
        <v>161</v>
      </c>
      <c r="D7" s="117" t="s">
        <v>172</v>
      </c>
      <c r="E7" s="117" t="s">
        <v>174</v>
      </c>
      <c r="F7" s="117" t="s">
        <v>162</v>
      </c>
      <c r="G7" s="117" t="s">
        <v>168</v>
      </c>
      <c r="H7" s="117" t="s">
        <v>163</v>
      </c>
      <c r="I7" s="117" t="s">
        <v>175</v>
      </c>
      <c r="J7" s="117" t="s">
        <v>167</v>
      </c>
      <c r="K7" s="117" t="s">
        <v>164</v>
      </c>
      <c r="L7" s="117" t="s">
        <v>447</v>
      </c>
      <c r="M7" s="118" t="s">
        <v>448</v>
      </c>
      <c r="N7" s="118" t="s">
        <v>236</v>
      </c>
      <c r="O7" s="118" t="s">
        <v>237</v>
      </c>
      <c r="P7" s="118" t="s">
        <v>479</v>
      </c>
      <c r="Q7" s="118" t="s">
        <v>480</v>
      </c>
      <c r="R7" s="119" t="s">
        <v>169</v>
      </c>
      <c r="S7" s="119" t="s">
        <v>227</v>
      </c>
      <c r="T7" s="117" t="s">
        <v>293</v>
      </c>
      <c r="U7" s="117" t="s">
        <v>294</v>
      </c>
      <c r="V7" s="117" t="s">
        <v>295</v>
      </c>
    </row>
    <row r="8" spans="1:22" s="49" customFormat="1" ht="16.350000000000001" customHeight="1">
      <c r="A8" s="158" t="s">
        <v>208</v>
      </c>
      <c r="B8" s="165" t="s">
        <v>187</v>
      </c>
      <c r="C8" s="166" t="s">
        <v>166</v>
      </c>
      <c r="D8" s="166" t="s">
        <v>420</v>
      </c>
      <c r="E8" s="167" t="s">
        <v>421</v>
      </c>
      <c r="F8" s="120">
        <v>1</v>
      </c>
      <c r="G8" s="120">
        <v>2</v>
      </c>
      <c r="H8" s="227" t="s">
        <v>576</v>
      </c>
      <c r="I8" s="120">
        <v>10</v>
      </c>
      <c r="J8" s="241" t="s">
        <v>212</v>
      </c>
      <c r="K8" s="120">
        <v>1</v>
      </c>
      <c r="L8" s="120" t="s">
        <v>213</v>
      </c>
      <c r="M8" s="121">
        <v>16830000</v>
      </c>
      <c r="N8" s="121">
        <v>15147000</v>
      </c>
      <c r="O8" s="161">
        <f t="shared" ref="O8:O54" si="0">N8/140</f>
        <v>108192.85714285714</v>
      </c>
      <c r="P8" s="121">
        <f t="shared" ref="P8:P54" si="1">N8</f>
        <v>15147000</v>
      </c>
      <c r="Q8" s="121">
        <f t="shared" ref="Q8:Q54" si="2">N8</f>
        <v>15147000</v>
      </c>
      <c r="R8" s="122">
        <f>P8+Q8</f>
        <v>30294000</v>
      </c>
      <c r="S8" s="162">
        <f t="shared" ref="S8:S54" si="3">R8/140</f>
        <v>216385.71428571429</v>
      </c>
      <c r="T8" s="163">
        <v>634849</v>
      </c>
      <c r="U8" s="164">
        <v>65.037474593495901</v>
      </c>
      <c r="V8" s="163">
        <v>976128</v>
      </c>
    </row>
    <row r="9" spans="1:22" s="49" customFormat="1" ht="16.350000000000001" customHeight="1">
      <c r="A9" s="158" t="s">
        <v>208</v>
      </c>
      <c r="B9" s="159" t="s">
        <v>187</v>
      </c>
      <c r="C9" s="160" t="s">
        <v>166</v>
      </c>
      <c r="D9" s="160" t="s">
        <v>193</v>
      </c>
      <c r="E9" s="160" t="s">
        <v>192</v>
      </c>
      <c r="F9" s="120">
        <v>1</v>
      </c>
      <c r="G9" s="120">
        <v>2</v>
      </c>
      <c r="H9" s="230" t="s">
        <v>214</v>
      </c>
      <c r="I9" s="120">
        <v>10</v>
      </c>
      <c r="J9" s="241" t="s">
        <v>212</v>
      </c>
      <c r="K9" s="120">
        <v>1</v>
      </c>
      <c r="L9" s="120" t="s">
        <v>213</v>
      </c>
      <c r="M9" s="121">
        <v>25000000</v>
      </c>
      <c r="N9" s="121">
        <v>23000000</v>
      </c>
      <c r="O9" s="161">
        <f t="shared" si="0"/>
        <v>164285.71428571429</v>
      </c>
      <c r="P9" s="121">
        <f t="shared" si="1"/>
        <v>23000000</v>
      </c>
      <c r="Q9" s="121">
        <f t="shared" si="2"/>
        <v>23000000</v>
      </c>
      <c r="R9" s="122">
        <f t="shared" ref="R9:R54" si="4">P9+Q9</f>
        <v>46000000</v>
      </c>
      <c r="S9" s="162">
        <f t="shared" si="3"/>
        <v>328571.42857142858</v>
      </c>
      <c r="T9" s="163">
        <v>1648853</v>
      </c>
      <c r="U9" s="164">
        <v>168.917703415945</v>
      </c>
      <c r="V9" s="163">
        <v>976128</v>
      </c>
    </row>
    <row r="10" spans="1:22" s="49" customFormat="1" ht="16.350000000000001" customHeight="1">
      <c r="A10" s="158" t="s">
        <v>208</v>
      </c>
      <c r="B10" s="169" t="s">
        <v>187</v>
      </c>
      <c r="C10" s="170" t="s">
        <v>166</v>
      </c>
      <c r="D10" s="160" t="s">
        <v>271</v>
      </c>
      <c r="E10" s="160" t="s">
        <v>272</v>
      </c>
      <c r="F10" s="120">
        <v>1</v>
      </c>
      <c r="G10" s="120">
        <v>2</v>
      </c>
      <c r="H10" s="229" t="s">
        <v>273</v>
      </c>
      <c r="I10" s="120">
        <v>10</v>
      </c>
      <c r="J10" s="241" t="s">
        <v>212</v>
      </c>
      <c r="K10" s="120">
        <v>1</v>
      </c>
      <c r="L10" s="120" t="s">
        <v>213</v>
      </c>
      <c r="M10" s="121">
        <v>28314000</v>
      </c>
      <c r="N10" s="121">
        <v>23500620</v>
      </c>
      <c r="O10" s="161">
        <f t="shared" si="0"/>
        <v>167861.57142857142</v>
      </c>
      <c r="P10" s="121">
        <f t="shared" si="1"/>
        <v>23500620</v>
      </c>
      <c r="Q10" s="121">
        <f t="shared" si="2"/>
        <v>23500620</v>
      </c>
      <c r="R10" s="122">
        <f t="shared" si="4"/>
        <v>47001240</v>
      </c>
      <c r="S10" s="162">
        <f t="shared" si="3"/>
        <v>335723.14285714284</v>
      </c>
      <c r="T10" s="163">
        <v>572873</v>
      </c>
      <c r="U10" s="164">
        <v>58.6883072711775</v>
      </c>
      <c r="V10" s="163">
        <v>976128</v>
      </c>
    </row>
    <row r="11" spans="1:22" s="49" customFormat="1" ht="16.350000000000001" customHeight="1">
      <c r="A11" s="158" t="s">
        <v>208</v>
      </c>
      <c r="B11" s="172" t="s">
        <v>187</v>
      </c>
      <c r="C11" s="170" t="s">
        <v>166</v>
      </c>
      <c r="D11" s="173" t="s">
        <v>297</v>
      </c>
      <c r="E11" s="171" t="s">
        <v>200</v>
      </c>
      <c r="F11" s="120">
        <v>1</v>
      </c>
      <c r="G11" s="120">
        <v>2</v>
      </c>
      <c r="H11" s="229" t="s">
        <v>189</v>
      </c>
      <c r="I11" s="120">
        <v>10</v>
      </c>
      <c r="J11" s="241" t="s">
        <v>212</v>
      </c>
      <c r="K11" s="120">
        <v>1</v>
      </c>
      <c r="L11" s="120" t="s">
        <v>213</v>
      </c>
      <c r="M11" s="121">
        <v>7200000</v>
      </c>
      <c r="N11" s="121">
        <v>6120000</v>
      </c>
      <c r="O11" s="161">
        <f t="shared" si="0"/>
        <v>43714.285714285717</v>
      </c>
      <c r="P11" s="121">
        <f t="shared" si="1"/>
        <v>6120000</v>
      </c>
      <c r="Q11" s="121">
        <f t="shared" si="2"/>
        <v>6120000</v>
      </c>
      <c r="R11" s="122">
        <f t="shared" si="4"/>
        <v>12240000</v>
      </c>
      <c r="S11" s="162">
        <f t="shared" si="3"/>
        <v>87428.571428571435</v>
      </c>
      <c r="T11" s="163">
        <v>614953</v>
      </c>
      <c r="U11" s="164">
        <v>62.999217315761797</v>
      </c>
      <c r="V11" s="163">
        <v>976128</v>
      </c>
    </row>
    <row r="12" spans="1:22" s="49" customFormat="1" ht="16.350000000000001" customHeight="1">
      <c r="A12" s="158" t="s">
        <v>208</v>
      </c>
      <c r="B12" s="174" t="s">
        <v>187</v>
      </c>
      <c r="C12" s="170" t="s">
        <v>166</v>
      </c>
      <c r="D12" s="160" t="s">
        <v>283</v>
      </c>
      <c r="E12" s="160" t="s">
        <v>284</v>
      </c>
      <c r="F12" s="120">
        <v>1</v>
      </c>
      <c r="G12" s="120">
        <v>2</v>
      </c>
      <c r="H12" s="229" t="s">
        <v>285</v>
      </c>
      <c r="I12" s="120">
        <v>10</v>
      </c>
      <c r="J12" s="241" t="s">
        <v>212</v>
      </c>
      <c r="K12" s="120">
        <v>1</v>
      </c>
      <c r="L12" s="120" t="s">
        <v>213</v>
      </c>
      <c r="M12" s="121">
        <v>19300000</v>
      </c>
      <c r="N12" s="121">
        <v>16019000</v>
      </c>
      <c r="O12" s="161">
        <f t="shared" si="0"/>
        <v>114421.42857142857</v>
      </c>
      <c r="P12" s="121">
        <f t="shared" si="1"/>
        <v>16019000</v>
      </c>
      <c r="Q12" s="121">
        <f t="shared" si="2"/>
        <v>16019000</v>
      </c>
      <c r="R12" s="122">
        <f t="shared" si="4"/>
        <v>32038000</v>
      </c>
      <c r="S12" s="162">
        <f t="shared" si="3"/>
        <v>228842.85714285713</v>
      </c>
      <c r="T12" s="163">
        <v>736094</v>
      </c>
      <c r="U12" s="164">
        <v>75.409577432467799</v>
      </c>
      <c r="V12" s="163">
        <v>976128</v>
      </c>
    </row>
    <row r="13" spans="1:22" s="49" customFormat="1" ht="16.350000000000001" customHeight="1">
      <c r="A13" s="158" t="s">
        <v>208</v>
      </c>
      <c r="B13" s="172" t="s">
        <v>187</v>
      </c>
      <c r="C13" s="170" t="s">
        <v>166</v>
      </c>
      <c r="D13" s="160" t="s">
        <v>298</v>
      </c>
      <c r="E13" s="160" t="s">
        <v>195</v>
      </c>
      <c r="F13" s="120">
        <v>1</v>
      </c>
      <c r="G13" s="120">
        <v>2</v>
      </c>
      <c r="H13" s="229" t="s">
        <v>214</v>
      </c>
      <c r="I13" s="120">
        <v>10</v>
      </c>
      <c r="J13" s="241" t="s">
        <v>212</v>
      </c>
      <c r="K13" s="120">
        <v>1</v>
      </c>
      <c r="L13" s="120" t="s">
        <v>213</v>
      </c>
      <c r="M13" s="123">
        <v>10000000</v>
      </c>
      <c r="N13" s="121">
        <v>9000000</v>
      </c>
      <c r="O13" s="161">
        <f t="shared" si="0"/>
        <v>64285.714285714283</v>
      </c>
      <c r="P13" s="121">
        <f t="shared" si="1"/>
        <v>9000000</v>
      </c>
      <c r="Q13" s="121">
        <f t="shared" si="2"/>
        <v>9000000</v>
      </c>
      <c r="R13" s="122">
        <f t="shared" si="4"/>
        <v>18000000</v>
      </c>
      <c r="S13" s="162">
        <f t="shared" si="3"/>
        <v>128571.42857142857</v>
      </c>
      <c r="T13" s="163">
        <v>613606</v>
      </c>
      <c r="U13" s="164">
        <v>62.861223118279497</v>
      </c>
      <c r="V13" s="163">
        <v>976128</v>
      </c>
    </row>
    <row r="14" spans="1:22" s="49" customFormat="1" ht="16.350000000000001" customHeight="1">
      <c r="A14" s="158" t="s">
        <v>208</v>
      </c>
      <c r="B14" s="165" t="s">
        <v>187</v>
      </c>
      <c r="C14" s="166" t="s">
        <v>166</v>
      </c>
      <c r="D14" s="166" t="s">
        <v>426</v>
      </c>
      <c r="E14" s="167" t="s">
        <v>200</v>
      </c>
      <c r="F14" s="120">
        <v>1</v>
      </c>
      <c r="G14" s="120">
        <v>2</v>
      </c>
      <c r="H14" s="230" t="s">
        <v>218</v>
      </c>
      <c r="I14" s="120">
        <v>10</v>
      </c>
      <c r="J14" s="241" t="s">
        <v>212</v>
      </c>
      <c r="K14" s="120">
        <v>1</v>
      </c>
      <c r="L14" s="120" t="s">
        <v>213</v>
      </c>
      <c r="M14" s="123">
        <v>7100000</v>
      </c>
      <c r="N14" s="121">
        <v>6035000</v>
      </c>
      <c r="O14" s="161">
        <f t="shared" si="0"/>
        <v>43107.142857142855</v>
      </c>
      <c r="P14" s="121">
        <f t="shared" si="1"/>
        <v>6035000</v>
      </c>
      <c r="Q14" s="121">
        <f t="shared" si="2"/>
        <v>6035000</v>
      </c>
      <c r="R14" s="122">
        <f t="shared" si="4"/>
        <v>12070000</v>
      </c>
      <c r="S14" s="162">
        <f t="shared" si="3"/>
        <v>86214.28571428571</v>
      </c>
      <c r="T14" s="163">
        <v>401409</v>
      </c>
      <c r="U14" s="164">
        <v>41.122578186467301</v>
      </c>
      <c r="V14" s="163">
        <v>976128</v>
      </c>
    </row>
    <row r="15" spans="1:22" s="49" customFormat="1" ht="16.350000000000001" customHeight="1">
      <c r="A15" s="158" t="s">
        <v>208</v>
      </c>
      <c r="B15" s="159" t="s">
        <v>187</v>
      </c>
      <c r="C15" s="160" t="s">
        <v>166</v>
      </c>
      <c r="D15" s="160" t="s">
        <v>219</v>
      </c>
      <c r="E15" s="160" t="s">
        <v>199</v>
      </c>
      <c r="F15" s="120">
        <v>1</v>
      </c>
      <c r="G15" s="120">
        <v>2</v>
      </c>
      <c r="H15" s="230" t="s">
        <v>214</v>
      </c>
      <c r="I15" s="120">
        <v>10</v>
      </c>
      <c r="J15" s="241" t="s">
        <v>212</v>
      </c>
      <c r="K15" s="120">
        <v>1</v>
      </c>
      <c r="L15" s="120" t="s">
        <v>213</v>
      </c>
      <c r="M15" s="123">
        <v>11000000</v>
      </c>
      <c r="N15" s="121">
        <v>9350000</v>
      </c>
      <c r="O15" s="161">
        <f t="shared" si="0"/>
        <v>66785.71428571429</v>
      </c>
      <c r="P15" s="121">
        <f t="shared" si="1"/>
        <v>9350000</v>
      </c>
      <c r="Q15" s="121">
        <f t="shared" si="2"/>
        <v>9350000</v>
      </c>
      <c r="R15" s="122">
        <f t="shared" si="4"/>
        <v>18700000</v>
      </c>
      <c r="S15" s="162">
        <f t="shared" si="3"/>
        <v>133571.42857142858</v>
      </c>
      <c r="T15" s="163">
        <v>276604</v>
      </c>
      <c r="U15" s="164">
        <v>28.336857461316502</v>
      </c>
      <c r="V15" s="163">
        <v>976128</v>
      </c>
    </row>
    <row r="16" spans="1:22" s="49" customFormat="1" ht="15.95" customHeight="1">
      <c r="A16" s="158" t="s">
        <v>208</v>
      </c>
      <c r="B16" s="159" t="s">
        <v>187</v>
      </c>
      <c r="C16" s="160" t="s">
        <v>166</v>
      </c>
      <c r="D16" s="160" t="s">
        <v>197</v>
      </c>
      <c r="E16" s="160" t="s">
        <v>221</v>
      </c>
      <c r="F16" s="120">
        <v>1</v>
      </c>
      <c r="G16" s="120">
        <v>2</v>
      </c>
      <c r="H16" s="227" t="s">
        <v>215</v>
      </c>
      <c r="I16" s="120">
        <v>10</v>
      </c>
      <c r="J16" s="241" t="s">
        <v>212</v>
      </c>
      <c r="K16" s="120">
        <v>1</v>
      </c>
      <c r="L16" s="120" t="s">
        <v>213</v>
      </c>
      <c r="M16" s="123">
        <v>7100000</v>
      </c>
      <c r="N16" s="121">
        <v>5680000</v>
      </c>
      <c r="O16" s="161">
        <f t="shared" si="0"/>
        <v>40571.428571428572</v>
      </c>
      <c r="P16" s="121">
        <f t="shared" si="1"/>
        <v>5680000</v>
      </c>
      <c r="Q16" s="121">
        <f t="shared" si="2"/>
        <v>5680000</v>
      </c>
      <c r="R16" s="122">
        <f t="shared" si="4"/>
        <v>11360000</v>
      </c>
      <c r="S16" s="162">
        <f t="shared" si="3"/>
        <v>81142.857142857145</v>
      </c>
      <c r="T16" s="163">
        <v>650004</v>
      </c>
      <c r="U16" s="164">
        <v>66.590037372147904</v>
      </c>
      <c r="V16" s="163">
        <v>976128</v>
      </c>
    </row>
    <row r="17" spans="1:22" s="49" customFormat="1" ht="16.350000000000001" customHeight="1">
      <c r="A17" s="158" t="s">
        <v>208</v>
      </c>
      <c r="B17" s="172" t="s">
        <v>187</v>
      </c>
      <c r="C17" s="170" t="s">
        <v>166</v>
      </c>
      <c r="D17" s="175" t="s">
        <v>303</v>
      </c>
      <c r="E17" s="160" t="s">
        <v>196</v>
      </c>
      <c r="F17" s="120">
        <v>1</v>
      </c>
      <c r="G17" s="120">
        <v>2</v>
      </c>
      <c r="H17" s="227" t="s">
        <v>189</v>
      </c>
      <c r="I17" s="120">
        <v>10</v>
      </c>
      <c r="J17" s="241" t="s">
        <v>212</v>
      </c>
      <c r="K17" s="120">
        <v>1</v>
      </c>
      <c r="L17" s="120" t="s">
        <v>213</v>
      </c>
      <c r="M17" s="123">
        <v>7000000</v>
      </c>
      <c r="N17" s="121">
        <v>5950000</v>
      </c>
      <c r="O17" s="161">
        <f t="shared" si="0"/>
        <v>42500</v>
      </c>
      <c r="P17" s="121">
        <f t="shared" si="1"/>
        <v>5950000</v>
      </c>
      <c r="Q17" s="121">
        <f t="shared" si="2"/>
        <v>5950000</v>
      </c>
      <c r="R17" s="122">
        <f t="shared" si="4"/>
        <v>11900000</v>
      </c>
      <c r="S17" s="162">
        <f t="shared" si="3"/>
        <v>85000</v>
      </c>
      <c r="T17" s="163">
        <v>557369</v>
      </c>
      <c r="U17" s="164">
        <v>57.099990984788803</v>
      </c>
      <c r="V17" s="163">
        <v>976128</v>
      </c>
    </row>
    <row r="18" spans="1:22" s="49" customFormat="1" ht="15.95" customHeight="1">
      <c r="A18" s="158" t="s">
        <v>208</v>
      </c>
      <c r="B18" s="159" t="s">
        <v>187</v>
      </c>
      <c r="C18" s="160" t="s">
        <v>166</v>
      </c>
      <c r="D18" s="160" t="s">
        <v>198</v>
      </c>
      <c r="E18" s="160" t="s">
        <v>199</v>
      </c>
      <c r="F18" s="120">
        <v>1</v>
      </c>
      <c r="G18" s="120">
        <v>2</v>
      </c>
      <c r="H18" s="227" t="s">
        <v>215</v>
      </c>
      <c r="I18" s="120">
        <v>10</v>
      </c>
      <c r="J18" s="241" t="s">
        <v>212</v>
      </c>
      <c r="K18" s="120">
        <v>1</v>
      </c>
      <c r="L18" s="120" t="s">
        <v>213</v>
      </c>
      <c r="M18" s="123">
        <v>7100000</v>
      </c>
      <c r="N18" s="121">
        <v>5680000</v>
      </c>
      <c r="O18" s="161">
        <f t="shared" si="0"/>
        <v>40571.428571428572</v>
      </c>
      <c r="P18" s="121">
        <f t="shared" si="1"/>
        <v>5680000</v>
      </c>
      <c r="Q18" s="121">
        <f t="shared" si="2"/>
        <v>5680000</v>
      </c>
      <c r="R18" s="122">
        <f t="shared" si="4"/>
        <v>11360000</v>
      </c>
      <c r="S18" s="162">
        <f t="shared" si="3"/>
        <v>81142.857142857145</v>
      </c>
      <c r="T18" s="163">
        <v>527048</v>
      </c>
      <c r="U18" s="164">
        <v>53.993738526094901</v>
      </c>
      <c r="V18" s="163">
        <v>976128</v>
      </c>
    </row>
    <row r="19" spans="1:22" s="49" customFormat="1" ht="16.350000000000001" customHeight="1">
      <c r="A19" s="158" t="s">
        <v>208</v>
      </c>
      <c r="B19" s="165" t="s">
        <v>187</v>
      </c>
      <c r="C19" s="166" t="s">
        <v>166</v>
      </c>
      <c r="D19" s="166" t="s">
        <v>422</v>
      </c>
      <c r="E19" s="167" t="s">
        <v>196</v>
      </c>
      <c r="F19" s="120">
        <v>1</v>
      </c>
      <c r="G19" s="120">
        <v>2</v>
      </c>
      <c r="H19" s="228" t="s">
        <v>224</v>
      </c>
      <c r="I19" s="120">
        <v>10</v>
      </c>
      <c r="J19" s="241" t="s">
        <v>212</v>
      </c>
      <c r="K19" s="120">
        <v>1</v>
      </c>
      <c r="L19" s="120" t="s">
        <v>213</v>
      </c>
      <c r="M19" s="125">
        <v>15180000</v>
      </c>
      <c r="N19" s="121">
        <v>12599400</v>
      </c>
      <c r="O19" s="161">
        <f t="shared" si="0"/>
        <v>89995.71428571429</v>
      </c>
      <c r="P19" s="121">
        <f t="shared" si="1"/>
        <v>12599400</v>
      </c>
      <c r="Q19" s="121">
        <f t="shared" si="2"/>
        <v>12599400</v>
      </c>
      <c r="R19" s="122">
        <f t="shared" si="4"/>
        <v>25198800</v>
      </c>
      <c r="S19" s="162">
        <f t="shared" si="3"/>
        <v>179991.42857142858</v>
      </c>
      <c r="T19" s="163">
        <v>328484</v>
      </c>
      <c r="U19" s="164">
        <v>33.651734198793598</v>
      </c>
      <c r="V19" s="163">
        <v>976128</v>
      </c>
    </row>
    <row r="20" spans="1:22" s="49" customFormat="1" ht="16.350000000000001" customHeight="1">
      <c r="A20" s="158" t="s">
        <v>208</v>
      </c>
      <c r="B20" s="159" t="s">
        <v>187</v>
      </c>
      <c r="C20" s="170" t="s">
        <v>166</v>
      </c>
      <c r="D20" s="160" t="s">
        <v>495</v>
      </c>
      <c r="E20" s="160" t="s">
        <v>268</v>
      </c>
      <c r="F20" s="120">
        <v>1</v>
      </c>
      <c r="G20" s="120">
        <v>2</v>
      </c>
      <c r="H20" s="229" t="s">
        <v>189</v>
      </c>
      <c r="I20" s="120">
        <v>10</v>
      </c>
      <c r="J20" s="241" t="s">
        <v>212</v>
      </c>
      <c r="K20" s="120">
        <v>1</v>
      </c>
      <c r="L20" s="120" t="s">
        <v>213</v>
      </c>
      <c r="M20" s="123">
        <v>5700000</v>
      </c>
      <c r="N20" s="121">
        <v>4845000</v>
      </c>
      <c r="O20" s="161">
        <f t="shared" si="0"/>
        <v>34607.142857142855</v>
      </c>
      <c r="P20" s="121">
        <f t="shared" si="1"/>
        <v>4845000</v>
      </c>
      <c r="Q20" s="121">
        <f t="shared" si="2"/>
        <v>4845000</v>
      </c>
      <c r="R20" s="122">
        <f t="shared" si="4"/>
        <v>9690000</v>
      </c>
      <c r="S20" s="162">
        <f t="shared" si="3"/>
        <v>69214.28571428571</v>
      </c>
      <c r="T20" s="163">
        <v>310729</v>
      </c>
      <c r="U20" s="164">
        <v>31.832812909782302</v>
      </c>
      <c r="V20" s="163">
        <v>976128</v>
      </c>
    </row>
    <row r="21" spans="1:22" s="49" customFormat="1" ht="16.350000000000001" customHeight="1">
      <c r="A21" s="158" t="s">
        <v>208</v>
      </c>
      <c r="B21" s="159" t="s">
        <v>187</v>
      </c>
      <c r="C21" s="160" t="s">
        <v>166</v>
      </c>
      <c r="D21" s="160" t="s">
        <v>222</v>
      </c>
      <c r="E21" s="160" t="s">
        <v>196</v>
      </c>
      <c r="F21" s="120">
        <v>1</v>
      </c>
      <c r="G21" s="120">
        <v>2</v>
      </c>
      <c r="H21" s="231" t="s">
        <v>189</v>
      </c>
      <c r="I21" s="120">
        <v>10</v>
      </c>
      <c r="J21" s="241" t="s">
        <v>212</v>
      </c>
      <c r="K21" s="120">
        <v>1</v>
      </c>
      <c r="L21" s="120" t="s">
        <v>213</v>
      </c>
      <c r="M21" s="123">
        <v>5700000</v>
      </c>
      <c r="N21" s="121">
        <v>4845000</v>
      </c>
      <c r="O21" s="161">
        <f t="shared" si="0"/>
        <v>34607.142857142855</v>
      </c>
      <c r="P21" s="121">
        <f t="shared" si="1"/>
        <v>4845000</v>
      </c>
      <c r="Q21" s="121">
        <f t="shared" si="2"/>
        <v>4845000</v>
      </c>
      <c r="R21" s="122">
        <f t="shared" si="4"/>
        <v>9690000</v>
      </c>
      <c r="S21" s="162">
        <f t="shared" si="3"/>
        <v>69214.28571428571</v>
      </c>
      <c r="T21" s="163">
        <v>283103</v>
      </c>
      <c r="U21" s="164">
        <v>29.0026512916338</v>
      </c>
      <c r="V21" s="163">
        <v>976128</v>
      </c>
    </row>
    <row r="22" spans="1:22" s="49" customFormat="1" ht="16.350000000000001" customHeight="1">
      <c r="A22" s="158" t="s">
        <v>208</v>
      </c>
      <c r="B22" s="159" t="s">
        <v>187</v>
      </c>
      <c r="C22" s="160" t="s">
        <v>166</v>
      </c>
      <c r="D22" s="160" t="s">
        <v>201</v>
      </c>
      <c r="E22" s="160" t="s">
        <v>196</v>
      </c>
      <c r="F22" s="120">
        <v>1</v>
      </c>
      <c r="G22" s="120">
        <v>2</v>
      </c>
      <c r="H22" s="230" t="s">
        <v>189</v>
      </c>
      <c r="I22" s="120">
        <v>10</v>
      </c>
      <c r="J22" s="241" t="s">
        <v>212</v>
      </c>
      <c r="K22" s="120">
        <v>1</v>
      </c>
      <c r="L22" s="120" t="s">
        <v>213</v>
      </c>
      <c r="M22" s="123">
        <v>5700000</v>
      </c>
      <c r="N22" s="121">
        <v>4845000</v>
      </c>
      <c r="O22" s="161">
        <f t="shared" si="0"/>
        <v>34607.142857142855</v>
      </c>
      <c r="P22" s="121">
        <f t="shared" si="1"/>
        <v>4845000</v>
      </c>
      <c r="Q22" s="121">
        <f t="shared" si="2"/>
        <v>4845000</v>
      </c>
      <c r="R22" s="122">
        <f t="shared" si="4"/>
        <v>9690000</v>
      </c>
      <c r="S22" s="162">
        <f t="shared" si="3"/>
        <v>69214.28571428571</v>
      </c>
      <c r="T22" s="163">
        <v>488750</v>
      </c>
      <c r="U22" s="164">
        <v>50.070277668502399</v>
      </c>
      <c r="V22" s="163">
        <v>976128</v>
      </c>
    </row>
    <row r="23" spans="1:22" s="210" customFormat="1" ht="16.350000000000001" customHeight="1">
      <c r="A23" s="202" t="s">
        <v>208</v>
      </c>
      <c r="B23" s="203" t="s">
        <v>187</v>
      </c>
      <c r="C23" s="166" t="s">
        <v>166</v>
      </c>
      <c r="D23" s="166" t="s">
        <v>307</v>
      </c>
      <c r="E23" s="166" t="s">
        <v>196</v>
      </c>
      <c r="F23" s="204">
        <v>1</v>
      </c>
      <c r="G23" s="204">
        <v>2</v>
      </c>
      <c r="H23" s="229" t="s">
        <v>218</v>
      </c>
      <c r="I23" s="204">
        <v>10</v>
      </c>
      <c r="J23" s="241" t="s">
        <v>212</v>
      </c>
      <c r="K23" s="204">
        <v>1</v>
      </c>
      <c r="L23" s="204" t="s">
        <v>213</v>
      </c>
      <c r="M23" s="205">
        <v>5700000</v>
      </c>
      <c r="N23" s="206">
        <v>4845000</v>
      </c>
      <c r="O23" s="161">
        <f t="shared" si="0"/>
        <v>34607.142857142855</v>
      </c>
      <c r="P23" s="206">
        <f t="shared" si="1"/>
        <v>4845000</v>
      </c>
      <c r="Q23" s="206">
        <f t="shared" si="2"/>
        <v>4845000</v>
      </c>
      <c r="R23" s="207">
        <f t="shared" si="4"/>
        <v>9690000</v>
      </c>
      <c r="S23" s="162">
        <f t="shared" si="3"/>
        <v>69214.28571428571</v>
      </c>
      <c r="T23" s="208">
        <v>560656</v>
      </c>
      <c r="U23" s="209">
        <v>57.436729609231499</v>
      </c>
      <c r="V23" s="208">
        <v>976128</v>
      </c>
    </row>
    <row r="24" spans="1:22" s="49" customFormat="1" ht="16.350000000000001" customHeight="1">
      <c r="A24" s="158" t="s">
        <v>208</v>
      </c>
      <c r="B24" s="176" t="s">
        <v>187</v>
      </c>
      <c r="C24" s="160" t="s">
        <v>166</v>
      </c>
      <c r="D24" s="177" t="s">
        <v>223</v>
      </c>
      <c r="E24" s="178" t="s">
        <v>200</v>
      </c>
      <c r="F24" s="120">
        <v>1</v>
      </c>
      <c r="G24" s="120">
        <v>2</v>
      </c>
      <c r="H24" s="229" t="s">
        <v>215</v>
      </c>
      <c r="I24" s="120">
        <v>10</v>
      </c>
      <c r="J24" s="241" t="s">
        <v>212</v>
      </c>
      <c r="K24" s="120">
        <v>1</v>
      </c>
      <c r="L24" s="120" t="s">
        <v>213</v>
      </c>
      <c r="M24" s="123">
        <v>5500000</v>
      </c>
      <c r="N24" s="121">
        <v>4675000</v>
      </c>
      <c r="O24" s="161">
        <f t="shared" si="0"/>
        <v>33392.857142857145</v>
      </c>
      <c r="P24" s="121">
        <f t="shared" si="1"/>
        <v>4675000</v>
      </c>
      <c r="Q24" s="121">
        <f t="shared" si="2"/>
        <v>4675000</v>
      </c>
      <c r="R24" s="122">
        <f t="shared" si="4"/>
        <v>9350000</v>
      </c>
      <c r="S24" s="162">
        <f t="shared" si="3"/>
        <v>66785.71428571429</v>
      </c>
      <c r="T24" s="163">
        <v>733669</v>
      </c>
      <c r="U24" s="164">
        <v>75.161146898767299</v>
      </c>
      <c r="V24" s="163">
        <v>976128</v>
      </c>
    </row>
    <row r="25" spans="1:22" s="49" customFormat="1" ht="15.95" customHeight="1">
      <c r="A25" s="158" t="s">
        <v>208</v>
      </c>
      <c r="B25" s="179" t="s">
        <v>187</v>
      </c>
      <c r="C25" s="175" t="s">
        <v>166</v>
      </c>
      <c r="D25" s="171" t="s">
        <v>202</v>
      </c>
      <c r="E25" s="171" t="s">
        <v>200</v>
      </c>
      <c r="F25" s="120">
        <v>1</v>
      </c>
      <c r="G25" s="120">
        <v>2</v>
      </c>
      <c r="H25" s="231" t="s">
        <v>215</v>
      </c>
      <c r="I25" s="120">
        <v>10</v>
      </c>
      <c r="J25" s="241" t="s">
        <v>212</v>
      </c>
      <c r="K25" s="120">
        <v>1</v>
      </c>
      <c r="L25" s="120" t="s">
        <v>213</v>
      </c>
      <c r="M25" s="124">
        <v>7200000</v>
      </c>
      <c r="N25" s="121">
        <v>5760000</v>
      </c>
      <c r="O25" s="161">
        <f t="shared" si="0"/>
        <v>41142.857142857145</v>
      </c>
      <c r="P25" s="121">
        <f t="shared" si="1"/>
        <v>5760000</v>
      </c>
      <c r="Q25" s="121">
        <f t="shared" si="2"/>
        <v>5760000</v>
      </c>
      <c r="R25" s="122">
        <f t="shared" si="4"/>
        <v>11520000</v>
      </c>
      <c r="S25" s="162">
        <f t="shared" si="3"/>
        <v>82285.71428571429</v>
      </c>
      <c r="T25" s="163">
        <v>659971</v>
      </c>
      <c r="U25" s="164">
        <v>67.611112477052103</v>
      </c>
      <c r="V25" s="163">
        <v>976128</v>
      </c>
    </row>
    <row r="26" spans="1:22" s="49" customFormat="1" ht="16.350000000000001" customHeight="1">
      <c r="A26" s="158" t="s">
        <v>208</v>
      </c>
      <c r="B26" s="180" t="s">
        <v>187</v>
      </c>
      <c r="C26" s="181" t="s">
        <v>166</v>
      </c>
      <c r="D26" s="182" t="s">
        <v>286</v>
      </c>
      <c r="E26" s="171" t="s">
        <v>287</v>
      </c>
      <c r="F26" s="120">
        <v>1</v>
      </c>
      <c r="G26" s="120">
        <v>2</v>
      </c>
      <c r="H26" s="231" t="s">
        <v>288</v>
      </c>
      <c r="I26" s="120">
        <v>10</v>
      </c>
      <c r="J26" s="241" t="s">
        <v>212</v>
      </c>
      <c r="K26" s="120">
        <v>1</v>
      </c>
      <c r="L26" s="120" t="s">
        <v>213</v>
      </c>
      <c r="M26" s="124">
        <v>15000000</v>
      </c>
      <c r="N26" s="121">
        <v>13500000</v>
      </c>
      <c r="O26" s="161">
        <f t="shared" si="0"/>
        <v>96428.571428571435</v>
      </c>
      <c r="P26" s="121">
        <f t="shared" si="1"/>
        <v>13500000</v>
      </c>
      <c r="Q26" s="121">
        <f t="shared" si="2"/>
        <v>13500000</v>
      </c>
      <c r="R26" s="122">
        <f t="shared" si="4"/>
        <v>27000000</v>
      </c>
      <c r="S26" s="162">
        <f t="shared" si="3"/>
        <v>192857.14285714287</v>
      </c>
      <c r="T26" s="163">
        <v>2611714</v>
      </c>
      <c r="U26" s="164">
        <v>267.55855789404598</v>
      </c>
      <c r="V26" s="163">
        <v>976128</v>
      </c>
    </row>
    <row r="27" spans="1:22" s="49" customFormat="1" ht="15.95" customHeight="1">
      <c r="A27" s="158" t="s">
        <v>208</v>
      </c>
      <c r="B27" s="183" t="s">
        <v>187</v>
      </c>
      <c r="C27" s="120" t="s">
        <v>191</v>
      </c>
      <c r="D27" s="184" t="s">
        <v>203</v>
      </c>
      <c r="E27" s="168" t="s">
        <v>196</v>
      </c>
      <c r="F27" s="120">
        <v>1</v>
      </c>
      <c r="G27" s="120">
        <v>2</v>
      </c>
      <c r="H27" s="231" t="s">
        <v>189</v>
      </c>
      <c r="I27" s="120">
        <v>10</v>
      </c>
      <c r="J27" s="241" t="s">
        <v>212</v>
      </c>
      <c r="K27" s="120">
        <v>1</v>
      </c>
      <c r="L27" s="120" t="s">
        <v>213</v>
      </c>
      <c r="M27" s="123">
        <v>6000000</v>
      </c>
      <c r="N27" s="121">
        <v>5100000</v>
      </c>
      <c r="O27" s="161">
        <f t="shared" si="0"/>
        <v>36428.571428571428</v>
      </c>
      <c r="P27" s="121">
        <f t="shared" si="1"/>
        <v>5100000</v>
      </c>
      <c r="Q27" s="121">
        <f t="shared" si="2"/>
        <v>5100000</v>
      </c>
      <c r="R27" s="122">
        <f t="shared" si="4"/>
        <v>10200000</v>
      </c>
      <c r="S27" s="162">
        <f t="shared" si="3"/>
        <v>72857.142857142855</v>
      </c>
      <c r="T27" s="163">
        <v>297446</v>
      </c>
      <c r="U27" s="164">
        <v>30.472028258588999</v>
      </c>
      <c r="V27" s="163">
        <v>976128</v>
      </c>
    </row>
    <row r="28" spans="1:22" s="67" customFormat="1" ht="16.350000000000001" customHeight="1">
      <c r="A28" s="158" t="s">
        <v>208</v>
      </c>
      <c r="B28" s="159" t="s">
        <v>187</v>
      </c>
      <c r="C28" s="160" t="s">
        <v>166</v>
      </c>
      <c r="D28" s="160" t="s">
        <v>216</v>
      </c>
      <c r="E28" s="160" t="s">
        <v>199</v>
      </c>
      <c r="F28" s="120">
        <v>1</v>
      </c>
      <c r="G28" s="120">
        <v>2</v>
      </c>
      <c r="H28" s="230" t="s">
        <v>189</v>
      </c>
      <c r="I28" s="120">
        <v>10</v>
      </c>
      <c r="J28" s="241" t="s">
        <v>212</v>
      </c>
      <c r="K28" s="120">
        <v>1</v>
      </c>
      <c r="L28" s="120" t="s">
        <v>213</v>
      </c>
      <c r="M28" s="124">
        <v>11000000</v>
      </c>
      <c r="N28" s="121">
        <v>9350000</v>
      </c>
      <c r="O28" s="161">
        <f t="shared" si="0"/>
        <v>66785.71428571429</v>
      </c>
      <c r="P28" s="121">
        <f t="shared" si="1"/>
        <v>9350000</v>
      </c>
      <c r="Q28" s="121">
        <f t="shared" si="2"/>
        <v>9350000</v>
      </c>
      <c r="R28" s="122">
        <f t="shared" si="4"/>
        <v>18700000</v>
      </c>
      <c r="S28" s="162">
        <f t="shared" si="3"/>
        <v>133571.42857142858</v>
      </c>
      <c r="T28" s="163">
        <v>746577</v>
      </c>
      <c r="U28" s="164">
        <v>76.483514457120293</v>
      </c>
      <c r="V28" s="163">
        <v>976128</v>
      </c>
    </row>
    <row r="29" spans="1:22" s="49" customFormat="1" ht="16.350000000000001" customHeight="1">
      <c r="A29" s="158" t="s">
        <v>208</v>
      </c>
      <c r="B29" s="159" t="s">
        <v>187</v>
      </c>
      <c r="C29" s="160" t="s">
        <v>166</v>
      </c>
      <c r="D29" s="160" t="s">
        <v>204</v>
      </c>
      <c r="E29" s="160" t="s">
        <v>205</v>
      </c>
      <c r="F29" s="120">
        <v>1</v>
      </c>
      <c r="G29" s="120">
        <v>2</v>
      </c>
      <c r="H29" s="227" t="s">
        <v>220</v>
      </c>
      <c r="I29" s="120">
        <v>10</v>
      </c>
      <c r="J29" s="241" t="s">
        <v>212</v>
      </c>
      <c r="K29" s="120">
        <v>1</v>
      </c>
      <c r="L29" s="120" t="s">
        <v>213</v>
      </c>
      <c r="M29" s="125">
        <v>20700000</v>
      </c>
      <c r="N29" s="121">
        <v>16560000</v>
      </c>
      <c r="O29" s="161">
        <f>N29/140</f>
        <v>118285.71428571429</v>
      </c>
      <c r="P29" s="121">
        <f t="shared" si="1"/>
        <v>16560000</v>
      </c>
      <c r="Q29" s="121">
        <f t="shared" si="2"/>
        <v>16560000</v>
      </c>
      <c r="R29" s="122">
        <f t="shared" si="4"/>
        <v>33120000</v>
      </c>
      <c r="S29" s="162">
        <f t="shared" si="3"/>
        <v>236571.42857142858</v>
      </c>
      <c r="T29" s="163">
        <v>2907623</v>
      </c>
      <c r="U29" s="164">
        <v>297.873127294781</v>
      </c>
      <c r="V29" s="163">
        <v>976128</v>
      </c>
    </row>
    <row r="30" spans="1:22" s="49" customFormat="1" ht="16.350000000000001" customHeight="1">
      <c r="A30" s="158" t="s">
        <v>208</v>
      </c>
      <c r="B30" s="159" t="s">
        <v>187</v>
      </c>
      <c r="C30" s="160" t="s">
        <v>166</v>
      </c>
      <c r="D30" s="160" t="s">
        <v>225</v>
      </c>
      <c r="E30" s="160" t="s">
        <v>196</v>
      </c>
      <c r="F30" s="120">
        <v>1</v>
      </c>
      <c r="G30" s="120">
        <v>2</v>
      </c>
      <c r="H30" s="229" t="s">
        <v>226</v>
      </c>
      <c r="I30" s="120">
        <v>10</v>
      </c>
      <c r="J30" s="241" t="s">
        <v>212</v>
      </c>
      <c r="K30" s="120">
        <v>1</v>
      </c>
      <c r="L30" s="120" t="s">
        <v>213</v>
      </c>
      <c r="M30" s="124">
        <v>5800000</v>
      </c>
      <c r="N30" s="121">
        <v>5220000</v>
      </c>
      <c r="O30" s="161">
        <f t="shared" si="0"/>
        <v>37285.714285714283</v>
      </c>
      <c r="P30" s="121">
        <f t="shared" si="1"/>
        <v>5220000</v>
      </c>
      <c r="Q30" s="121">
        <f t="shared" si="2"/>
        <v>5220000</v>
      </c>
      <c r="R30" s="122">
        <f t="shared" si="4"/>
        <v>10440000</v>
      </c>
      <c r="S30" s="162">
        <f t="shared" si="3"/>
        <v>74571.428571428565</v>
      </c>
      <c r="T30" s="163">
        <v>331810</v>
      </c>
      <c r="U30" s="164">
        <v>33.992468200891601</v>
      </c>
      <c r="V30" s="163">
        <v>976128</v>
      </c>
    </row>
    <row r="31" spans="1:22" s="49" customFormat="1" ht="16.350000000000001" customHeight="1">
      <c r="A31" s="158" t="s">
        <v>208</v>
      </c>
      <c r="B31" s="159" t="s">
        <v>187</v>
      </c>
      <c r="C31" s="160" t="s">
        <v>166</v>
      </c>
      <c r="D31" s="160" t="s">
        <v>206</v>
      </c>
      <c r="E31" s="160" t="s">
        <v>196</v>
      </c>
      <c r="F31" s="120">
        <v>1</v>
      </c>
      <c r="G31" s="120">
        <v>2</v>
      </c>
      <c r="H31" s="230" t="s">
        <v>189</v>
      </c>
      <c r="I31" s="120">
        <v>10</v>
      </c>
      <c r="J31" s="241" t="s">
        <v>212</v>
      </c>
      <c r="K31" s="120">
        <v>1</v>
      </c>
      <c r="L31" s="120" t="s">
        <v>213</v>
      </c>
      <c r="M31" s="123">
        <v>5700000</v>
      </c>
      <c r="N31" s="121">
        <v>4845000</v>
      </c>
      <c r="O31" s="161">
        <f t="shared" si="0"/>
        <v>34607.142857142855</v>
      </c>
      <c r="P31" s="121">
        <f t="shared" si="1"/>
        <v>4845000</v>
      </c>
      <c r="Q31" s="121">
        <f t="shared" si="2"/>
        <v>4845000</v>
      </c>
      <c r="R31" s="122">
        <f t="shared" si="4"/>
        <v>9690000</v>
      </c>
      <c r="S31" s="162">
        <f t="shared" si="3"/>
        <v>69214.28571428571</v>
      </c>
      <c r="T31" s="163">
        <v>569296</v>
      </c>
      <c r="U31" s="164">
        <v>58.321859428271701</v>
      </c>
      <c r="V31" s="163">
        <v>976128</v>
      </c>
    </row>
    <row r="32" spans="1:22" s="49" customFormat="1" ht="16.350000000000001" customHeight="1">
      <c r="A32" s="158" t="s">
        <v>208</v>
      </c>
      <c r="B32" s="179" t="s">
        <v>187</v>
      </c>
      <c r="C32" s="175" t="s">
        <v>166</v>
      </c>
      <c r="D32" s="171" t="s">
        <v>217</v>
      </c>
      <c r="E32" s="171" t="s">
        <v>196</v>
      </c>
      <c r="F32" s="120">
        <v>1</v>
      </c>
      <c r="G32" s="120">
        <v>2</v>
      </c>
      <c r="H32" s="231" t="s">
        <v>218</v>
      </c>
      <c r="I32" s="120">
        <v>10</v>
      </c>
      <c r="J32" s="241" t="s">
        <v>212</v>
      </c>
      <c r="K32" s="120">
        <v>1</v>
      </c>
      <c r="L32" s="120" t="s">
        <v>213</v>
      </c>
      <c r="M32" s="123">
        <v>5700000</v>
      </c>
      <c r="N32" s="121">
        <v>4845000</v>
      </c>
      <c r="O32" s="161">
        <f t="shared" si="0"/>
        <v>34607.142857142855</v>
      </c>
      <c r="P32" s="121">
        <f t="shared" si="1"/>
        <v>4845000</v>
      </c>
      <c r="Q32" s="121">
        <f t="shared" si="2"/>
        <v>4845000</v>
      </c>
      <c r="R32" s="122">
        <f t="shared" si="4"/>
        <v>9690000</v>
      </c>
      <c r="S32" s="162">
        <f t="shared" si="3"/>
        <v>69214.28571428571</v>
      </c>
      <c r="T32" s="163">
        <v>679489</v>
      </c>
      <c r="U32" s="164">
        <v>69.610645325203194</v>
      </c>
      <c r="V32" s="163">
        <v>976128</v>
      </c>
    </row>
    <row r="33" spans="1:22" s="49" customFormat="1" ht="16.350000000000001" customHeight="1">
      <c r="A33" s="158" t="s">
        <v>208</v>
      </c>
      <c r="B33" s="172" t="s">
        <v>187</v>
      </c>
      <c r="C33" s="170" t="s">
        <v>166</v>
      </c>
      <c r="D33" s="160" t="s">
        <v>299</v>
      </c>
      <c r="E33" s="160" t="s">
        <v>196</v>
      </c>
      <c r="F33" s="120">
        <v>1</v>
      </c>
      <c r="G33" s="120">
        <v>2</v>
      </c>
      <c r="H33" s="229" t="s">
        <v>189</v>
      </c>
      <c r="I33" s="120">
        <v>10</v>
      </c>
      <c r="J33" s="241" t="s">
        <v>212</v>
      </c>
      <c r="K33" s="120">
        <v>1</v>
      </c>
      <c r="L33" s="120" t="s">
        <v>213</v>
      </c>
      <c r="M33" s="125">
        <v>5700000</v>
      </c>
      <c r="N33" s="121">
        <v>4845000</v>
      </c>
      <c r="O33" s="161">
        <f t="shared" si="0"/>
        <v>34607.142857142855</v>
      </c>
      <c r="P33" s="121">
        <f t="shared" si="1"/>
        <v>4845000</v>
      </c>
      <c r="Q33" s="121">
        <f t="shared" si="2"/>
        <v>4845000</v>
      </c>
      <c r="R33" s="122">
        <f t="shared" si="4"/>
        <v>9690000</v>
      </c>
      <c r="S33" s="162">
        <f t="shared" si="3"/>
        <v>69214.28571428571</v>
      </c>
      <c r="T33" s="163">
        <v>202317</v>
      </c>
      <c r="U33" s="164">
        <v>20.7264825924468</v>
      </c>
      <c r="V33" s="163">
        <v>976128</v>
      </c>
    </row>
    <row r="34" spans="1:22" s="49" customFormat="1" ht="16.350000000000001" customHeight="1">
      <c r="A34" s="158" t="s">
        <v>208</v>
      </c>
      <c r="B34" s="159" t="s">
        <v>187</v>
      </c>
      <c r="C34" s="170" t="s">
        <v>166</v>
      </c>
      <c r="D34" s="171" t="s">
        <v>274</v>
      </c>
      <c r="E34" s="171" t="s">
        <v>196</v>
      </c>
      <c r="F34" s="120">
        <v>1</v>
      </c>
      <c r="G34" s="120">
        <v>2</v>
      </c>
      <c r="H34" s="229" t="s">
        <v>215</v>
      </c>
      <c r="I34" s="120">
        <v>10</v>
      </c>
      <c r="J34" s="241" t="s">
        <v>212</v>
      </c>
      <c r="K34" s="120">
        <v>1</v>
      </c>
      <c r="L34" s="120" t="s">
        <v>213</v>
      </c>
      <c r="M34" s="123">
        <v>8900000</v>
      </c>
      <c r="N34" s="121">
        <v>8010000</v>
      </c>
      <c r="O34" s="161">
        <f t="shared" si="0"/>
        <v>57214.285714285717</v>
      </c>
      <c r="P34" s="121">
        <f t="shared" si="1"/>
        <v>8010000</v>
      </c>
      <c r="Q34" s="121">
        <f t="shared" si="2"/>
        <v>8010000</v>
      </c>
      <c r="R34" s="122">
        <f t="shared" si="4"/>
        <v>16020000</v>
      </c>
      <c r="S34" s="162">
        <f t="shared" si="3"/>
        <v>114428.57142857143</v>
      </c>
      <c r="T34" s="163">
        <v>297613</v>
      </c>
      <c r="U34" s="164">
        <v>30.489136670600502</v>
      </c>
      <c r="V34" s="163">
        <v>976128</v>
      </c>
    </row>
    <row r="35" spans="1:22" s="49" customFormat="1" ht="16.350000000000001" customHeight="1">
      <c r="A35" s="158" t="s">
        <v>208</v>
      </c>
      <c r="B35" s="159" t="s">
        <v>187</v>
      </c>
      <c r="C35" s="170" t="s">
        <v>166</v>
      </c>
      <c r="D35" s="160" t="s">
        <v>276</v>
      </c>
      <c r="E35" s="160" t="s">
        <v>200</v>
      </c>
      <c r="F35" s="120">
        <v>1</v>
      </c>
      <c r="G35" s="120">
        <v>2</v>
      </c>
      <c r="H35" s="229" t="s">
        <v>215</v>
      </c>
      <c r="I35" s="120">
        <v>10</v>
      </c>
      <c r="J35" s="241" t="s">
        <v>212</v>
      </c>
      <c r="K35" s="120">
        <v>1</v>
      </c>
      <c r="L35" s="120" t="s">
        <v>213</v>
      </c>
      <c r="M35" s="123">
        <v>7100000</v>
      </c>
      <c r="N35" s="121">
        <v>5680000</v>
      </c>
      <c r="O35" s="161">
        <f t="shared" si="0"/>
        <v>40571.428571428572</v>
      </c>
      <c r="P35" s="121">
        <f t="shared" si="1"/>
        <v>5680000</v>
      </c>
      <c r="Q35" s="121">
        <f t="shared" si="2"/>
        <v>5680000</v>
      </c>
      <c r="R35" s="122">
        <f t="shared" si="4"/>
        <v>11360000</v>
      </c>
      <c r="S35" s="162">
        <f t="shared" si="3"/>
        <v>81142.857142857145</v>
      </c>
      <c r="T35" s="163">
        <v>383545</v>
      </c>
      <c r="U35" s="164">
        <v>39.292490329137102</v>
      </c>
      <c r="V35" s="163">
        <v>976128</v>
      </c>
    </row>
    <row r="36" spans="1:22" s="49" customFormat="1" ht="16.350000000000001" customHeight="1">
      <c r="A36" s="158" t="s">
        <v>208</v>
      </c>
      <c r="B36" s="174" t="s">
        <v>187</v>
      </c>
      <c r="C36" s="185" t="s">
        <v>166</v>
      </c>
      <c r="D36" s="175" t="s">
        <v>277</v>
      </c>
      <c r="E36" s="175" t="s">
        <v>240</v>
      </c>
      <c r="F36" s="120">
        <v>1</v>
      </c>
      <c r="G36" s="120">
        <v>2</v>
      </c>
      <c r="H36" s="229" t="s">
        <v>189</v>
      </c>
      <c r="I36" s="120">
        <v>10</v>
      </c>
      <c r="J36" s="241" t="s">
        <v>212</v>
      </c>
      <c r="K36" s="120">
        <v>1</v>
      </c>
      <c r="L36" s="120" t="s">
        <v>213</v>
      </c>
      <c r="M36" s="125">
        <v>6000000</v>
      </c>
      <c r="N36" s="121">
        <v>4500000</v>
      </c>
      <c r="O36" s="161">
        <f t="shared" si="0"/>
        <v>32142.857142857141</v>
      </c>
      <c r="P36" s="121">
        <f t="shared" si="1"/>
        <v>4500000</v>
      </c>
      <c r="Q36" s="121">
        <f t="shared" si="2"/>
        <v>4500000</v>
      </c>
      <c r="R36" s="122">
        <f t="shared" si="4"/>
        <v>9000000</v>
      </c>
      <c r="S36" s="162">
        <f t="shared" si="3"/>
        <v>64285.714285714283</v>
      </c>
      <c r="T36" s="163">
        <v>402333</v>
      </c>
      <c r="U36" s="164">
        <v>41.217237903225801</v>
      </c>
      <c r="V36" s="163">
        <v>976128</v>
      </c>
    </row>
    <row r="37" spans="1:22" s="49" customFormat="1" ht="16.350000000000001" customHeight="1">
      <c r="A37" s="158" t="s">
        <v>208</v>
      </c>
      <c r="B37" s="159" t="s">
        <v>187</v>
      </c>
      <c r="C37" s="170" t="s">
        <v>166</v>
      </c>
      <c r="D37" s="170" t="s">
        <v>278</v>
      </c>
      <c r="E37" s="160" t="s">
        <v>196</v>
      </c>
      <c r="F37" s="120">
        <v>1</v>
      </c>
      <c r="G37" s="120">
        <v>2</v>
      </c>
      <c r="H37" s="229" t="s">
        <v>215</v>
      </c>
      <c r="I37" s="120">
        <v>10</v>
      </c>
      <c r="J37" s="241" t="s">
        <v>212</v>
      </c>
      <c r="K37" s="120">
        <v>1</v>
      </c>
      <c r="L37" s="120" t="s">
        <v>213</v>
      </c>
      <c r="M37" s="125">
        <v>7200000</v>
      </c>
      <c r="N37" s="121">
        <v>5760000</v>
      </c>
      <c r="O37" s="161">
        <f t="shared" si="0"/>
        <v>41142.857142857145</v>
      </c>
      <c r="P37" s="121">
        <f t="shared" si="1"/>
        <v>5760000</v>
      </c>
      <c r="Q37" s="121">
        <f t="shared" si="2"/>
        <v>5760000</v>
      </c>
      <c r="R37" s="122">
        <f t="shared" si="4"/>
        <v>11520000</v>
      </c>
      <c r="S37" s="162">
        <f t="shared" si="3"/>
        <v>82285.71428571429</v>
      </c>
      <c r="T37" s="163">
        <v>304272</v>
      </c>
      <c r="U37" s="164">
        <v>31.1713217938631</v>
      </c>
      <c r="V37" s="163">
        <v>976128</v>
      </c>
    </row>
    <row r="38" spans="1:22" s="49" customFormat="1" ht="16.350000000000001" customHeight="1">
      <c r="A38" s="158" t="s">
        <v>208</v>
      </c>
      <c r="B38" s="159" t="s">
        <v>187</v>
      </c>
      <c r="C38" s="170" t="s">
        <v>166</v>
      </c>
      <c r="D38" s="186" t="s">
        <v>279</v>
      </c>
      <c r="E38" s="160" t="s">
        <v>196</v>
      </c>
      <c r="F38" s="120">
        <v>1</v>
      </c>
      <c r="G38" s="120">
        <v>2</v>
      </c>
      <c r="H38" s="229" t="s">
        <v>218</v>
      </c>
      <c r="I38" s="120">
        <v>10</v>
      </c>
      <c r="J38" s="241" t="s">
        <v>212</v>
      </c>
      <c r="K38" s="120">
        <v>1</v>
      </c>
      <c r="L38" s="120" t="s">
        <v>213</v>
      </c>
      <c r="M38" s="125">
        <v>5700000</v>
      </c>
      <c r="N38" s="121">
        <v>4845000</v>
      </c>
      <c r="O38" s="161">
        <f t="shared" si="0"/>
        <v>34607.142857142855</v>
      </c>
      <c r="P38" s="121">
        <f t="shared" si="1"/>
        <v>4845000</v>
      </c>
      <c r="Q38" s="121">
        <f t="shared" si="2"/>
        <v>4845000</v>
      </c>
      <c r="R38" s="122">
        <f t="shared" si="4"/>
        <v>9690000</v>
      </c>
      <c r="S38" s="162">
        <f t="shared" si="3"/>
        <v>69214.28571428571</v>
      </c>
      <c r="T38" s="163">
        <v>358189</v>
      </c>
      <c r="U38" s="164">
        <v>36.6948801796485</v>
      </c>
      <c r="V38" s="163">
        <v>976128</v>
      </c>
    </row>
    <row r="39" spans="1:22" s="49" customFormat="1" ht="16.350000000000001" customHeight="1">
      <c r="A39" s="158" t="s">
        <v>208</v>
      </c>
      <c r="B39" s="165" t="s">
        <v>187</v>
      </c>
      <c r="C39" s="166" t="s">
        <v>166</v>
      </c>
      <c r="D39" s="166" t="s">
        <v>305</v>
      </c>
      <c r="E39" s="167" t="s">
        <v>196</v>
      </c>
      <c r="F39" s="120">
        <v>1</v>
      </c>
      <c r="G39" s="120">
        <v>2</v>
      </c>
      <c r="H39" s="229" t="s">
        <v>215</v>
      </c>
      <c r="I39" s="120">
        <v>10</v>
      </c>
      <c r="J39" s="241" t="s">
        <v>212</v>
      </c>
      <c r="K39" s="120">
        <v>1</v>
      </c>
      <c r="L39" s="120" t="s">
        <v>213</v>
      </c>
      <c r="M39" s="125">
        <v>5500000</v>
      </c>
      <c r="N39" s="121">
        <v>4675000</v>
      </c>
      <c r="O39" s="161">
        <f t="shared" si="0"/>
        <v>33392.857142857145</v>
      </c>
      <c r="P39" s="121">
        <f t="shared" si="1"/>
        <v>4675000</v>
      </c>
      <c r="Q39" s="121">
        <f t="shared" si="2"/>
        <v>4675000</v>
      </c>
      <c r="R39" s="122">
        <f t="shared" si="4"/>
        <v>9350000</v>
      </c>
      <c r="S39" s="162">
        <f t="shared" si="3"/>
        <v>66785.71428571429</v>
      </c>
      <c r="T39" s="163">
        <v>408137</v>
      </c>
      <c r="U39" s="164">
        <v>41.811832054812399</v>
      </c>
      <c r="V39" s="163">
        <v>976128</v>
      </c>
    </row>
    <row r="40" spans="1:22" s="49" customFormat="1" ht="16.350000000000001" customHeight="1">
      <c r="A40" s="158" t="s">
        <v>208</v>
      </c>
      <c r="B40" s="165" t="s">
        <v>187</v>
      </c>
      <c r="C40" s="166" t="s">
        <v>166</v>
      </c>
      <c r="D40" s="167" t="s">
        <v>306</v>
      </c>
      <c r="E40" s="167" t="s">
        <v>196</v>
      </c>
      <c r="F40" s="120">
        <v>1</v>
      </c>
      <c r="G40" s="120">
        <v>2</v>
      </c>
      <c r="H40" s="229" t="s">
        <v>218</v>
      </c>
      <c r="I40" s="120">
        <v>10</v>
      </c>
      <c r="J40" s="241" t="s">
        <v>212</v>
      </c>
      <c r="K40" s="120">
        <v>1</v>
      </c>
      <c r="L40" s="120" t="s">
        <v>213</v>
      </c>
      <c r="M40" s="125">
        <v>4900000</v>
      </c>
      <c r="N40" s="121">
        <v>4165000</v>
      </c>
      <c r="O40" s="161">
        <f t="shared" si="0"/>
        <v>29750</v>
      </c>
      <c r="P40" s="121">
        <f t="shared" si="1"/>
        <v>4165000</v>
      </c>
      <c r="Q40" s="121">
        <f t="shared" si="2"/>
        <v>4165000</v>
      </c>
      <c r="R40" s="122">
        <f t="shared" si="4"/>
        <v>8330000</v>
      </c>
      <c r="S40" s="162">
        <f t="shared" si="3"/>
        <v>59500</v>
      </c>
      <c r="T40" s="163">
        <v>558821</v>
      </c>
      <c r="U40" s="164">
        <v>57.248741968266401</v>
      </c>
      <c r="V40" s="163">
        <v>976128</v>
      </c>
    </row>
    <row r="41" spans="1:22" s="49" customFormat="1" ht="16.350000000000001" customHeight="1">
      <c r="A41" s="158" t="s">
        <v>208</v>
      </c>
      <c r="B41" s="165" t="s">
        <v>187</v>
      </c>
      <c r="C41" s="166" t="s">
        <v>166</v>
      </c>
      <c r="D41" s="166" t="s">
        <v>300</v>
      </c>
      <c r="E41" s="167" t="s">
        <v>301</v>
      </c>
      <c r="F41" s="120">
        <v>1</v>
      </c>
      <c r="G41" s="120">
        <v>2</v>
      </c>
      <c r="H41" s="171" t="s">
        <v>311</v>
      </c>
      <c r="I41" s="120">
        <v>10</v>
      </c>
      <c r="J41" s="241" t="s">
        <v>212</v>
      </c>
      <c r="K41" s="120">
        <v>1</v>
      </c>
      <c r="L41" s="120" t="s">
        <v>213</v>
      </c>
      <c r="M41" s="123">
        <v>18000000</v>
      </c>
      <c r="N41" s="121">
        <v>15300000</v>
      </c>
      <c r="O41" s="161">
        <f t="shared" si="0"/>
        <v>109285.71428571429</v>
      </c>
      <c r="P41" s="121">
        <f t="shared" si="1"/>
        <v>15300000</v>
      </c>
      <c r="Q41" s="121">
        <f t="shared" si="2"/>
        <v>15300000</v>
      </c>
      <c r="R41" s="122">
        <f t="shared" si="4"/>
        <v>30600000</v>
      </c>
      <c r="S41" s="162">
        <f t="shared" si="3"/>
        <v>218571.42857142858</v>
      </c>
      <c r="T41" s="163">
        <v>1919228</v>
      </c>
      <c r="U41" s="164">
        <v>196.61642735378899</v>
      </c>
      <c r="V41" s="163">
        <v>976128</v>
      </c>
    </row>
    <row r="42" spans="1:22" s="49" customFormat="1" ht="16.350000000000001" customHeight="1">
      <c r="A42" s="158" t="s">
        <v>208</v>
      </c>
      <c r="B42" s="187" t="s">
        <v>187</v>
      </c>
      <c r="C42" s="166" t="s">
        <v>166</v>
      </c>
      <c r="D42" s="166" t="s">
        <v>302</v>
      </c>
      <c r="E42" s="167" t="s">
        <v>282</v>
      </c>
      <c r="F42" s="120">
        <v>1</v>
      </c>
      <c r="G42" s="120">
        <v>2</v>
      </c>
      <c r="H42" s="229" t="s">
        <v>215</v>
      </c>
      <c r="I42" s="120">
        <v>10</v>
      </c>
      <c r="J42" s="241" t="s">
        <v>212</v>
      </c>
      <c r="K42" s="120">
        <v>1</v>
      </c>
      <c r="L42" s="120" t="s">
        <v>213</v>
      </c>
      <c r="M42" s="125">
        <v>5700000</v>
      </c>
      <c r="N42" s="121">
        <v>4845000</v>
      </c>
      <c r="O42" s="161">
        <f t="shared" si="0"/>
        <v>34607.142857142855</v>
      </c>
      <c r="P42" s="121">
        <f t="shared" si="1"/>
        <v>4845000</v>
      </c>
      <c r="Q42" s="121">
        <f t="shared" si="2"/>
        <v>4845000</v>
      </c>
      <c r="R42" s="122">
        <f t="shared" si="4"/>
        <v>9690000</v>
      </c>
      <c r="S42" s="162">
        <f t="shared" si="3"/>
        <v>69214.28571428571</v>
      </c>
      <c r="T42" s="163">
        <v>382201</v>
      </c>
      <c r="U42" s="164">
        <v>39.154803468397503</v>
      </c>
      <c r="V42" s="163">
        <v>976128</v>
      </c>
    </row>
    <row r="43" spans="1:22" s="49" customFormat="1" ht="16.350000000000001" customHeight="1">
      <c r="A43" s="158" t="s">
        <v>208</v>
      </c>
      <c r="B43" s="165" t="s">
        <v>187</v>
      </c>
      <c r="C43" s="166" t="s">
        <v>166</v>
      </c>
      <c r="D43" s="166" t="s">
        <v>423</v>
      </c>
      <c r="E43" s="167" t="s">
        <v>200</v>
      </c>
      <c r="F43" s="120">
        <v>1</v>
      </c>
      <c r="G43" s="120">
        <v>2</v>
      </c>
      <c r="H43" s="229" t="s">
        <v>215</v>
      </c>
      <c r="I43" s="120">
        <v>10</v>
      </c>
      <c r="J43" s="241" t="s">
        <v>212</v>
      </c>
      <c r="K43" s="120">
        <v>1</v>
      </c>
      <c r="L43" s="120" t="s">
        <v>213</v>
      </c>
      <c r="M43" s="125">
        <v>6800000</v>
      </c>
      <c r="N43" s="121">
        <v>6120000</v>
      </c>
      <c r="O43" s="161">
        <f t="shared" si="0"/>
        <v>43714.285714285717</v>
      </c>
      <c r="P43" s="121">
        <f t="shared" si="1"/>
        <v>6120000</v>
      </c>
      <c r="Q43" s="121">
        <f t="shared" si="2"/>
        <v>6120000</v>
      </c>
      <c r="R43" s="122">
        <f t="shared" si="4"/>
        <v>12240000</v>
      </c>
      <c r="S43" s="162">
        <f t="shared" si="3"/>
        <v>87428.571428571435</v>
      </c>
      <c r="T43" s="163">
        <v>1031495</v>
      </c>
      <c r="U43" s="164">
        <v>105.67210447810101</v>
      </c>
      <c r="V43" s="163">
        <v>976128</v>
      </c>
    </row>
    <row r="44" spans="1:22" s="49" customFormat="1" ht="16.350000000000001" customHeight="1">
      <c r="A44" s="158" t="s">
        <v>208</v>
      </c>
      <c r="B44" s="165" t="s">
        <v>187</v>
      </c>
      <c r="C44" s="166" t="s">
        <v>166</v>
      </c>
      <c r="D44" s="166" t="s">
        <v>304</v>
      </c>
      <c r="E44" s="167" t="s">
        <v>196</v>
      </c>
      <c r="F44" s="120">
        <v>1</v>
      </c>
      <c r="G44" s="120">
        <v>2</v>
      </c>
      <c r="H44" s="229" t="s">
        <v>189</v>
      </c>
      <c r="I44" s="120">
        <v>10</v>
      </c>
      <c r="J44" s="241" t="s">
        <v>212</v>
      </c>
      <c r="K44" s="120">
        <v>1</v>
      </c>
      <c r="L44" s="120" t="s">
        <v>213</v>
      </c>
      <c r="M44" s="125">
        <v>5700000</v>
      </c>
      <c r="N44" s="121">
        <v>4845000</v>
      </c>
      <c r="O44" s="161">
        <f t="shared" si="0"/>
        <v>34607.142857142855</v>
      </c>
      <c r="P44" s="121">
        <f t="shared" si="1"/>
        <v>4845000</v>
      </c>
      <c r="Q44" s="121">
        <f t="shared" si="2"/>
        <v>4845000</v>
      </c>
      <c r="R44" s="122">
        <f t="shared" si="4"/>
        <v>9690000</v>
      </c>
      <c r="S44" s="162">
        <f t="shared" si="3"/>
        <v>69214.28571428571</v>
      </c>
      <c r="T44" s="163">
        <v>240774</v>
      </c>
      <c r="U44" s="164">
        <v>24.666232297403599</v>
      </c>
      <c r="V44" s="163">
        <v>976128</v>
      </c>
    </row>
    <row r="45" spans="1:22" s="49" customFormat="1" ht="16.350000000000001" customHeight="1">
      <c r="A45" s="158" t="s">
        <v>208</v>
      </c>
      <c r="B45" s="165" t="s">
        <v>187</v>
      </c>
      <c r="C45" s="166" t="s">
        <v>166</v>
      </c>
      <c r="D45" s="166" t="s">
        <v>424</v>
      </c>
      <c r="E45" s="167" t="s">
        <v>200</v>
      </c>
      <c r="F45" s="120">
        <v>1</v>
      </c>
      <c r="G45" s="120">
        <v>2</v>
      </c>
      <c r="H45" s="229" t="s">
        <v>215</v>
      </c>
      <c r="I45" s="120">
        <v>10</v>
      </c>
      <c r="J45" s="241" t="s">
        <v>212</v>
      </c>
      <c r="K45" s="120">
        <v>1</v>
      </c>
      <c r="L45" s="120" t="s">
        <v>213</v>
      </c>
      <c r="M45" s="125">
        <v>7200000</v>
      </c>
      <c r="N45" s="121">
        <v>5760000</v>
      </c>
      <c r="O45" s="161">
        <f t="shared" si="0"/>
        <v>41142.857142857145</v>
      </c>
      <c r="P45" s="121">
        <f t="shared" si="1"/>
        <v>5760000</v>
      </c>
      <c r="Q45" s="121">
        <f t="shared" si="2"/>
        <v>5760000</v>
      </c>
      <c r="R45" s="122">
        <f t="shared" si="4"/>
        <v>11520000</v>
      </c>
      <c r="S45" s="162">
        <f t="shared" si="3"/>
        <v>82285.71428571429</v>
      </c>
      <c r="T45" s="163">
        <v>714699</v>
      </c>
      <c r="U45" s="164">
        <v>73.217754228953495</v>
      </c>
      <c r="V45" s="163">
        <v>976128</v>
      </c>
    </row>
    <row r="46" spans="1:22" s="49" customFormat="1" ht="16.350000000000001" customHeight="1">
      <c r="A46" s="158" t="s">
        <v>208</v>
      </c>
      <c r="B46" s="165" t="s">
        <v>187</v>
      </c>
      <c r="C46" s="166" t="s">
        <v>166</v>
      </c>
      <c r="D46" s="166" t="s">
        <v>308</v>
      </c>
      <c r="E46" s="167" t="s">
        <v>309</v>
      </c>
      <c r="F46" s="120">
        <v>1</v>
      </c>
      <c r="G46" s="120">
        <v>2</v>
      </c>
      <c r="H46" s="171" t="s">
        <v>310</v>
      </c>
      <c r="I46" s="120">
        <v>10</v>
      </c>
      <c r="J46" s="241" t="s">
        <v>212</v>
      </c>
      <c r="K46" s="120">
        <v>1</v>
      </c>
      <c r="L46" s="120" t="s">
        <v>213</v>
      </c>
      <c r="M46" s="125">
        <v>42450000</v>
      </c>
      <c r="N46" s="121">
        <v>38205000</v>
      </c>
      <c r="O46" s="161">
        <f t="shared" si="0"/>
        <v>272892.85714285716</v>
      </c>
      <c r="P46" s="121">
        <f t="shared" si="1"/>
        <v>38205000</v>
      </c>
      <c r="Q46" s="121">
        <f t="shared" si="2"/>
        <v>38205000</v>
      </c>
      <c r="R46" s="122">
        <f t="shared" si="4"/>
        <v>76410000</v>
      </c>
      <c r="S46" s="162">
        <f t="shared" si="3"/>
        <v>545785.71428571432</v>
      </c>
      <c r="T46" s="163">
        <v>2688940</v>
      </c>
      <c r="U46" s="164">
        <v>275.470020325203</v>
      </c>
      <c r="V46" s="163">
        <v>976128</v>
      </c>
    </row>
    <row r="47" spans="1:22" s="49" customFormat="1" ht="16.350000000000001" customHeight="1">
      <c r="A47" s="158" t="s">
        <v>208</v>
      </c>
      <c r="B47" s="165" t="s">
        <v>187</v>
      </c>
      <c r="C47" s="166" t="s">
        <v>166</v>
      </c>
      <c r="D47" s="166" t="s">
        <v>394</v>
      </c>
      <c r="E47" s="167" t="s">
        <v>200</v>
      </c>
      <c r="F47" s="120">
        <v>1</v>
      </c>
      <c r="G47" s="120">
        <v>2</v>
      </c>
      <c r="H47" s="229" t="s">
        <v>215</v>
      </c>
      <c r="I47" s="120">
        <v>10</v>
      </c>
      <c r="J47" s="241" t="s">
        <v>212</v>
      </c>
      <c r="K47" s="120">
        <v>1</v>
      </c>
      <c r="L47" s="120" t="s">
        <v>213</v>
      </c>
      <c r="M47" s="125">
        <v>6700000</v>
      </c>
      <c r="N47" s="121">
        <v>6030000</v>
      </c>
      <c r="O47" s="161">
        <f t="shared" si="0"/>
        <v>43071.428571428572</v>
      </c>
      <c r="P47" s="121">
        <f t="shared" si="1"/>
        <v>6030000</v>
      </c>
      <c r="Q47" s="121">
        <f t="shared" si="2"/>
        <v>6030000</v>
      </c>
      <c r="R47" s="122">
        <f t="shared" si="4"/>
        <v>12060000</v>
      </c>
      <c r="S47" s="162">
        <f t="shared" si="3"/>
        <v>86142.857142857145</v>
      </c>
      <c r="T47" s="163">
        <v>182750</v>
      </c>
      <c r="U47" s="164">
        <v>18.7219299108313</v>
      </c>
      <c r="V47" s="163">
        <v>976128</v>
      </c>
    </row>
    <row r="48" spans="1:22" s="49" customFormat="1" ht="16.350000000000001" customHeight="1">
      <c r="A48" s="158" t="s">
        <v>208</v>
      </c>
      <c r="B48" s="165" t="s">
        <v>187</v>
      </c>
      <c r="C48" s="166" t="s">
        <v>166</v>
      </c>
      <c r="D48" s="166" t="s">
        <v>395</v>
      </c>
      <c r="E48" s="167" t="s">
        <v>396</v>
      </c>
      <c r="F48" s="120">
        <v>1</v>
      </c>
      <c r="G48" s="120">
        <v>2</v>
      </c>
      <c r="H48" s="171" t="s">
        <v>397</v>
      </c>
      <c r="I48" s="120">
        <v>10</v>
      </c>
      <c r="J48" s="241" t="s">
        <v>212</v>
      </c>
      <c r="K48" s="120">
        <v>1</v>
      </c>
      <c r="L48" s="120" t="s">
        <v>213</v>
      </c>
      <c r="M48" s="125">
        <v>19481000</v>
      </c>
      <c r="N48" s="121">
        <v>16169230</v>
      </c>
      <c r="O48" s="161">
        <f t="shared" si="0"/>
        <v>115494.5</v>
      </c>
      <c r="P48" s="121">
        <f t="shared" si="1"/>
        <v>16169230</v>
      </c>
      <c r="Q48" s="121">
        <f t="shared" si="2"/>
        <v>16169230</v>
      </c>
      <c r="R48" s="122">
        <f t="shared" si="4"/>
        <v>32338460</v>
      </c>
      <c r="S48" s="162">
        <f t="shared" si="3"/>
        <v>230989</v>
      </c>
      <c r="T48" s="163">
        <v>696440</v>
      </c>
      <c r="U48" s="164">
        <v>71.347200367164902</v>
      </c>
      <c r="V48" s="163">
        <v>976128</v>
      </c>
    </row>
    <row r="49" spans="1:22" s="49" customFormat="1" ht="16.350000000000001" customHeight="1">
      <c r="A49" s="158" t="s">
        <v>208</v>
      </c>
      <c r="B49" s="165" t="s">
        <v>187</v>
      </c>
      <c r="C49" s="166" t="s">
        <v>166</v>
      </c>
      <c r="D49" s="171" t="s">
        <v>398</v>
      </c>
      <c r="E49" s="171" t="s">
        <v>196</v>
      </c>
      <c r="F49" s="120">
        <v>1</v>
      </c>
      <c r="G49" s="120">
        <v>2</v>
      </c>
      <c r="H49" s="229" t="s">
        <v>218</v>
      </c>
      <c r="I49" s="120">
        <v>10</v>
      </c>
      <c r="J49" s="241" t="s">
        <v>212</v>
      </c>
      <c r="K49" s="120">
        <v>1</v>
      </c>
      <c r="L49" s="120" t="s">
        <v>213</v>
      </c>
      <c r="M49" s="125">
        <v>5545000</v>
      </c>
      <c r="N49" s="121">
        <v>4990500</v>
      </c>
      <c r="O49" s="161">
        <f t="shared" si="0"/>
        <v>35646.428571428572</v>
      </c>
      <c r="P49" s="121">
        <f t="shared" si="1"/>
        <v>4990500</v>
      </c>
      <c r="Q49" s="121">
        <f t="shared" si="2"/>
        <v>4990500</v>
      </c>
      <c r="R49" s="122">
        <f t="shared" si="4"/>
        <v>9981000</v>
      </c>
      <c r="S49" s="162">
        <f t="shared" si="3"/>
        <v>71292.857142857145</v>
      </c>
      <c r="T49" s="163">
        <v>334910</v>
      </c>
      <c r="U49" s="164">
        <v>34.310049501704597</v>
      </c>
      <c r="V49" s="163">
        <v>976128</v>
      </c>
    </row>
    <row r="50" spans="1:22" s="49" customFormat="1" ht="16.350000000000001" customHeight="1">
      <c r="A50" s="158" t="s">
        <v>208</v>
      </c>
      <c r="B50" s="165" t="s">
        <v>187</v>
      </c>
      <c r="C50" s="166" t="s">
        <v>166</v>
      </c>
      <c r="D50" s="166" t="s">
        <v>399</v>
      </c>
      <c r="E50" s="167" t="s">
        <v>400</v>
      </c>
      <c r="F50" s="120">
        <v>1</v>
      </c>
      <c r="G50" s="120">
        <v>2</v>
      </c>
      <c r="H50" s="229" t="s">
        <v>214</v>
      </c>
      <c r="I50" s="120">
        <v>10</v>
      </c>
      <c r="J50" s="241" t="s">
        <v>212</v>
      </c>
      <c r="K50" s="120">
        <v>1</v>
      </c>
      <c r="L50" s="120" t="s">
        <v>213</v>
      </c>
      <c r="M50" s="125">
        <v>14000000</v>
      </c>
      <c r="N50" s="121">
        <v>11900000</v>
      </c>
      <c r="O50" s="161">
        <f t="shared" si="0"/>
        <v>85000</v>
      </c>
      <c r="P50" s="121">
        <f t="shared" si="1"/>
        <v>11900000</v>
      </c>
      <c r="Q50" s="121">
        <f t="shared" si="2"/>
        <v>11900000</v>
      </c>
      <c r="R50" s="122">
        <f t="shared" si="4"/>
        <v>23800000</v>
      </c>
      <c r="S50" s="162">
        <f t="shared" si="3"/>
        <v>170000</v>
      </c>
      <c r="T50" s="163">
        <v>1013332</v>
      </c>
      <c r="U50" s="164">
        <v>103.811385392079</v>
      </c>
      <c r="V50" s="163">
        <v>976128</v>
      </c>
    </row>
    <row r="51" spans="1:22" s="49" customFormat="1" ht="16.350000000000001" customHeight="1">
      <c r="A51" s="158" t="s">
        <v>208</v>
      </c>
      <c r="B51" s="165" t="s">
        <v>187</v>
      </c>
      <c r="C51" s="166" t="s">
        <v>166</v>
      </c>
      <c r="D51" s="166" t="s">
        <v>401</v>
      </c>
      <c r="E51" s="167" t="s">
        <v>402</v>
      </c>
      <c r="F51" s="120">
        <v>1</v>
      </c>
      <c r="G51" s="120">
        <v>2</v>
      </c>
      <c r="H51" s="229" t="s">
        <v>403</v>
      </c>
      <c r="I51" s="120">
        <v>10</v>
      </c>
      <c r="J51" s="241" t="s">
        <v>212</v>
      </c>
      <c r="K51" s="120">
        <v>1</v>
      </c>
      <c r="L51" s="120" t="s">
        <v>213</v>
      </c>
      <c r="M51" s="125">
        <v>7350000</v>
      </c>
      <c r="N51" s="121">
        <v>6615000</v>
      </c>
      <c r="O51" s="161">
        <f t="shared" si="0"/>
        <v>47250</v>
      </c>
      <c r="P51" s="121">
        <f t="shared" si="1"/>
        <v>6615000</v>
      </c>
      <c r="Q51" s="121">
        <f t="shared" si="2"/>
        <v>6615000</v>
      </c>
      <c r="R51" s="122">
        <f t="shared" si="4"/>
        <v>13230000</v>
      </c>
      <c r="S51" s="162">
        <f t="shared" si="3"/>
        <v>94500</v>
      </c>
      <c r="T51" s="163">
        <v>624421</v>
      </c>
      <c r="U51" s="164">
        <v>63.969172075793303</v>
      </c>
      <c r="V51" s="163">
        <v>976128</v>
      </c>
    </row>
    <row r="52" spans="1:22" s="49" customFormat="1" ht="16.350000000000001" customHeight="1">
      <c r="A52" s="158" t="s">
        <v>208</v>
      </c>
      <c r="B52" s="165" t="s">
        <v>187</v>
      </c>
      <c r="C52" s="166" t="s">
        <v>166</v>
      </c>
      <c r="D52" s="166" t="s">
        <v>207</v>
      </c>
      <c r="E52" s="167" t="s">
        <v>200</v>
      </c>
      <c r="F52" s="120">
        <v>1</v>
      </c>
      <c r="G52" s="120">
        <v>2</v>
      </c>
      <c r="H52" s="229" t="s">
        <v>215</v>
      </c>
      <c r="I52" s="120">
        <v>10</v>
      </c>
      <c r="J52" s="241" t="s">
        <v>212</v>
      </c>
      <c r="K52" s="120">
        <v>1</v>
      </c>
      <c r="L52" s="120" t="s">
        <v>213</v>
      </c>
      <c r="M52" s="125">
        <v>12705000</v>
      </c>
      <c r="N52" s="121">
        <v>10545150</v>
      </c>
      <c r="O52" s="161">
        <f t="shared" si="0"/>
        <v>75322.5</v>
      </c>
      <c r="P52" s="121">
        <f t="shared" si="1"/>
        <v>10545150</v>
      </c>
      <c r="Q52" s="121">
        <f t="shared" si="2"/>
        <v>10545150</v>
      </c>
      <c r="R52" s="122">
        <f t="shared" si="4"/>
        <v>21090300</v>
      </c>
      <c r="S52" s="162">
        <f t="shared" si="3"/>
        <v>150645</v>
      </c>
      <c r="T52" s="163">
        <v>427262</v>
      </c>
      <c r="U52" s="164">
        <v>43.771103789666903</v>
      </c>
      <c r="V52" s="163">
        <v>976128</v>
      </c>
    </row>
    <row r="53" spans="1:22" s="49" customFormat="1" ht="16.350000000000001" customHeight="1">
      <c r="A53" s="158" t="s">
        <v>208</v>
      </c>
      <c r="B53" s="165" t="s">
        <v>187</v>
      </c>
      <c r="C53" s="166" t="s">
        <v>166</v>
      </c>
      <c r="D53" s="166" t="s">
        <v>404</v>
      </c>
      <c r="E53" s="167" t="s">
        <v>405</v>
      </c>
      <c r="F53" s="120">
        <v>1</v>
      </c>
      <c r="G53" s="120">
        <v>2</v>
      </c>
      <c r="H53" s="171" t="s">
        <v>406</v>
      </c>
      <c r="I53" s="120">
        <v>10</v>
      </c>
      <c r="J53" s="241" t="s">
        <v>212</v>
      </c>
      <c r="K53" s="120">
        <v>1</v>
      </c>
      <c r="L53" s="120" t="s">
        <v>213</v>
      </c>
      <c r="M53" s="125">
        <v>32400000</v>
      </c>
      <c r="N53" s="121">
        <v>29160000</v>
      </c>
      <c r="O53" s="161">
        <f t="shared" si="0"/>
        <v>208285.71428571429</v>
      </c>
      <c r="P53" s="121">
        <f t="shared" si="1"/>
        <v>29160000</v>
      </c>
      <c r="Q53" s="121">
        <f t="shared" si="2"/>
        <v>29160000</v>
      </c>
      <c r="R53" s="122">
        <f t="shared" si="4"/>
        <v>58320000</v>
      </c>
      <c r="S53" s="162">
        <f t="shared" si="3"/>
        <v>416571.42857142858</v>
      </c>
      <c r="T53" s="163">
        <v>2684761</v>
      </c>
      <c r="U53" s="164">
        <v>275.041900242591</v>
      </c>
      <c r="V53" s="163">
        <v>976128</v>
      </c>
    </row>
    <row r="54" spans="1:22" s="49" customFormat="1" ht="16.350000000000001" customHeight="1">
      <c r="A54" s="158" t="s">
        <v>208</v>
      </c>
      <c r="B54" s="165" t="s">
        <v>187</v>
      </c>
      <c r="C54" s="166" t="s">
        <v>166</v>
      </c>
      <c r="D54" s="166" t="s">
        <v>407</v>
      </c>
      <c r="E54" s="167" t="s">
        <v>408</v>
      </c>
      <c r="F54" s="120">
        <v>1</v>
      </c>
      <c r="G54" s="120">
        <v>2</v>
      </c>
      <c r="H54" s="171" t="s">
        <v>409</v>
      </c>
      <c r="I54" s="120">
        <v>10</v>
      </c>
      <c r="J54" s="241" t="s">
        <v>212</v>
      </c>
      <c r="K54" s="120">
        <v>1</v>
      </c>
      <c r="L54" s="120" t="s">
        <v>213</v>
      </c>
      <c r="M54" s="125">
        <v>37100000</v>
      </c>
      <c r="N54" s="121">
        <v>33390000</v>
      </c>
      <c r="O54" s="161">
        <f t="shared" si="0"/>
        <v>238500</v>
      </c>
      <c r="P54" s="121">
        <f t="shared" si="1"/>
        <v>33390000</v>
      </c>
      <c r="Q54" s="121">
        <f t="shared" si="2"/>
        <v>33390000</v>
      </c>
      <c r="R54" s="122">
        <f t="shared" si="4"/>
        <v>66780000</v>
      </c>
      <c r="S54" s="162">
        <f t="shared" si="3"/>
        <v>477000</v>
      </c>
      <c r="T54" s="163">
        <v>1625200</v>
      </c>
      <c r="U54" s="164">
        <v>166.494558090742</v>
      </c>
      <c r="V54" s="163">
        <v>976128</v>
      </c>
    </row>
    <row r="55" spans="1:22" s="49" customFormat="1" ht="17.100000000000001" customHeight="1">
      <c r="A55" s="158" t="s">
        <v>208</v>
      </c>
      <c r="B55" s="165" t="s">
        <v>187</v>
      </c>
      <c r="C55" s="166" t="s">
        <v>166</v>
      </c>
      <c r="D55" s="166" t="s">
        <v>425</v>
      </c>
      <c r="E55" s="167" t="s">
        <v>200</v>
      </c>
      <c r="F55" s="120">
        <v>1</v>
      </c>
      <c r="G55" s="120">
        <v>2</v>
      </c>
      <c r="H55" s="229" t="s">
        <v>218</v>
      </c>
      <c r="I55" s="120">
        <v>10</v>
      </c>
      <c r="J55" s="241" t="s">
        <v>212</v>
      </c>
      <c r="K55" s="120">
        <v>1</v>
      </c>
      <c r="L55" s="120" t="s">
        <v>213</v>
      </c>
      <c r="M55" s="125">
        <v>7100000</v>
      </c>
      <c r="N55" s="121">
        <v>6035000</v>
      </c>
      <c r="O55" s="161">
        <f t="shared" ref="O55:O60" si="5">N55/140</f>
        <v>43107.142857142855</v>
      </c>
      <c r="P55" s="121">
        <f t="shared" ref="P55:P59" si="6">N55</f>
        <v>6035000</v>
      </c>
      <c r="Q55" s="121">
        <f t="shared" ref="Q55:Q60" si="7">N55</f>
        <v>6035000</v>
      </c>
      <c r="R55" s="122">
        <f t="shared" ref="R55:R60" si="8">P55+Q55</f>
        <v>12070000</v>
      </c>
      <c r="S55" s="162">
        <f t="shared" ref="S55:S60" si="9">R55/140</f>
        <v>86214.28571428571</v>
      </c>
      <c r="T55" s="163">
        <v>380161</v>
      </c>
      <c r="U55" s="164">
        <v>38.945814483346403</v>
      </c>
      <c r="V55" s="163">
        <v>976128</v>
      </c>
    </row>
    <row r="56" spans="1:22" s="49" customFormat="1" ht="17.100000000000001" customHeight="1">
      <c r="A56" s="158" t="s">
        <v>208</v>
      </c>
      <c r="B56" s="165" t="s">
        <v>187</v>
      </c>
      <c r="C56" s="166" t="s">
        <v>166</v>
      </c>
      <c r="D56" s="166" t="s">
        <v>450</v>
      </c>
      <c r="E56" s="166" t="s">
        <v>195</v>
      </c>
      <c r="F56" s="120">
        <v>1</v>
      </c>
      <c r="G56" s="120">
        <v>2</v>
      </c>
      <c r="H56" s="229" t="s">
        <v>214</v>
      </c>
      <c r="I56" s="120">
        <v>10</v>
      </c>
      <c r="J56" s="241" t="s">
        <v>212</v>
      </c>
      <c r="K56" s="120">
        <v>1</v>
      </c>
      <c r="L56" s="120" t="s">
        <v>213</v>
      </c>
      <c r="M56" s="125">
        <v>8000000</v>
      </c>
      <c r="N56" s="121">
        <v>6800000</v>
      </c>
      <c r="O56" s="161">
        <f t="shared" si="5"/>
        <v>48571.428571428572</v>
      </c>
      <c r="P56" s="121">
        <f t="shared" si="6"/>
        <v>6800000</v>
      </c>
      <c r="Q56" s="121">
        <f t="shared" si="7"/>
        <v>6800000</v>
      </c>
      <c r="R56" s="122">
        <f t="shared" si="8"/>
        <v>13600000</v>
      </c>
      <c r="S56" s="162">
        <f t="shared" si="9"/>
        <v>97142.857142857145</v>
      </c>
      <c r="T56" s="163">
        <v>1150806</v>
      </c>
      <c r="U56" s="164">
        <v>117.894989181746</v>
      </c>
      <c r="V56" s="163">
        <v>976128</v>
      </c>
    </row>
    <row r="57" spans="1:22" s="49" customFormat="1" ht="17.100000000000001" customHeight="1">
      <c r="A57" s="158" t="s">
        <v>208</v>
      </c>
      <c r="B57" s="165" t="s">
        <v>187</v>
      </c>
      <c r="C57" s="166" t="s">
        <v>166</v>
      </c>
      <c r="D57" s="166" t="s">
        <v>453</v>
      </c>
      <c r="E57" s="166" t="s">
        <v>451</v>
      </c>
      <c r="F57" s="120">
        <v>1</v>
      </c>
      <c r="G57" s="120">
        <v>2</v>
      </c>
      <c r="H57" s="171" t="s">
        <v>454</v>
      </c>
      <c r="I57" s="120">
        <v>10</v>
      </c>
      <c r="J57" s="241" t="s">
        <v>212</v>
      </c>
      <c r="K57" s="120">
        <v>1</v>
      </c>
      <c r="L57" s="120" t="s">
        <v>213</v>
      </c>
      <c r="M57" s="125">
        <v>10000000</v>
      </c>
      <c r="N57" s="121">
        <v>8500000</v>
      </c>
      <c r="O57" s="161">
        <f t="shared" si="5"/>
        <v>60714.285714285717</v>
      </c>
      <c r="P57" s="121">
        <f t="shared" si="6"/>
        <v>8500000</v>
      </c>
      <c r="Q57" s="121">
        <f t="shared" si="7"/>
        <v>8500000</v>
      </c>
      <c r="R57" s="122">
        <f t="shared" si="8"/>
        <v>17000000</v>
      </c>
      <c r="S57" s="162">
        <f t="shared" si="9"/>
        <v>121428.57142857143</v>
      </c>
      <c r="T57" s="163">
        <v>1122882</v>
      </c>
      <c r="U57" s="164">
        <v>115.03429878048701</v>
      </c>
      <c r="V57" s="163">
        <v>976128</v>
      </c>
    </row>
    <row r="58" spans="1:22" s="49" customFormat="1" ht="17.100000000000001" customHeight="1">
      <c r="A58" s="158" t="s">
        <v>208</v>
      </c>
      <c r="B58" s="165" t="s">
        <v>187</v>
      </c>
      <c r="C58" s="166" t="s">
        <v>166</v>
      </c>
      <c r="D58" s="166" t="s">
        <v>452</v>
      </c>
      <c r="E58" s="166" t="s">
        <v>196</v>
      </c>
      <c r="F58" s="120">
        <v>1</v>
      </c>
      <c r="G58" s="120">
        <v>2</v>
      </c>
      <c r="H58" s="229" t="s">
        <v>218</v>
      </c>
      <c r="I58" s="120">
        <v>10</v>
      </c>
      <c r="J58" s="241" t="s">
        <v>212</v>
      </c>
      <c r="K58" s="120">
        <v>1</v>
      </c>
      <c r="L58" s="120" t="s">
        <v>213</v>
      </c>
      <c r="M58" s="125">
        <v>6410000</v>
      </c>
      <c r="N58" s="121">
        <v>5769000</v>
      </c>
      <c r="O58" s="161">
        <f t="shared" si="5"/>
        <v>41207.142857142855</v>
      </c>
      <c r="P58" s="121">
        <f t="shared" si="6"/>
        <v>5769000</v>
      </c>
      <c r="Q58" s="121">
        <f t="shared" si="7"/>
        <v>5769000</v>
      </c>
      <c r="R58" s="122">
        <f t="shared" si="8"/>
        <v>11538000</v>
      </c>
      <c r="S58" s="162">
        <f t="shared" si="9"/>
        <v>82414.28571428571</v>
      </c>
      <c r="T58" s="163">
        <v>386122</v>
      </c>
      <c r="U58" s="164">
        <v>39.556492591135502</v>
      </c>
      <c r="V58" s="163">
        <v>976128</v>
      </c>
    </row>
    <row r="59" spans="1:22" s="49" customFormat="1" ht="17.100000000000001" customHeight="1">
      <c r="A59" s="158" t="s">
        <v>208</v>
      </c>
      <c r="B59" s="165" t="s">
        <v>187</v>
      </c>
      <c r="C59" s="166" t="s">
        <v>166</v>
      </c>
      <c r="D59" s="166" t="s">
        <v>455</v>
      </c>
      <c r="E59" s="166" t="s">
        <v>200</v>
      </c>
      <c r="F59" s="120">
        <v>1</v>
      </c>
      <c r="G59" s="120">
        <v>2</v>
      </c>
      <c r="H59" s="229" t="s">
        <v>215</v>
      </c>
      <c r="I59" s="120">
        <v>10</v>
      </c>
      <c r="J59" s="241" t="s">
        <v>212</v>
      </c>
      <c r="K59" s="120">
        <v>1</v>
      </c>
      <c r="L59" s="120" t="s">
        <v>213</v>
      </c>
      <c r="M59" s="125">
        <v>7100000</v>
      </c>
      <c r="N59" s="121">
        <v>6035000</v>
      </c>
      <c r="O59" s="161">
        <f t="shared" si="5"/>
        <v>43107.142857142855</v>
      </c>
      <c r="P59" s="121">
        <f t="shared" si="6"/>
        <v>6035000</v>
      </c>
      <c r="Q59" s="121">
        <f t="shared" si="7"/>
        <v>6035000</v>
      </c>
      <c r="R59" s="122">
        <f t="shared" si="8"/>
        <v>12070000</v>
      </c>
      <c r="S59" s="162">
        <f t="shared" si="9"/>
        <v>86214.28571428571</v>
      </c>
      <c r="T59" s="163">
        <v>495551</v>
      </c>
      <c r="U59" s="164">
        <v>50.767010064253803</v>
      </c>
      <c r="V59" s="163">
        <v>976128</v>
      </c>
    </row>
    <row r="60" spans="1:22" s="49" customFormat="1" ht="17.100000000000001" customHeight="1">
      <c r="A60" s="158" t="s">
        <v>208</v>
      </c>
      <c r="B60" s="165" t="s">
        <v>187</v>
      </c>
      <c r="C60" s="166" t="s">
        <v>166</v>
      </c>
      <c r="D60" s="166" t="s">
        <v>456</v>
      </c>
      <c r="E60" s="166" t="s">
        <v>196</v>
      </c>
      <c r="F60" s="120">
        <v>1</v>
      </c>
      <c r="G60" s="120">
        <v>2</v>
      </c>
      <c r="H60" s="229" t="s">
        <v>226</v>
      </c>
      <c r="I60" s="120">
        <v>10</v>
      </c>
      <c r="J60" s="241" t="s">
        <v>212</v>
      </c>
      <c r="K60" s="120">
        <v>1</v>
      </c>
      <c r="L60" s="120" t="s">
        <v>213</v>
      </c>
      <c r="M60" s="125">
        <v>5700000</v>
      </c>
      <c r="N60" s="121">
        <v>4845000</v>
      </c>
      <c r="O60" s="161">
        <f t="shared" si="5"/>
        <v>34607.142857142855</v>
      </c>
      <c r="P60" s="121">
        <f>N60</f>
        <v>4845000</v>
      </c>
      <c r="Q60" s="121">
        <f t="shared" si="7"/>
        <v>4845000</v>
      </c>
      <c r="R60" s="122">
        <f t="shared" si="8"/>
        <v>9690000</v>
      </c>
      <c r="S60" s="162">
        <f t="shared" si="9"/>
        <v>69214.28571428571</v>
      </c>
      <c r="T60" s="163">
        <v>377102</v>
      </c>
      <c r="U60" s="164">
        <v>38.6324334513506</v>
      </c>
      <c r="V60" s="163">
        <v>976128</v>
      </c>
    </row>
    <row r="61" spans="1:22" s="5" customFormat="1" ht="15" customHeight="1">
      <c r="A61" s="126"/>
      <c r="B61" s="127"/>
      <c r="C61" s="128"/>
      <c r="D61" s="129"/>
      <c r="E61" s="128"/>
      <c r="F61" s="128"/>
      <c r="G61" s="128"/>
      <c r="H61" s="128"/>
      <c r="I61" s="128"/>
      <c r="J61" s="128"/>
      <c r="K61" s="128"/>
      <c r="L61" s="128"/>
      <c r="M61" s="130">
        <f t="shared" ref="M61:S61" si="10">SUM(M8:M60)</f>
        <v>582965000</v>
      </c>
      <c r="N61" s="130">
        <f t="shared" si="10"/>
        <v>501654900</v>
      </c>
      <c r="O61" s="188">
        <f t="shared" si="10"/>
        <v>3583249.2857142859</v>
      </c>
      <c r="P61" s="130">
        <f>SUM(P8:P60)</f>
        <v>501654900</v>
      </c>
      <c r="Q61" s="130">
        <f>SUM(Q8:Q60)</f>
        <v>501654900</v>
      </c>
      <c r="R61" s="130">
        <f>SUM(R8:R60)</f>
        <v>1003309800</v>
      </c>
      <c r="S61" s="188">
        <f t="shared" si="10"/>
        <v>7166498.5714285718</v>
      </c>
      <c r="T61" s="157"/>
      <c r="U61" s="157"/>
      <c r="V61" s="157"/>
    </row>
    <row r="62" spans="1:22" s="5" customFormat="1" ht="1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74"/>
      <c r="P62" s="20"/>
      <c r="Q62" s="20"/>
      <c r="R62" s="22"/>
      <c r="S62" s="22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C26" name="Диапазон1_2_1_1"/>
    <protectedRange algorithmName="SHA-512" hashValue="20tZejZtY/ZGRcGLZm0ZbWfCu51ejQGMqdRYwv0b9rb/5Q/ejFDHQOXySZDQbnMuPhvZC4Bfbq/BWdBxp9Ls4w==" saltValue="Q+V8rXhHsE4u/j5xUQJeAg==" spinCount="100000" sqref="D26" name="Диапазон1_2_4_1_1"/>
    <protectedRange algorithmName="SHA-512" hashValue="20tZejZtY/ZGRcGLZm0ZbWfCu51ejQGMqdRYwv0b9rb/5Q/ejFDHQOXySZDQbnMuPhvZC4Bfbq/BWdBxp9Ls4w==" saltValue="Q+V8rXhHsE4u/j5xUQJeAg==" spinCount="100000" sqref="B26" name="Диапазон1_9_1_1_1_1_1"/>
    <protectedRange algorithmName="SHA-512" hashValue="20tZejZtY/ZGRcGLZm0ZbWfCu51ejQGMqdRYwv0b9rb/5Q/ejFDHQOXySZDQbnMuPhvZC4Bfbq/BWdBxp9Ls4w==" saltValue="Q+V8rXhHsE4u/j5xUQJeAg==" spinCount="100000" sqref="E26" name="Диапазон1_9_1_1"/>
    <protectedRange sqref="T7:V60" name="Range1_1"/>
  </protectedRanges>
  <autoFilter ref="A7:S61" xr:uid="{1A047738-7150-1A44-A469-9022BDDC262A}"/>
  <mergeCells count="1">
    <mergeCell ref="T6:V6"/>
  </mergeCells>
  <phoneticPr fontId="12" type="noConversion"/>
  <conditionalFormatting sqref="N2:Q4">
    <cfRule type="duplicateValues" dxfId="5" priority="1"/>
  </conditionalFormatting>
  <hyperlinks>
    <hyperlink ref="B9" r:id="rId1" xr:uid="{DCC16462-CAC3-45E8-BE30-A78BD4F7F7A1}"/>
    <hyperlink ref="B22" r:id="rId2" xr:uid="{D499DCEB-2F29-4A57-9CBF-2B3E1F3CFDB8}"/>
    <hyperlink ref="B28" r:id="rId3" xr:uid="{063CF75F-C993-461E-A9DB-62B58493ABFA}"/>
    <hyperlink ref="B31" r:id="rId4" xr:uid="{60A2D4CE-D96B-4407-A52D-94AC74428120}"/>
    <hyperlink ref="B25" r:id="rId5" xr:uid="{9457D4C4-1530-470D-B7EF-BF0B998F9222}"/>
    <hyperlink ref="B32" r:id="rId6" xr:uid="{C616BC73-5203-4162-80E8-DD278A077FC6}"/>
    <hyperlink ref="B15" r:id="rId7" xr:uid="{A5670405-FAA4-402E-A04E-BCD7B491BA68}"/>
    <hyperlink ref="B29" r:id="rId8" xr:uid="{92E4536A-E09C-4F0B-832A-82EC666942D6}"/>
    <hyperlink ref="B18" r:id="rId9" xr:uid="{71308BFF-5E5F-4472-8C45-C109CC8A61A8}"/>
    <hyperlink ref="B16" r:id="rId10" xr:uid="{B66BE9F5-614D-4DEE-89BC-1EAC81CEBFAA}"/>
    <hyperlink ref="B21" r:id="rId11" xr:uid="{1281941C-0707-44A9-9CFD-3DC3593CF039}"/>
    <hyperlink ref="B24" r:id="rId12" xr:uid="{EB4DCF8A-A4D3-4D37-8BC9-3F282EF09E5B}"/>
    <hyperlink ref="B30" r:id="rId13" xr:uid="{EC4AE5A8-D571-4838-AB84-7D0CEFC0169B}"/>
    <hyperlink ref="B27" r:id="rId14" xr:uid="{1A7BD152-4F3C-472F-BEF4-2B4BCB7125B6}"/>
    <hyperlink ref="B20" r:id="rId15" xr:uid="{E56EEF9E-C4DD-4E39-A086-1AB4AFB0F90D}"/>
    <hyperlink ref="B10" r:id="rId16" xr:uid="{37491791-9C36-480F-BC91-44F0A475040B}"/>
    <hyperlink ref="B34" r:id="rId17" xr:uid="{A0DD5CCD-4A13-4C83-83C1-C6D1704A2626}"/>
    <hyperlink ref="B35" r:id="rId18" xr:uid="{08E3A3E7-4782-489E-A544-37B584179F76}"/>
    <hyperlink ref="B37" r:id="rId19" xr:uid="{4CF27F38-62BF-439C-BF5C-5A3F052926BB}"/>
    <hyperlink ref="B38" r:id="rId20" xr:uid="{22A36A3E-B7AE-4FD8-91D0-0334E4798531}"/>
    <hyperlink ref="B36" r:id="rId21" xr:uid="{03D8058A-0398-411D-8CA9-15B028CF000C}"/>
    <hyperlink ref="B12" r:id="rId22" xr:uid="{C027A0F1-7E17-4B5F-84C5-60FB2FA9707A}"/>
    <hyperlink ref="B26" r:id="rId23" display="https://drive.google.com/file/d/13pxE5U2tLBQJtVn3q7NJvkIa7_94tavU/view?usp=drive_link" xr:uid="{D44A39EA-0425-4303-9A3A-921130F2771A}"/>
    <hyperlink ref="B11" r:id="rId24" xr:uid="{3FB07895-9A4B-4EE0-A82B-BC5141702C96}"/>
    <hyperlink ref="B13" r:id="rId25" xr:uid="{60B84B91-606A-4645-AEB3-72070237DFF2}"/>
    <hyperlink ref="B17" r:id="rId26" xr:uid="{B07562DA-08BC-4804-89FB-50F90D695F32}"/>
    <hyperlink ref="B33" r:id="rId27" xr:uid="{9D7EE27F-2EAF-407A-BE79-CBAB3F811037}"/>
    <hyperlink ref="B41" r:id="rId28" display="https://drive.google.com/file/d/1AoncQWdIihQbhdEUTdP5QF4aXor3r_VB/view?usp=sharing" xr:uid="{4ACC8DB0-8904-4762-900B-A33350037D90}"/>
    <hyperlink ref="B44" r:id="rId29" display="https://drive.google.com/file/d/1JtiS-oz5ZyEh7YPH2-iIQCpYel9TB8pk/view?usp=sharing" xr:uid="{8C91D982-5670-40C8-B956-05DB61F59A70}"/>
    <hyperlink ref="B39" r:id="rId30" display="https://drive.google.com/file/d/1mxRNtTVtNmBMyjb1SsR3p36QkoV_VJcK/view?usp=sharing" xr:uid="{DE11D81F-B955-4A1D-A482-1CC9F12A55F0}"/>
    <hyperlink ref="B40" r:id="rId31" display="https://drive.google.com/file/d/1LnsxrJdS3fbWkkd6B8Vo5VQplZvgZYd1/view?usp=share_link" xr:uid="{8D935502-1BEE-4FB0-AFFD-6E430EBC6763}"/>
    <hyperlink ref="B23" r:id="rId32" display="https://drive.google.com/file/d/1_-rVDBhUnU_QrukFGGz_ACm_jv9yyNRP/view?usp=drive_link" xr:uid="{BBC3B7F4-BEE8-42C2-BB9C-637EADBB4318}"/>
    <hyperlink ref="B46" r:id="rId33" display="https://drive.google.com/file/d/1DvN_SVpwMOggne3oO_F6Ebyh8nqn_v0_/view?usp=sharing" xr:uid="{F2864264-091D-4F79-9A1B-5DDE4339BE75}"/>
    <hyperlink ref="B47" r:id="rId34" display="https://drive.google.com/file/d/1BTZg9H8CUi1y3qYnI8zLYoN-F8CxeUgf/view?usp=share_link" xr:uid="{C2E631A5-961F-4BB6-AF90-C4476BB8C299}"/>
    <hyperlink ref="B48" r:id="rId35" display="https://drive.google.com/file/d/1XQMaKcaMiZagTd5meIVZtiw-yEiuXdRE/view?usp=share_link" xr:uid="{DA473D9B-AF27-47F5-9C4B-F1B486792553}"/>
    <hyperlink ref="B49" r:id="rId36" display="https://drive.google.com/file/d/17LuBMNAkJniLAkEy7T5DVUrmGSQilLbn/view?usp=sharing" xr:uid="{252824D3-2DCA-478D-A968-FD70AF367E6C}"/>
    <hyperlink ref="B50" r:id="rId37" display="https://drive.google.com/file/d/1ycLf-P3BZxjI57BB7pnH2-fsM-2HKShU/view?usp=share_link" xr:uid="{E3185F77-3385-4B51-B1C8-3311505A4052}"/>
    <hyperlink ref="B51" r:id="rId38" display="https://drive.google.com/file/d/1-_Pz5t6VNz6sIfEb7SIaiQtPCQFeNnSh/view?usp=share_link" xr:uid="{1F42501B-3CC3-466A-9486-D7B7698C9F7A}"/>
    <hyperlink ref="B52" r:id="rId39" display="https://drive.google.com/file/d/1nDfPVkL_EWSreIdYfH4FrNXXI6bui2tY/view?usp=share_link" xr:uid="{CA039609-384D-4092-BCFB-8763C6958FF8}"/>
    <hyperlink ref="B53" r:id="rId40" display="https://drive.google.com/file/d/1bBvZ0HQzNq1fDo1CDZHerJgrqtckTJYZ/view" xr:uid="{0642E04E-C4B2-4350-9926-EEBFCA83B786}"/>
    <hyperlink ref="B54" r:id="rId41" display="https://drive.google.com/file/d/1uo5NzThMGRPUlR-cMBLcsI41BnUd2owf/view?usp=share_link" xr:uid="{21F23337-54B2-4E6E-A8B0-78BE54D46258}"/>
    <hyperlink ref="B8" r:id="rId42" display="https://drive.google.com/file/d/1bFLUDuIepb_3Cm142gxrZqCJsg19AIyv/view?usp=share_link" xr:uid="{8C1D4382-E13F-4B23-8193-F786E415DABD}"/>
    <hyperlink ref="B19" r:id="rId43" display="https://drive.google.com/file/d/1UlZrAvgfwoxzks7WhhhJqFhV_s94Wm26/view?usp=share_link" xr:uid="{086E1CCB-C8A3-4F17-A68F-4346BDEC67A7}"/>
    <hyperlink ref="B43" r:id="rId44" display="https://drive.google.com/file/d/1dHSkM68r0rySUWME-3s8XBQ3XZu5Rauz/view?usp=share_link" xr:uid="{F1FFB339-8CED-46A8-9A69-5010182518F4}"/>
    <hyperlink ref="B45" r:id="rId45" display="https://drive.google.com/file/d/1QUyo4K3-JVAH_nX8iaV9FZZI3uufkDa1/view?usp=drive_link" xr:uid="{4DC03659-CEB6-45BC-8B76-D75D0394E98C}"/>
    <hyperlink ref="B55" r:id="rId46" xr:uid="{31581175-5945-41F9-B204-3D23E3FEC6F3}"/>
    <hyperlink ref="B14" r:id="rId47" display="https://drive.google.com/file/d/14K4kiRoVDy3bVytCps0_ZAAuu9h_gXyd/view?usp=share_link" xr:uid="{AAD1EBBC-4220-4CB5-A70A-A8C1F6FA8CDA}"/>
    <hyperlink ref="B56" r:id="rId48" display="https://drive.google.com/file/d/11fg-HW5_3k0v8wtWvxOrTBEvquwZ22IQ/view?usp=share_link" xr:uid="{014A9D9D-415E-E946-86CE-8CCF2625B61A}"/>
    <hyperlink ref="B58" r:id="rId49" display="https://drive.google.com/file/d/1DHZss3CiNUMmG6iIps8GgELPXB0jj6He/view?usp=sharing" xr:uid="{9EE0238D-5D35-B245-9192-7B1F276A8426}"/>
    <hyperlink ref="B57" r:id="rId50" display="https://drive.google.com/file/d/1Ld_eIj7tA_h_zOVlh_U9zyJJJ7VpDUAa/view?usp=drive_link" xr:uid="{0475B439-5C5E-884A-B82F-F791AED53419}"/>
    <hyperlink ref="B59" r:id="rId51" display="https://drive.google.com/file/d/1advJYQYPx79MoLsP7ZXZOr_8FwW2qfuw/view?usp=share_link" xr:uid="{BA0405AC-D179-914E-B03E-9EBCC68D7369}"/>
    <hyperlink ref="B60" r:id="rId52" display="https://drive.google.com/file/d/1QNUaASS5WD9rEHzRFeeIQsLs-eRwYBhW/view?usp=share_link" xr:uid="{591795EA-6894-0444-951D-3845FE5C280F}"/>
  </hyperlinks>
  <pageMargins left="0.7" right="0.7" top="0.75" bottom="0.75" header="0.3" footer="0.3"/>
  <pageSetup paperSize="9" orientation="portrait" verticalDpi="1200" r:id="rId53"/>
  <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19E7-DB93-4EA4-99EE-EAF35A9BFA5C}">
  <dimension ref="A1:Z99"/>
  <sheetViews>
    <sheetView zoomScale="61" zoomScaleNormal="120" workbookViewId="0">
      <selection activeCell="Y20" sqref="Y20"/>
    </sheetView>
  </sheetViews>
  <sheetFormatPr defaultColWidth="19.140625" defaultRowHeight="15.75"/>
  <cols>
    <col min="1" max="1" width="15.7109375" style="7" customWidth="1"/>
    <col min="2" max="2" width="18.42578125" style="7" customWidth="1"/>
    <col min="3" max="3" width="25.42578125" style="7" customWidth="1"/>
    <col min="4" max="4" width="79.42578125" style="7" customWidth="1"/>
    <col min="5" max="5" width="15" style="7" customWidth="1"/>
    <col min="6" max="6" width="12.85546875" style="7" customWidth="1"/>
    <col min="7" max="7" width="15.140625" style="7" customWidth="1"/>
    <col min="8" max="8" width="12.42578125" style="7" hidden="1" customWidth="1"/>
    <col min="9" max="9" width="14.140625" style="7" customWidth="1"/>
    <col min="10" max="10" width="11.85546875" style="7" customWidth="1"/>
    <col min="11" max="11" width="12.85546875" style="7" customWidth="1"/>
    <col min="12" max="12" width="11" style="7" customWidth="1"/>
    <col min="13" max="13" width="11.42578125" style="7" customWidth="1"/>
    <col min="14" max="14" width="14.42578125" style="7" customWidth="1"/>
    <col min="15" max="15" width="0.28515625" style="4" customWidth="1"/>
    <col min="16" max="17" width="24.42578125" style="7" hidden="1" customWidth="1"/>
    <col min="18" max="20" width="20" style="7" hidden="1" customWidth="1"/>
    <col min="21" max="22" width="21.85546875" style="12" customWidth="1"/>
    <col min="23" max="16384" width="19.140625" style="4"/>
  </cols>
  <sheetData>
    <row r="1" spans="1:26">
      <c r="D1" s="9"/>
    </row>
    <row r="2" spans="1:26">
      <c r="A2" s="109"/>
      <c r="B2" s="109"/>
      <c r="C2" s="115" t="s">
        <v>176</v>
      </c>
      <c r="D2" s="116" t="s">
        <v>582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4"/>
      <c r="Q2" s="4"/>
      <c r="R2" s="4"/>
      <c r="S2" s="4"/>
      <c r="T2" s="4"/>
      <c r="U2" s="4"/>
      <c r="V2" s="4"/>
    </row>
    <row r="3" spans="1:26">
      <c r="A3" s="109"/>
      <c r="B3" s="109"/>
      <c r="C3" s="115" t="s">
        <v>177</v>
      </c>
      <c r="D3" s="116" t="s">
        <v>183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4"/>
      <c r="Q3" s="4"/>
      <c r="R3" s="4"/>
      <c r="S3" s="4"/>
      <c r="T3" s="4"/>
      <c r="U3" s="4"/>
      <c r="V3" s="4"/>
    </row>
    <row r="4" spans="1:26">
      <c r="A4" s="109"/>
      <c r="B4" s="109"/>
      <c r="C4" s="115" t="s">
        <v>179</v>
      </c>
      <c r="D4" s="52" t="s">
        <v>575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4"/>
      <c r="Q4" s="4"/>
      <c r="R4" s="4"/>
      <c r="S4" s="4"/>
      <c r="T4" s="4"/>
      <c r="U4" s="4"/>
      <c r="V4" s="4"/>
    </row>
    <row r="5" spans="1:26">
      <c r="C5" s="39"/>
      <c r="D5" s="40"/>
      <c r="F5" s="8"/>
    </row>
    <row r="8" spans="1:26" s="6" customFormat="1" ht="65.45" customHeight="1">
      <c r="A8" s="117" t="s">
        <v>180</v>
      </c>
      <c r="B8" s="117" t="s">
        <v>171</v>
      </c>
      <c r="C8" s="117" t="s">
        <v>161</v>
      </c>
      <c r="D8" s="189" t="s">
        <v>172</v>
      </c>
      <c r="E8" s="117" t="s">
        <v>174</v>
      </c>
      <c r="F8" s="117" t="s">
        <v>162</v>
      </c>
      <c r="G8" s="117" t="s">
        <v>168</v>
      </c>
      <c r="H8" s="117" t="s">
        <v>173</v>
      </c>
      <c r="I8" s="117" t="s">
        <v>158</v>
      </c>
      <c r="J8" s="117" t="s">
        <v>163</v>
      </c>
      <c r="K8" s="117" t="s">
        <v>175</v>
      </c>
      <c r="L8" s="117" t="s">
        <v>167</v>
      </c>
      <c r="M8" s="117" t="s">
        <v>164</v>
      </c>
      <c r="N8" s="117" t="s">
        <v>247</v>
      </c>
      <c r="O8" s="117" t="s">
        <v>292</v>
      </c>
      <c r="P8" s="118" t="s">
        <v>477</v>
      </c>
      <c r="Q8" s="118" t="s">
        <v>236</v>
      </c>
      <c r="R8" s="118" t="s">
        <v>237</v>
      </c>
      <c r="S8" s="118" t="s">
        <v>479</v>
      </c>
      <c r="T8" s="118" t="s">
        <v>480</v>
      </c>
      <c r="U8" s="119" t="s">
        <v>169</v>
      </c>
      <c r="V8" s="119" t="s">
        <v>227</v>
      </c>
      <c r="W8" s="190" t="s">
        <v>181</v>
      </c>
      <c r="X8" s="117" t="s">
        <v>293</v>
      </c>
      <c r="Y8" s="117" t="s">
        <v>294</v>
      </c>
      <c r="Z8" s="117" t="s">
        <v>295</v>
      </c>
    </row>
    <row r="9" spans="1:26" s="67" customFormat="1" ht="15" customHeight="1">
      <c r="A9" s="191" t="s">
        <v>208</v>
      </c>
      <c r="B9" s="165" t="s">
        <v>187</v>
      </c>
      <c r="C9" s="166" t="s">
        <v>253</v>
      </c>
      <c r="D9" s="166" t="s">
        <v>312</v>
      </c>
      <c r="E9" s="166" t="s">
        <v>240</v>
      </c>
      <c r="F9" s="120">
        <v>1</v>
      </c>
      <c r="G9" s="120">
        <v>2</v>
      </c>
      <c r="H9" s="120" t="s">
        <v>209</v>
      </c>
      <c r="I9" s="120" t="s">
        <v>211</v>
      </c>
      <c r="J9" s="120" t="s">
        <v>189</v>
      </c>
      <c r="K9" s="120">
        <v>10</v>
      </c>
      <c r="L9" s="120" t="s">
        <v>212</v>
      </c>
      <c r="M9" s="120">
        <v>2</v>
      </c>
      <c r="N9" s="120" t="s">
        <v>213</v>
      </c>
      <c r="O9" s="192">
        <v>1807</v>
      </c>
      <c r="P9" s="121">
        <v>3500000</v>
      </c>
      <c r="Q9" s="121">
        <f>P9*(1-28%)</f>
        <v>2520000</v>
      </c>
      <c r="R9" s="161">
        <f>Q9/140</f>
        <v>18000</v>
      </c>
      <c r="S9" s="121">
        <f>Q9*M9</f>
        <v>5040000</v>
      </c>
      <c r="T9" s="121">
        <f>Q9*M9</f>
        <v>5040000</v>
      </c>
      <c r="U9" s="122">
        <f>S9+T9</f>
        <v>10080000</v>
      </c>
      <c r="V9" s="162">
        <f>U9/140</f>
        <v>72000</v>
      </c>
      <c r="W9" s="193" t="s">
        <v>182</v>
      </c>
      <c r="X9" s="163">
        <v>199508</v>
      </c>
      <c r="Y9" s="164">
        <v>108.457733079641</v>
      </c>
      <c r="Z9" s="163">
        <v>183950</v>
      </c>
    </row>
    <row r="10" spans="1:26" s="67" customFormat="1" ht="15" customHeight="1">
      <c r="A10" s="191" t="s">
        <v>208</v>
      </c>
      <c r="B10" s="165" t="s">
        <v>187</v>
      </c>
      <c r="C10" s="166" t="s">
        <v>253</v>
      </c>
      <c r="D10" s="166" t="s">
        <v>313</v>
      </c>
      <c r="E10" s="166" t="s">
        <v>240</v>
      </c>
      <c r="F10" s="120">
        <v>1</v>
      </c>
      <c r="G10" s="120">
        <v>2</v>
      </c>
      <c r="H10" s="120" t="s">
        <v>209</v>
      </c>
      <c r="I10" s="120" t="s">
        <v>211</v>
      </c>
      <c r="J10" s="120" t="s">
        <v>189</v>
      </c>
      <c r="K10" s="120">
        <v>10</v>
      </c>
      <c r="L10" s="120" t="s">
        <v>212</v>
      </c>
      <c r="M10" s="120">
        <v>2</v>
      </c>
      <c r="N10" s="120" t="s">
        <v>213</v>
      </c>
      <c r="O10" s="192">
        <v>7137</v>
      </c>
      <c r="P10" s="121">
        <v>3500000</v>
      </c>
      <c r="Q10" s="121">
        <f t="shared" ref="Q10:Q63" si="0">P10*(1-28%)</f>
        <v>2520000</v>
      </c>
      <c r="R10" s="161">
        <f t="shared" ref="R10:R56" si="1">Q10/140</f>
        <v>18000</v>
      </c>
      <c r="S10" s="121">
        <f t="shared" ref="S10:S56" si="2">Q10*M10</f>
        <v>5040000</v>
      </c>
      <c r="T10" s="121">
        <f t="shared" ref="T10:T56" si="3">Q10*M10</f>
        <v>5040000</v>
      </c>
      <c r="U10" s="122">
        <f t="shared" ref="U10:U56" si="4">S10+T10</f>
        <v>10080000</v>
      </c>
      <c r="V10" s="162">
        <f t="shared" ref="V10:V56" si="5">U10/140</f>
        <v>72000</v>
      </c>
      <c r="W10" s="193" t="s">
        <v>182</v>
      </c>
      <c r="X10" s="163">
        <v>173640</v>
      </c>
      <c r="Y10" s="164">
        <v>94.395216091329104</v>
      </c>
      <c r="Z10" s="163">
        <v>183950</v>
      </c>
    </row>
    <row r="11" spans="1:26" s="67" customFormat="1" ht="15" customHeight="1">
      <c r="A11" s="191" t="s">
        <v>208</v>
      </c>
      <c r="B11" s="165" t="s">
        <v>187</v>
      </c>
      <c r="C11" s="166" t="s">
        <v>253</v>
      </c>
      <c r="D11" s="166" t="s">
        <v>314</v>
      </c>
      <c r="E11" s="166" t="s">
        <v>240</v>
      </c>
      <c r="F11" s="120">
        <v>1</v>
      </c>
      <c r="G11" s="120">
        <v>2</v>
      </c>
      <c r="H11" s="120" t="s">
        <v>209</v>
      </c>
      <c r="I11" s="120" t="s">
        <v>211</v>
      </c>
      <c r="J11" s="120" t="s">
        <v>189</v>
      </c>
      <c r="K11" s="120">
        <v>10</v>
      </c>
      <c r="L11" s="120" t="s">
        <v>212</v>
      </c>
      <c r="M11" s="120">
        <v>2</v>
      </c>
      <c r="N11" s="120" t="s">
        <v>213</v>
      </c>
      <c r="O11" s="192">
        <v>1802</v>
      </c>
      <c r="P11" s="121">
        <v>3500000</v>
      </c>
      <c r="Q11" s="121">
        <f t="shared" si="0"/>
        <v>2520000</v>
      </c>
      <c r="R11" s="161">
        <f t="shared" si="1"/>
        <v>18000</v>
      </c>
      <c r="S11" s="121">
        <f t="shared" si="2"/>
        <v>5040000</v>
      </c>
      <c r="T11" s="121">
        <f t="shared" si="3"/>
        <v>5040000</v>
      </c>
      <c r="U11" s="122">
        <f t="shared" si="4"/>
        <v>10080000</v>
      </c>
      <c r="V11" s="162">
        <f t="shared" si="5"/>
        <v>72000</v>
      </c>
      <c r="W11" s="193" t="s">
        <v>182</v>
      </c>
      <c r="X11" s="163">
        <v>216890</v>
      </c>
      <c r="Y11" s="164">
        <v>117.907039956509</v>
      </c>
      <c r="Z11" s="163">
        <v>183950</v>
      </c>
    </row>
    <row r="12" spans="1:26" s="67" customFormat="1" ht="15" customHeight="1">
      <c r="A12" s="191" t="s">
        <v>208</v>
      </c>
      <c r="B12" s="165" t="s">
        <v>187</v>
      </c>
      <c r="C12" s="166" t="s">
        <v>253</v>
      </c>
      <c r="D12" s="166" t="s">
        <v>315</v>
      </c>
      <c r="E12" s="166" t="s">
        <v>196</v>
      </c>
      <c r="F12" s="120">
        <v>1</v>
      </c>
      <c r="G12" s="120">
        <v>2</v>
      </c>
      <c r="H12" s="120" t="s">
        <v>209</v>
      </c>
      <c r="I12" s="120" t="s">
        <v>211</v>
      </c>
      <c r="J12" s="120" t="s">
        <v>189</v>
      </c>
      <c r="K12" s="120">
        <v>10</v>
      </c>
      <c r="L12" s="120" t="s">
        <v>212</v>
      </c>
      <c r="M12" s="120">
        <v>2</v>
      </c>
      <c r="N12" s="120" t="s">
        <v>213</v>
      </c>
      <c r="O12" s="192">
        <v>10403</v>
      </c>
      <c r="P12" s="121">
        <v>3500000</v>
      </c>
      <c r="Q12" s="121">
        <f t="shared" si="0"/>
        <v>2520000</v>
      </c>
      <c r="R12" s="161">
        <f t="shared" si="1"/>
        <v>18000</v>
      </c>
      <c r="S12" s="121">
        <f t="shared" si="2"/>
        <v>5040000</v>
      </c>
      <c r="T12" s="121">
        <f t="shared" si="3"/>
        <v>5040000</v>
      </c>
      <c r="U12" s="122">
        <f t="shared" si="4"/>
        <v>10080000</v>
      </c>
      <c r="V12" s="162">
        <f t="shared" si="5"/>
        <v>72000</v>
      </c>
      <c r="W12" s="193" t="s">
        <v>182</v>
      </c>
      <c r="X12" s="163">
        <v>265228</v>
      </c>
      <c r="Y12" s="164">
        <v>144.18483283500899</v>
      </c>
      <c r="Z12" s="163">
        <v>183950</v>
      </c>
    </row>
    <row r="13" spans="1:26" s="67" customFormat="1" ht="15" customHeight="1">
      <c r="A13" s="191" t="s">
        <v>208</v>
      </c>
      <c r="B13" s="165" t="s">
        <v>187</v>
      </c>
      <c r="C13" s="166" t="s">
        <v>253</v>
      </c>
      <c r="D13" s="166" t="s">
        <v>321</v>
      </c>
      <c r="E13" s="166" t="s">
        <v>196</v>
      </c>
      <c r="F13" s="120">
        <v>1</v>
      </c>
      <c r="G13" s="120">
        <v>2</v>
      </c>
      <c r="H13" s="120" t="s">
        <v>209</v>
      </c>
      <c r="I13" s="120" t="s">
        <v>211</v>
      </c>
      <c r="J13" s="120" t="s">
        <v>189</v>
      </c>
      <c r="K13" s="120">
        <v>10</v>
      </c>
      <c r="L13" s="120" t="s">
        <v>212</v>
      </c>
      <c r="M13" s="120">
        <v>2</v>
      </c>
      <c r="N13" s="120" t="s">
        <v>213</v>
      </c>
      <c r="O13" s="192">
        <v>7197</v>
      </c>
      <c r="P13" s="121">
        <v>3500000</v>
      </c>
      <c r="Q13" s="121">
        <f t="shared" si="0"/>
        <v>2520000</v>
      </c>
      <c r="R13" s="161">
        <f t="shared" si="1"/>
        <v>18000</v>
      </c>
      <c r="S13" s="121">
        <f t="shared" si="2"/>
        <v>5040000</v>
      </c>
      <c r="T13" s="121">
        <f t="shared" si="3"/>
        <v>5040000</v>
      </c>
      <c r="U13" s="122">
        <f t="shared" si="4"/>
        <v>10080000</v>
      </c>
      <c r="V13" s="162">
        <f t="shared" si="5"/>
        <v>72000</v>
      </c>
      <c r="W13" s="193" t="s">
        <v>182</v>
      </c>
      <c r="X13" s="163">
        <v>168553</v>
      </c>
      <c r="Y13" s="164">
        <v>91.629790703995596</v>
      </c>
      <c r="Z13" s="163">
        <v>183950</v>
      </c>
    </row>
    <row r="14" spans="1:26" s="67" customFormat="1" ht="15" customHeight="1">
      <c r="A14" s="191" t="s">
        <v>208</v>
      </c>
      <c r="B14" s="165" t="s">
        <v>187</v>
      </c>
      <c r="C14" s="166" t="s">
        <v>253</v>
      </c>
      <c r="D14" s="166" t="s">
        <v>316</v>
      </c>
      <c r="E14" s="166" t="s">
        <v>240</v>
      </c>
      <c r="F14" s="120">
        <v>1</v>
      </c>
      <c r="G14" s="120">
        <v>2</v>
      </c>
      <c r="H14" s="120" t="s">
        <v>209</v>
      </c>
      <c r="I14" s="120" t="s">
        <v>211</v>
      </c>
      <c r="J14" s="120" t="s">
        <v>189</v>
      </c>
      <c r="K14" s="120">
        <v>10</v>
      </c>
      <c r="L14" s="120" t="s">
        <v>212</v>
      </c>
      <c r="M14" s="120">
        <v>2</v>
      </c>
      <c r="N14" s="120" t="s">
        <v>213</v>
      </c>
      <c r="O14" s="192">
        <v>18973</v>
      </c>
      <c r="P14" s="121">
        <v>3500000</v>
      </c>
      <c r="Q14" s="121">
        <f t="shared" si="0"/>
        <v>2520000</v>
      </c>
      <c r="R14" s="161">
        <f t="shared" si="1"/>
        <v>18000</v>
      </c>
      <c r="S14" s="121">
        <f t="shared" si="2"/>
        <v>5040000</v>
      </c>
      <c r="T14" s="121">
        <f t="shared" si="3"/>
        <v>5040000</v>
      </c>
      <c r="U14" s="122">
        <f t="shared" si="4"/>
        <v>10080000</v>
      </c>
      <c r="V14" s="162">
        <f t="shared" si="5"/>
        <v>72000</v>
      </c>
      <c r="W14" s="193" t="s">
        <v>182</v>
      </c>
      <c r="X14" s="163">
        <v>246205</v>
      </c>
      <c r="Y14" s="164">
        <v>133.84343571622699</v>
      </c>
      <c r="Z14" s="163">
        <v>183950</v>
      </c>
    </row>
    <row r="15" spans="1:26" s="213" customFormat="1" ht="15" customHeight="1">
      <c r="A15" s="211" t="s">
        <v>208</v>
      </c>
      <c r="B15" s="203" t="s">
        <v>187</v>
      </c>
      <c r="C15" s="166" t="s">
        <v>253</v>
      </c>
      <c r="D15" s="166" t="s">
        <v>317</v>
      </c>
      <c r="E15" s="166" t="s">
        <v>200</v>
      </c>
      <c r="F15" s="204">
        <v>1</v>
      </c>
      <c r="G15" s="204">
        <v>2</v>
      </c>
      <c r="H15" s="204" t="s">
        <v>209</v>
      </c>
      <c r="I15" s="204" t="s">
        <v>211</v>
      </c>
      <c r="J15" s="204" t="s">
        <v>189</v>
      </c>
      <c r="K15" s="204">
        <v>10</v>
      </c>
      <c r="L15" s="204" t="s">
        <v>212</v>
      </c>
      <c r="M15" s="204">
        <v>2</v>
      </c>
      <c r="N15" s="204" t="s">
        <v>213</v>
      </c>
      <c r="O15" s="208">
        <v>1796</v>
      </c>
      <c r="P15" s="206">
        <v>3500000</v>
      </c>
      <c r="Q15" s="206">
        <f t="shared" si="0"/>
        <v>2520000</v>
      </c>
      <c r="R15" s="161">
        <f t="shared" si="1"/>
        <v>18000</v>
      </c>
      <c r="S15" s="206">
        <f t="shared" si="2"/>
        <v>5040000</v>
      </c>
      <c r="T15" s="206">
        <f t="shared" si="3"/>
        <v>5040000</v>
      </c>
      <c r="U15" s="207">
        <f t="shared" si="4"/>
        <v>10080000</v>
      </c>
      <c r="V15" s="162">
        <f t="shared" si="5"/>
        <v>72000</v>
      </c>
      <c r="W15" s="212" t="s">
        <v>182</v>
      </c>
      <c r="X15" s="208">
        <v>273731</v>
      </c>
      <c r="Y15" s="209">
        <v>148.807284588203</v>
      </c>
      <c r="Z15" s="208">
        <v>183950</v>
      </c>
    </row>
    <row r="16" spans="1:26" s="67" customFormat="1" ht="15" customHeight="1">
      <c r="A16" s="191" t="s">
        <v>208</v>
      </c>
      <c r="B16" s="165" t="s">
        <v>187</v>
      </c>
      <c r="C16" s="166" t="s">
        <v>253</v>
      </c>
      <c r="D16" s="166" t="s">
        <v>318</v>
      </c>
      <c r="E16" s="166" t="s">
        <v>240</v>
      </c>
      <c r="F16" s="120">
        <v>1</v>
      </c>
      <c r="G16" s="120">
        <v>2</v>
      </c>
      <c r="H16" s="120" t="s">
        <v>209</v>
      </c>
      <c r="I16" s="120" t="s">
        <v>211</v>
      </c>
      <c r="J16" s="120" t="s">
        <v>189</v>
      </c>
      <c r="K16" s="120">
        <v>10</v>
      </c>
      <c r="L16" s="120" t="s">
        <v>212</v>
      </c>
      <c r="M16" s="120">
        <v>2</v>
      </c>
      <c r="N16" s="120" t="s">
        <v>213</v>
      </c>
      <c r="O16" s="192">
        <v>10715</v>
      </c>
      <c r="P16" s="121">
        <v>3500000</v>
      </c>
      <c r="Q16" s="121">
        <f t="shared" si="0"/>
        <v>2520000</v>
      </c>
      <c r="R16" s="161">
        <f t="shared" si="1"/>
        <v>18000</v>
      </c>
      <c r="S16" s="121">
        <f t="shared" si="2"/>
        <v>5040000</v>
      </c>
      <c r="T16" s="121">
        <f t="shared" si="3"/>
        <v>5040000</v>
      </c>
      <c r="U16" s="122">
        <f t="shared" si="4"/>
        <v>10080000</v>
      </c>
      <c r="V16" s="162">
        <f t="shared" si="5"/>
        <v>72000</v>
      </c>
      <c r="W16" s="193" t="s">
        <v>182</v>
      </c>
      <c r="X16" s="163">
        <v>233247</v>
      </c>
      <c r="Y16" s="164">
        <v>126.799130198423</v>
      </c>
      <c r="Z16" s="163">
        <v>183950</v>
      </c>
    </row>
    <row r="17" spans="1:26" s="67" customFormat="1" ht="15" customHeight="1">
      <c r="A17" s="191" t="s">
        <v>208</v>
      </c>
      <c r="B17" s="165" t="s">
        <v>187</v>
      </c>
      <c r="C17" s="166" t="s">
        <v>253</v>
      </c>
      <c r="D17" s="166" t="s">
        <v>319</v>
      </c>
      <c r="E17" s="166" t="s">
        <v>196</v>
      </c>
      <c r="F17" s="120">
        <v>1</v>
      </c>
      <c r="G17" s="120">
        <v>2</v>
      </c>
      <c r="H17" s="120" t="s">
        <v>209</v>
      </c>
      <c r="I17" s="120" t="s">
        <v>211</v>
      </c>
      <c r="J17" s="120" t="s">
        <v>189</v>
      </c>
      <c r="K17" s="120">
        <v>10</v>
      </c>
      <c r="L17" s="120" t="s">
        <v>212</v>
      </c>
      <c r="M17" s="120">
        <v>2</v>
      </c>
      <c r="N17" s="120" t="s">
        <v>213</v>
      </c>
      <c r="O17" s="192">
        <v>7372</v>
      </c>
      <c r="P17" s="121">
        <v>3500000</v>
      </c>
      <c r="Q17" s="121">
        <f t="shared" si="0"/>
        <v>2520000</v>
      </c>
      <c r="R17" s="161">
        <f t="shared" si="1"/>
        <v>18000</v>
      </c>
      <c r="S17" s="121">
        <f t="shared" si="2"/>
        <v>5040000</v>
      </c>
      <c r="T17" s="121">
        <f t="shared" si="3"/>
        <v>5040000</v>
      </c>
      <c r="U17" s="122">
        <f t="shared" si="4"/>
        <v>10080000</v>
      </c>
      <c r="V17" s="162">
        <f t="shared" si="5"/>
        <v>72000</v>
      </c>
      <c r="W17" s="193" t="s">
        <v>182</v>
      </c>
      <c r="X17" s="163">
        <v>228959</v>
      </c>
      <c r="Y17" s="164">
        <v>124.468061973362</v>
      </c>
      <c r="Z17" s="163">
        <v>183950</v>
      </c>
    </row>
    <row r="18" spans="1:26" s="67" customFormat="1" ht="15" customHeight="1">
      <c r="A18" s="191" t="s">
        <v>208</v>
      </c>
      <c r="B18" s="165" t="s">
        <v>187</v>
      </c>
      <c r="C18" s="166" t="s">
        <v>253</v>
      </c>
      <c r="D18" s="166" t="s">
        <v>320</v>
      </c>
      <c r="E18" s="166" t="s">
        <v>196</v>
      </c>
      <c r="F18" s="120">
        <v>1</v>
      </c>
      <c r="G18" s="120">
        <v>2</v>
      </c>
      <c r="H18" s="120" t="s">
        <v>209</v>
      </c>
      <c r="I18" s="120" t="s">
        <v>211</v>
      </c>
      <c r="J18" s="120" t="s">
        <v>189</v>
      </c>
      <c r="K18" s="120">
        <v>10</v>
      </c>
      <c r="L18" s="120" t="s">
        <v>212</v>
      </c>
      <c r="M18" s="120">
        <v>2</v>
      </c>
      <c r="N18" s="120" t="s">
        <v>213</v>
      </c>
      <c r="O18" s="192">
        <v>1815</v>
      </c>
      <c r="P18" s="121">
        <v>3500000</v>
      </c>
      <c r="Q18" s="121">
        <f t="shared" si="0"/>
        <v>2520000</v>
      </c>
      <c r="R18" s="161">
        <f t="shared" si="1"/>
        <v>18000</v>
      </c>
      <c r="S18" s="121">
        <f t="shared" si="2"/>
        <v>5040000</v>
      </c>
      <c r="T18" s="121">
        <f t="shared" si="3"/>
        <v>5040000</v>
      </c>
      <c r="U18" s="122">
        <f t="shared" si="4"/>
        <v>10080000</v>
      </c>
      <c r="V18" s="162">
        <f t="shared" si="5"/>
        <v>72000</v>
      </c>
      <c r="W18" s="193" t="s">
        <v>182</v>
      </c>
      <c r="X18" s="163">
        <v>183505</v>
      </c>
      <c r="Y18" s="164">
        <v>99.758086436531599</v>
      </c>
      <c r="Z18" s="163">
        <v>183950</v>
      </c>
    </row>
    <row r="19" spans="1:26" s="67" customFormat="1" ht="15" customHeight="1">
      <c r="A19" s="191" t="s">
        <v>208</v>
      </c>
      <c r="B19" s="165" t="s">
        <v>187</v>
      </c>
      <c r="C19" s="166" t="s">
        <v>253</v>
      </c>
      <c r="D19" s="166" t="s">
        <v>457</v>
      </c>
      <c r="E19" s="166" t="s">
        <v>196</v>
      </c>
      <c r="F19" s="120">
        <v>1</v>
      </c>
      <c r="G19" s="120">
        <v>2</v>
      </c>
      <c r="H19" s="120" t="s">
        <v>209</v>
      </c>
      <c r="I19" s="120" t="s">
        <v>211</v>
      </c>
      <c r="J19" s="120" t="s">
        <v>189</v>
      </c>
      <c r="K19" s="120">
        <v>10</v>
      </c>
      <c r="L19" s="120" t="s">
        <v>212</v>
      </c>
      <c r="M19" s="120">
        <v>2</v>
      </c>
      <c r="N19" s="120" t="s">
        <v>213</v>
      </c>
      <c r="O19" s="192"/>
      <c r="P19" s="121">
        <v>3500000</v>
      </c>
      <c r="Q19" s="121">
        <f t="shared" si="0"/>
        <v>2520000</v>
      </c>
      <c r="R19" s="161">
        <f t="shared" si="1"/>
        <v>18000</v>
      </c>
      <c r="S19" s="121">
        <f t="shared" si="2"/>
        <v>5040000</v>
      </c>
      <c r="T19" s="121">
        <f t="shared" si="3"/>
        <v>5040000</v>
      </c>
      <c r="U19" s="122">
        <f t="shared" si="4"/>
        <v>10080000</v>
      </c>
      <c r="V19" s="162">
        <f t="shared" si="5"/>
        <v>72000</v>
      </c>
      <c r="W19" s="193" t="s">
        <v>182</v>
      </c>
      <c r="X19" s="163">
        <v>200679</v>
      </c>
      <c r="Y19" s="164">
        <v>109.09431910845301</v>
      </c>
      <c r="Z19" s="163">
        <v>183950</v>
      </c>
    </row>
    <row r="20" spans="1:26" s="67" customFormat="1" ht="15" customHeight="1">
      <c r="A20" s="191" t="s">
        <v>208</v>
      </c>
      <c r="B20" s="165" t="s">
        <v>187</v>
      </c>
      <c r="C20" s="166" t="s">
        <v>253</v>
      </c>
      <c r="D20" s="166" t="s">
        <v>458</v>
      </c>
      <c r="E20" s="166" t="s">
        <v>196</v>
      </c>
      <c r="F20" s="120">
        <v>1</v>
      </c>
      <c r="G20" s="120">
        <v>2</v>
      </c>
      <c r="H20" s="120" t="s">
        <v>209</v>
      </c>
      <c r="I20" s="120" t="s">
        <v>211</v>
      </c>
      <c r="J20" s="120" t="s">
        <v>189</v>
      </c>
      <c r="K20" s="120">
        <v>10</v>
      </c>
      <c r="L20" s="120" t="s">
        <v>212</v>
      </c>
      <c r="M20" s="120">
        <v>2</v>
      </c>
      <c r="N20" s="120" t="s">
        <v>213</v>
      </c>
      <c r="O20" s="192"/>
      <c r="P20" s="121">
        <v>3500000</v>
      </c>
      <c r="Q20" s="121">
        <f t="shared" si="0"/>
        <v>2520000</v>
      </c>
      <c r="R20" s="161">
        <f t="shared" si="1"/>
        <v>18000</v>
      </c>
      <c r="S20" s="121">
        <f t="shared" si="2"/>
        <v>5040000</v>
      </c>
      <c r="T20" s="121">
        <f t="shared" si="3"/>
        <v>5040000</v>
      </c>
      <c r="U20" s="122">
        <f t="shared" si="4"/>
        <v>10080000</v>
      </c>
      <c r="V20" s="162">
        <f t="shared" si="5"/>
        <v>72000</v>
      </c>
      <c r="W20" s="193" t="s">
        <v>182</v>
      </c>
      <c r="X20" s="163">
        <v>185663</v>
      </c>
      <c r="Y20" s="164">
        <v>100.931231312856</v>
      </c>
      <c r="Z20" s="163">
        <v>183950</v>
      </c>
    </row>
    <row r="21" spans="1:26" s="67" customFormat="1" ht="15" customHeight="1">
      <c r="A21" s="191" t="s">
        <v>208</v>
      </c>
      <c r="B21" s="165" t="s">
        <v>187</v>
      </c>
      <c r="C21" s="166" t="s">
        <v>251</v>
      </c>
      <c r="D21" s="166" t="s">
        <v>322</v>
      </c>
      <c r="E21" s="166" t="s">
        <v>196</v>
      </c>
      <c r="F21" s="120">
        <v>1</v>
      </c>
      <c r="G21" s="120">
        <v>2</v>
      </c>
      <c r="H21" s="120" t="s">
        <v>209</v>
      </c>
      <c r="I21" s="120" t="s">
        <v>211</v>
      </c>
      <c r="J21" s="120" t="s">
        <v>189</v>
      </c>
      <c r="K21" s="120">
        <v>10</v>
      </c>
      <c r="L21" s="120" t="s">
        <v>212</v>
      </c>
      <c r="M21" s="120">
        <v>2</v>
      </c>
      <c r="N21" s="120" t="s">
        <v>213</v>
      </c>
      <c r="O21" s="192">
        <v>1840</v>
      </c>
      <c r="P21" s="121">
        <v>3500000</v>
      </c>
      <c r="Q21" s="121">
        <f t="shared" si="0"/>
        <v>2520000</v>
      </c>
      <c r="R21" s="161">
        <f t="shared" si="1"/>
        <v>18000</v>
      </c>
      <c r="S21" s="121">
        <f t="shared" si="2"/>
        <v>5040000</v>
      </c>
      <c r="T21" s="121">
        <f t="shared" si="3"/>
        <v>5040000</v>
      </c>
      <c r="U21" s="122">
        <f t="shared" si="4"/>
        <v>10080000</v>
      </c>
      <c r="V21" s="162">
        <f t="shared" si="5"/>
        <v>72000</v>
      </c>
      <c r="W21" s="193" t="s">
        <v>182</v>
      </c>
      <c r="X21" s="163">
        <v>95908</v>
      </c>
      <c r="Y21" s="164">
        <v>86.139752110651997</v>
      </c>
      <c r="Z21" s="163">
        <v>111340</v>
      </c>
    </row>
    <row r="22" spans="1:26" s="67" customFormat="1" ht="15" customHeight="1">
      <c r="A22" s="191" t="s">
        <v>208</v>
      </c>
      <c r="B22" s="165" t="s">
        <v>187</v>
      </c>
      <c r="C22" s="166" t="s">
        <v>251</v>
      </c>
      <c r="D22" s="166" t="s">
        <v>323</v>
      </c>
      <c r="E22" s="166" t="s">
        <v>196</v>
      </c>
      <c r="F22" s="120">
        <v>1</v>
      </c>
      <c r="G22" s="120">
        <v>2</v>
      </c>
      <c r="H22" s="120" t="s">
        <v>209</v>
      </c>
      <c r="I22" s="120" t="s">
        <v>211</v>
      </c>
      <c r="J22" s="120" t="s">
        <v>189</v>
      </c>
      <c r="K22" s="120">
        <v>10</v>
      </c>
      <c r="L22" s="120" t="s">
        <v>212</v>
      </c>
      <c r="M22" s="120">
        <v>2</v>
      </c>
      <c r="N22" s="120" t="s">
        <v>213</v>
      </c>
      <c r="O22" s="192">
        <v>109633</v>
      </c>
      <c r="P22" s="121">
        <v>3500000</v>
      </c>
      <c r="Q22" s="121">
        <f t="shared" si="0"/>
        <v>2520000</v>
      </c>
      <c r="R22" s="161">
        <f t="shared" si="1"/>
        <v>18000</v>
      </c>
      <c r="S22" s="121">
        <f t="shared" si="2"/>
        <v>5040000</v>
      </c>
      <c r="T22" s="121">
        <f t="shared" si="3"/>
        <v>5040000</v>
      </c>
      <c r="U22" s="122">
        <f t="shared" si="4"/>
        <v>10080000</v>
      </c>
      <c r="V22" s="162">
        <f t="shared" si="5"/>
        <v>72000</v>
      </c>
      <c r="W22" s="193" t="s">
        <v>182</v>
      </c>
      <c r="X22" s="163">
        <v>134679</v>
      </c>
      <c r="Y22" s="164">
        <v>120.96191844799699</v>
      </c>
      <c r="Z22" s="163">
        <v>111340</v>
      </c>
    </row>
    <row r="23" spans="1:26" s="67" customFormat="1" ht="15" customHeight="1">
      <c r="A23" s="191" t="s">
        <v>208</v>
      </c>
      <c r="B23" s="165" t="s">
        <v>187</v>
      </c>
      <c r="C23" s="166" t="s">
        <v>251</v>
      </c>
      <c r="D23" s="166" t="s">
        <v>324</v>
      </c>
      <c r="E23" s="166" t="s">
        <v>196</v>
      </c>
      <c r="F23" s="120">
        <v>1</v>
      </c>
      <c r="G23" s="120">
        <v>2</v>
      </c>
      <c r="H23" s="120" t="s">
        <v>209</v>
      </c>
      <c r="I23" s="120" t="s">
        <v>211</v>
      </c>
      <c r="J23" s="120" t="s">
        <v>189</v>
      </c>
      <c r="K23" s="120">
        <v>10</v>
      </c>
      <c r="L23" s="120" t="s">
        <v>212</v>
      </c>
      <c r="M23" s="120">
        <v>2</v>
      </c>
      <c r="N23" s="120" t="s">
        <v>213</v>
      </c>
      <c r="O23" s="192">
        <v>7172</v>
      </c>
      <c r="P23" s="121">
        <v>3500000</v>
      </c>
      <c r="Q23" s="121">
        <f t="shared" si="0"/>
        <v>2520000</v>
      </c>
      <c r="R23" s="161">
        <f t="shared" si="1"/>
        <v>18000</v>
      </c>
      <c r="S23" s="121">
        <f t="shared" si="2"/>
        <v>5040000</v>
      </c>
      <c r="T23" s="121">
        <f t="shared" si="3"/>
        <v>5040000</v>
      </c>
      <c r="U23" s="122">
        <f t="shared" si="4"/>
        <v>10080000</v>
      </c>
      <c r="V23" s="162">
        <f t="shared" si="5"/>
        <v>72000</v>
      </c>
      <c r="W23" s="193" t="s">
        <v>182</v>
      </c>
      <c r="X23" s="163">
        <v>204642</v>
      </c>
      <c r="Y23" s="164">
        <v>183.79917370217299</v>
      </c>
      <c r="Z23" s="163">
        <v>111340</v>
      </c>
    </row>
    <row r="24" spans="1:26" s="67" customFormat="1" ht="15" customHeight="1">
      <c r="A24" s="191" t="s">
        <v>208</v>
      </c>
      <c r="B24" s="165" t="s">
        <v>187</v>
      </c>
      <c r="C24" s="166" t="s">
        <v>251</v>
      </c>
      <c r="D24" s="166" t="s">
        <v>325</v>
      </c>
      <c r="E24" s="166" t="s">
        <v>240</v>
      </c>
      <c r="F24" s="120">
        <v>1</v>
      </c>
      <c r="G24" s="120">
        <v>2</v>
      </c>
      <c r="H24" s="120" t="s">
        <v>209</v>
      </c>
      <c r="I24" s="120" t="s">
        <v>211</v>
      </c>
      <c r="J24" s="120" t="s">
        <v>189</v>
      </c>
      <c r="K24" s="120">
        <v>10</v>
      </c>
      <c r="L24" s="120" t="s">
        <v>212</v>
      </c>
      <c r="M24" s="120">
        <v>2</v>
      </c>
      <c r="N24" s="120" t="s">
        <v>213</v>
      </c>
      <c r="O24" s="192">
        <v>21544</v>
      </c>
      <c r="P24" s="121">
        <v>3500000</v>
      </c>
      <c r="Q24" s="121">
        <f t="shared" si="0"/>
        <v>2520000</v>
      </c>
      <c r="R24" s="161">
        <f t="shared" si="1"/>
        <v>18000</v>
      </c>
      <c r="S24" s="121">
        <f t="shared" si="2"/>
        <v>5040000</v>
      </c>
      <c r="T24" s="121">
        <f t="shared" si="3"/>
        <v>5040000</v>
      </c>
      <c r="U24" s="122">
        <f t="shared" si="4"/>
        <v>10080000</v>
      </c>
      <c r="V24" s="162">
        <f t="shared" si="5"/>
        <v>72000</v>
      </c>
      <c r="W24" s="193" t="s">
        <v>182</v>
      </c>
      <c r="X24" s="163">
        <v>95857</v>
      </c>
      <c r="Y24" s="164">
        <v>86.093946470271206</v>
      </c>
      <c r="Z24" s="163">
        <v>111340</v>
      </c>
    </row>
    <row r="25" spans="1:26" s="67" customFormat="1" ht="15" customHeight="1">
      <c r="A25" s="191" t="s">
        <v>208</v>
      </c>
      <c r="B25" s="165" t="s">
        <v>187</v>
      </c>
      <c r="C25" s="166" t="s">
        <v>251</v>
      </c>
      <c r="D25" s="166" t="s">
        <v>326</v>
      </c>
      <c r="E25" s="166" t="s">
        <v>240</v>
      </c>
      <c r="F25" s="120">
        <v>1</v>
      </c>
      <c r="G25" s="120">
        <v>2</v>
      </c>
      <c r="H25" s="120" t="s">
        <v>209</v>
      </c>
      <c r="I25" s="120" t="s">
        <v>211</v>
      </c>
      <c r="J25" s="120" t="s">
        <v>189</v>
      </c>
      <c r="K25" s="120">
        <v>10</v>
      </c>
      <c r="L25" s="120" t="s">
        <v>212</v>
      </c>
      <c r="M25" s="120">
        <v>2</v>
      </c>
      <c r="N25" s="120" t="s">
        <v>213</v>
      </c>
      <c r="O25" s="192">
        <v>1837</v>
      </c>
      <c r="P25" s="121">
        <v>3500000</v>
      </c>
      <c r="Q25" s="121">
        <f t="shared" si="0"/>
        <v>2520000</v>
      </c>
      <c r="R25" s="161">
        <f t="shared" si="1"/>
        <v>18000</v>
      </c>
      <c r="S25" s="121">
        <f t="shared" si="2"/>
        <v>5040000</v>
      </c>
      <c r="T25" s="121">
        <f t="shared" si="3"/>
        <v>5040000</v>
      </c>
      <c r="U25" s="122">
        <f t="shared" si="4"/>
        <v>10080000</v>
      </c>
      <c r="V25" s="162">
        <f t="shared" si="5"/>
        <v>72000</v>
      </c>
      <c r="W25" s="193" t="s">
        <v>182</v>
      </c>
      <c r="X25" s="163">
        <v>100692</v>
      </c>
      <c r="Y25" s="164">
        <v>90.436500808334799</v>
      </c>
      <c r="Z25" s="163">
        <v>111340</v>
      </c>
    </row>
    <row r="26" spans="1:26" s="67" customFormat="1" ht="15" customHeight="1">
      <c r="A26" s="191" t="s">
        <v>208</v>
      </c>
      <c r="B26" s="165" t="s">
        <v>187</v>
      </c>
      <c r="C26" s="166" t="s">
        <v>251</v>
      </c>
      <c r="D26" s="166" t="s">
        <v>327</v>
      </c>
      <c r="E26" s="166" t="s">
        <v>240</v>
      </c>
      <c r="F26" s="120">
        <v>1</v>
      </c>
      <c r="G26" s="120">
        <v>2</v>
      </c>
      <c r="H26" s="120" t="s">
        <v>209</v>
      </c>
      <c r="I26" s="120" t="s">
        <v>211</v>
      </c>
      <c r="J26" s="120" t="s">
        <v>189</v>
      </c>
      <c r="K26" s="120">
        <v>10</v>
      </c>
      <c r="L26" s="120" t="s">
        <v>212</v>
      </c>
      <c r="M26" s="120">
        <v>2</v>
      </c>
      <c r="N26" s="120" t="s">
        <v>213</v>
      </c>
      <c r="O26" s="192">
        <v>111140</v>
      </c>
      <c r="P26" s="121">
        <v>3500000</v>
      </c>
      <c r="Q26" s="121">
        <f t="shared" si="0"/>
        <v>2520000</v>
      </c>
      <c r="R26" s="161">
        <f t="shared" si="1"/>
        <v>18000</v>
      </c>
      <c r="S26" s="121">
        <f t="shared" si="2"/>
        <v>5040000</v>
      </c>
      <c r="T26" s="121">
        <f t="shared" si="3"/>
        <v>5040000</v>
      </c>
      <c r="U26" s="122">
        <f t="shared" si="4"/>
        <v>10080000</v>
      </c>
      <c r="V26" s="162">
        <f t="shared" si="5"/>
        <v>72000</v>
      </c>
      <c r="W26" s="193" t="s">
        <v>182</v>
      </c>
      <c r="X26" s="163">
        <v>173545</v>
      </c>
      <c r="Y26" s="164">
        <v>155.869409017424</v>
      </c>
      <c r="Z26" s="163">
        <v>111340</v>
      </c>
    </row>
    <row r="27" spans="1:26" s="67" customFormat="1" ht="15" customHeight="1">
      <c r="A27" s="191" t="s">
        <v>208</v>
      </c>
      <c r="B27" s="165" t="s">
        <v>187</v>
      </c>
      <c r="C27" s="166" t="s">
        <v>251</v>
      </c>
      <c r="D27" s="166" t="s">
        <v>328</v>
      </c>
      <c r="E27" s="166" t="s">
        <v>240</v>
      </c>
      <c r="F27" s="120">
        <v>1</v>
      </c>
      <c r="G27" s="120">
        <v>2</v>
      </c>
      <c r="H27" s="120" t="s">
        <v>209</v>
      </c>
      <c r="I27" s="120" t="s">
        <v>211</v>
      </c>
      <c r="J27" s="120" t="s">
        <v>189</v>
      </c>
      <c r="K27" s="120">
        <v>10</v>
      </c>
      <c r="L27" s="120" t="s">
        <v>212</v>
      </c>
      <c r="M27" s="120">
        <v>2</v>
      </c>
      <c r="N27" s="120" t="s">
        <v>213</v>
      </c>
      <c r="O27" s="192">
        <v>7341</v>
      </c>
      <c r="P27" s="121">
        <v>3500000</v>
      </c>
      <c r="Q27" s="121">
        <f t="shared" si="0"/>
        <v>2520000</v>
      </c>
      <c r="R27" s="161">
        <f t="shared" si="1"/>
        <v>18000</v>
      </c>
      <c r="S27" s="121">
        <f t="shared" si="2"/>
        <v>5040000</v>
      </c>
      <c r="T27" s="121">
        <f t="shared" si="3"/>
        <v>5040000</v>
      </c>
      <c r="U27" s="122">
        <f t="shared" si="4"/>
        <v>10080000</v>
      </c>
      <c r="V27" s="162">
        <f t="shared" si="5"/>
        <v>72000</v>
      </c>
      <c r="W27" s="193" t="s">
        <v>182</v>
      </c>
      <c r="X27" s="163">
        <v>201230</v>
      </c>
      <c r="Y27" s="164">
        <v>180.73468654571499</v>
      </c>
      <c r="Z27" s="163">
        <v>111340</v>
      </c>
    </row>
    <row r="28" spans="1:26" s="67" customFormat="1" ht="15" customHeight="1">
      <c r="A28" s="191" t="s">
        <v>208</v>
      </c>
      <c r="B28" s="165" t="s">
        <v>187</v>
      </c>
      <c r="C28" s="166" t="s">
        <v>251</v>
      </c>
      <c r="D28" s="166" t="s">
        <v>329</v>
      </c>
      <c r="E28" s="166" t="s">
        <v>200</v>
      </c>
      <c r="F28" s="120">
        <v>1</v>
      </c>
      <c r="G28" s="120">
        <v>2</v>
      </c>
      <c r="H28" s="120" t="s">
        <v>209</v>
      </c>
      <c r="I28" s="120" t="s">
        <v>211</v>
      </c>
      <c r="J28" s="120" t="s">
        <v>189</v>
      </c>
      <c r="K28" s="120">
        <v>10</v>
      </c>
      <c r="L28" s="120" t="s">
        <v>212</v>
      </c>
      <c r="M28" s="120">
        <v>2</v>
      </c>
      <c r="N28" s="120" t="s">
        <v>213</v>
      </c>
      <c r="O28" s="120" t="s">
        <v>449</v>
      </c>
      <c r="P28" s="121">
        <v>3500000</v>
      </c>
      <c r="Q28" s="121">
        <f t="shared" si="0"/>
        <v>2520000</v>
      </c>
      <c r="R28" s="161">
        <f t="shared" si="1"/>
        <v>18000</v>
      </c>
      <c r="S28" s="121">
        <f t="shared" si="2"/>
        <v>5040000</v>
      </c>
      <c r="T28" s="121">
        <f t="shared" si="3"/>
        <v>5040000</v>
      </c>
      <c r="U28" s="122">
        <f t="shared" si="4"/>
        <v>10080000</v>
      </c>
      <c r="V28" s="162">
        <f t="shared" si="5"/>
        <v>72000</v>
      </c>
      <c r="W28" s="193" t="s">
        <v>182</v>
      </c>
      <c r="X28" s="163">
        <v>107598</v>
      </c>
      <c r="Y28" s="164">
        <v>96.639123405784005</v>
      </c>
      <c r="Z28" s="163">
        <v>111340</v>
      </c>
    </row>
    <row r="29" spans="1:26" s="67" customFormat="1" ht="15" customHeight="1">
      <c r="A29" s="191" t="s">
        <v>208</v>
      </c>
      <c r="B29" s="165" t="s">
        <v>187</v>
      </c>
      <c r="C29" s="166" t="s">
        <v>390</v>
      </c>
      <c r="D29" s="166" t="s">
        <v>391</v>
      </c>
      <c r="E29" s="166" t="s">
        <v>240</v>
      </c>
      <c r="F29" s="120">
        <v>1</v>
      </c>
      <c r="G29" s="120">
        <v>2</v>
      </c>
      <c r="H29" s="120" t="s">
        <v>209</v>
      </c>
      <c r="I29" s="120" t="s">
        <v>211</v>
      </c>
      <c r="J29" s="120" t="s">
        <v>189</v>
      </c>
      <c r="K29" s="120">
        <v>10</v>
      </c>
      <c r="L29" s="120" t="s">
        <v>212</v>
      </c>
      <c r="M29" s="120">
        <v>2</v>
      </c>
      <c r="N29" s="120" t="s">
        <v>213</v>
      </c>
      <c r="O29" s="192"/>
      <c r="P29" s="121">
        <v>3500000</v>
      </c>
      <c r="Q29" s="121">
        <f t="shared" si="0"/>
        <v>2520000</v>
      </c>
      <c r="R29" s="161">
        <f t="shared" si="1"/>
        <v>18000</v>
      </c>
      <c r="S29" s="121">
        <f t="shared" si="2"/>
        <v>5040000</v>
      </c>
      <c r="T29" s="121">
        <f t="shared" si="3"/>
        <v>5040000</v>
      </c>
      <c r="U29" s="122">
        <f t="shared" si="4"/>
        <v>10080000</v>
      </c>
      <c r="V29" s="162">
        <f t="shared" si="5"/>
        <v>72000</v>
      </c>
      <c r="W29" s="193" t="s">
        <v>182</v>
      </c>
      <c r="X29" s="163">
        <v>111950</v>
      </c>
      <c r="Y29" s="164">
        <v>173.077517701988</v>
      </c>
      <c r="Z29" s="163">
        <v>64682</v>
      </c>
    </row>
    <row r="30" spans="1:26" s="67" customFormat="1" ht="15" customHeight="1">
      <c r="A30" s="191" t="s">
        <v>208</v>
      </c>
      <c r="B30" s="165" t="s">
        <v>187</v>
      </c>
      <c r="C30" s="166" t="s">
        <v>252</v>
      </c>
      <c r="D30" s="166" t="s">
        <v>330</v>
      </c>
      <c r="E30" s="166" t="s">
        <v>240</v>
      </c>
      <c r="F30" s="120">
        <v>1</v>
      </c>
      <c r="G30" s="120">
        <v>2</v>
      </c>
      <c r="H30" s="120" t="s">
        <v>209</v>
      </c>
      <c r="I30" s="120" t="s">
        <v>211</v>
      </c>
      <c r="J30" s="120" t="s">
        <v>189</v>
      </c>
      <c r="K30" s="120">
        <v>10</v>
      </c>
      <c r="L30" s="120" t="s">
        <v>212</v>
      </c>
      <c r="M30" s="120">
        <v>2</v>
      </c>
      <c r="N30" s="120" t="s">
        <v>213</v>
      </c>
      <c r="O30" s="192">
        <v>18409</v>
      </c>
      <c r="P30" s="121">
        <v>3500000</v>
      </c>
      <c r="Q30" s="121">
        <f t="shared" si="0"/>
        <v>2520000</v>
      </c>
      <c r="R30" s="161">
        <f t="shared" si="1"/>
        <v>18000</v>
      </c>
      <c r="S30" s="121">
        <f t="shared" si="2"/>
        <v>5040000</v>
      </c>
      <c r="T30" s="121">
        <f t="shared" si="3"/>
        <v>5040000</v>
      </c>
      <c r="U30" s="122">
        <f t="shared" si="4"/>
        <v>10080000</v>
      </c>
      <c r="V30" s="162">
        <f t="shared" si="5"/>
        <v>72000</v>
      </c>
      <c r="W30" s="193" t="s">
        <v>182</v>
      </c>
      <c r="X30" s="163">
        <v>215175</v>
      </c>
      <c r="Y30" s="164">
        <v>167.64183430200799</v>
      </c>
      <c r="Z30" s="163">
        <v>128354</v>
      </c>
    </row>
    <row r="31" spans="1:26" s="67" customFormat="1" ht="15" customHeight="1">
      <c r="A31" s="191" t="s">
        <v>208</v>
      </c>
      <c r="B31" s="165" t="s">
        <v>187</v>
      </c>
      <c r="C31" s="166" t="s">
        <v>252</v>
      </c>
      <c r="D31" s="166" t="s">
        <v>331</v>
      </c>
      <c r="E31" s="166" t="s">
        <v>240</v>
      </c>
      <c r="F31" s="120">
        <v>1</v>
      </c>
      <c r="G31" s="120">
        <v>2</v>
      </c>
      <c r="H31" s="120" t="s">
        <v>209</v>
      </c>
      <c r="I31" s="120" t="s">
        <v>211</v>
      </c>
      <c r="J31" s="120" t="s">
        <v>189</v>
      </c>
      <c r="K31" s="120">
        <v>10</v>
      </c>
      <c r="L31" s="120" t="s">
        <v>212</v>
      </c>
      <c r="M31" s="120">
        <v>2</v>
      </c>
      <c r="N31" s="120" t="s">
        <v>213</v>
      </c>
      <c r="O31" s="192">
        <v>1853</v>
      </c>
      <c r="P31" s="121">
        <v>3500000</v>
      </c>
      <c r="Q31" s="121">
        <f t="shared" si="0"/>
        <v>2520000</v>
      </c>
      <c r="R31" s="161">
        <f t="shared" si="1"/>
        <v>18000</v>
      </c>
      <c r="S31" s="121">
        <f t="shared" si="2"/>
        <v>5040000</v>
      </c>
      <c r="T31" s="121">
        <f t="shared" si="3"/>
        <v>5040000</v>
      </c>
      <c r="U31" s="122">
        <f t="shared" si="4"/>
        <v>10080000</v>
      </c>
      <c r="V31" s="162">
        <f t="shared" si="5"/>
        <v>72000</v>
      </c>
      <c r="W31" s="193" t="s">
        <v>182</v>
      </c>
      <c r="X31" s="163">
        <v>118383</v>
      </c>
      <c r="Y31" s="164">
        <v>92.231640618913303</v>
      </c>
      <c r="Z31" s="163">
        <v>128354</v>
      </c>
    </row>
    <row r="32" spans="1:26" s="67" customFormat="1" ht="15" customHeight="1">
      <c r="A32" s="191" t="s">
        <v>208</v>
      </c>
      <c r="B32" s="165" t="s">
        <v>187</v>
      </c>
      <c r="C32" s="166" t="s">
        <v>252</v>
      </c>
      <c r="D32" s="166" t="s">
        <v>332</v>
      </c>
      <c r="E32" s="166" t="s">
        <v>240</v>
      </c>
      <c r="F32" s="120">
        <v>1</v>
      </c>
      <c r="G32" s="120">
        <v>2</v>
      </c>
      <c r="H32" s="120" t="s">
        <v>209</v>
      </c>
      <c r="I32" s="120" t="s">
        <v>211</v>
      </c>
      <c r="J32" s="120" t="s">
        <v>189</v>
      </c>
      <c r="K32" s="120">
        <v>10</v>
      </c>
      <c r="L32" s="120" t="s">
        <v>212</v>
      </c>
      <c r="M32" s="120">
        <v>2</v>
      </c>
      <c r="N32" s="120" t="s">
        <v>213</v>
      </c>
      <c r="O32" s="192">
        <v>21542</v>
      </c>
      <c r="P32" s="121">
        <v>3500000</v>
      </c>
      <c r="Q32" s="121">
        <f t="shared" si="0"/>
        <v>2520000</v>
      </c>
      <c r="R32" s="161">
        <f t="shared" si="1"/>
        <v>18000</v>
      </c>
      <c r="S32" s="121">
        <f t="shared" si="2"/>
        <v>5040000</v>
      </c>
      <c r="T32" s="121">
        <f t="shared" si="3"/>
        <v>5040000</v>
      </c>
      <c r="U32" s="122">
        <f t="shared" si="4"/>
        <v>10080000</v>
      </c>
      <c r="V32" s="162">
        <f t="shared" si="5"/>
        <v>72000</v>
      </c>
      <c r="W32" s="193" t="s">
        <v>182</v>
      </c>
      <c r="X32" s="163">
        <v>88369</v>
      </c>
      <c r="Y32" s="164">
        <v>68.847873848886593</v>
      </c>
      <c r="Z32" s="163">
        <v>128354</v>
      </c>
    </row>
    <row r="33" spans="1:26" s="67" customFormat="1" ht="15" customHeight="1">
      <c r="A33" s="191" t="s">
        <v>208</v>
      </c>
      <c r="B33" s="165" t="s">
        <v>187</v>
      </c>
      <c r="C33" s="166" t="s">
        <v>252</v>
      </c>
      <c r="D33" s="166" t="s">
        <v>333</v>
      </c>
      <c r="E33" s="166" t="s">
        <v>240</v>
      </c>
      <c r="F33" s="120">
        <v>1</v>
      </c>
      <c r="G33" s="120">
        <v>2</v>
      </c>
      <c r="H33" s="120" t="s">
        <v>209</v>
      </c>
      <c r="I33" s="120" t="s">
        <v>211</v>
      </c>
      <c r="J33" s="120" t="s">
        <v>189</v>
      </c>
      <c r="K33" s="120">
        <v>10</v>
      </c>
      <c r="L33" s="120" t="s">
        <v>212</v>
      </c>
      <c r="M33" s="120">
        <v>2</v>
      </c>
      <c r="N33" s="120" t="s">
        <v>213</v>
      </c>
      <c r="O33" s="192">
        <v>1865</v>
      </c>
      <c r="P33" s="121">
        <v>3500000</v>
      </c>
      <c r="Q33" s="121">
        <f t="shared" si="0"/>
        <v>2520000</v>
      </c>
      <c r="R33" s="161">
        <f t="shared" si="1"/>
        <v>18000</v>
      </c>
      <c r="S33" s="121">
        <f t="shared" si="2"/>
        <v>5040000</v>
      </c>
      <c r="T33" s="121">
        <f t="shared" si="3"/>
        <v>5040000</v>
      </c>
      <c r="U33" s="122">
        <f t="shared" si="4"/>
        <v>10080000</v>
      </c>
      <c r="V33" s="162">
        <f t="shared" si="5"/>
        <v>72000</v>
      </c>
      <c r="W33" s="193" t="s">
        <v>182</v>
      </c>
      <c r="X33" s="163">
        <v>96502</v>
      </c>
      <c r="Y33" s="164">
        <v>75.184256041884097</v>
      </c>
      <c r="Z33" s="163">
        <v>128354</v>
      </c>
    </row>
    <row r="34" spans="1:26" s="67" customFormat="1" ht="15" customHeight="1">
      <c r="A34" s="191" t="s">
        <v>208</v>
      </c>
      <c r="B34" s="165" t="s">
        <v>187</v>
      </c>
      <c r="C34" s="166" t="s">
        <v>252</v>
      </c>
      <c r="D34" s="167" t="s">
        <v>335</v>
      </c>
      <c r="E34" s="166" t="s">
        <v>240</v>
      </c>
      <c r="F34" s="120">
        <v>1</v>
      </c>
      <c r="G34" s="120">
        <v>2</v>
      </c>
      <c r="H34" s="120" t="s">
        <v>209</v>
      </c>
      <c r="I34" s="120" t="s">
        <v>211</v>
      </c>
      <c r="J34" s="120" t="s">
        <v>189</v>
      </c>
      <c r="K34" s="120">
        <v>10</v>
      </c>
      <c r="L34" s="120" t="s">
        <v>212</v>
      </c>
      <c r="M34" s="120">
        <v>2</v>
      </c>
      <c r="N34" s="120" t="s">
        <v>213</v>
      </c>
      <c r="O34" s="192">
        <v>1860</v>
      </c>
      <c r="P34" s="121">
        <v>3500000</v>
      </c>
      <c r="Q34" s="121">
        <f t="shared" si="0"/>
        <v>2520000</v>
      </c>
      <c r="R34" s="161">
        <f t="shared" si="1"/>
        <v>18000</v>
      </c>
      <c r="S34" s="121">
        <f t="shared" si="2"/>
        <v>5040000</v>
      </c>
      <c r="T34" s="121">
        <f t="shared" si="3"/>
        <v>5040000</v>
      </c>
      <c r="U34" s="122">
        <f t="shared" si="4"/>
        <v>10080000</v>
      </c>
      <c r="V34" s="162">
        <f t="shared" si="5"/>
        <v>72000</v>
      </c>
      <c r="W34" s="193" t="s">
        <v>182</v>
      </c>
      <c r="X34" s="163">
        <v>130590</v>
      </c>
      <c r="Y34" s="164">
        <v>101.742057123268</v>
      </c>
      <c r="Z34" s="163">
        <v>128354</v>
      </c>
    </row>
    <row r="35" spans="1:26" s="67" customFormat="1" ht="15" customHeight="1">
      <c r="A35" s="191" t="s">
        <v>208</v>
      </c>
      <c r="B35" s="165" t="s">
        <v>187</v>
      </c>
      <c r="C35" s="166" t="s">
        <v>252</v>
      </c>
      <c r="D35" s="167" t="s">
        <v>337</v>
      </c>
      <c r="E35" s="166" t="s">
        <v>240</v>
      </c>
      <c r="F35" s="120">
        <v>1</v>
      </c>
      <c r="G35" s="120">
        <v>2</v>
      </c>
      <c r="H35" s="120" t="s">
        <v>209</v>
      </c>
      <c r="I35" s="120" t="s">
        <v>211</v>
      </c>
      <c r="J35" s="120" t="s">
        <v>189</v>
      </c>
      <c r="K35" s="120">
        <v>10</v>
      </c>
      <c r="L35" s="120" t="s">
        <v>212</v>
      </c>
      <c r="M35" s="120">
        <v>2</v>
      </c>
      <c r="N35" s="120" t="s">
        <v>213</v>
      </c>
      <c r="O35" s="192">
        <v>7071</v>
      </c>
      <c r="P35" s="121">
        <v>3500000</v>
      </c>
      <c r="Q35" s="121">
        <f t="shared" si="0"/>
        <v>2520000</v>
      </c>
      <c r="R35" s="161">
        <f t="shared" si="1"/>
        <v>18000</v>
      </c>
      <c r="S35" s="121">
        <f t="shared" si="2"/>
        <v>5040000</v>
      </c>
      <c r="T35" s="121">
        <f t="shared" si="3"/>
        <v>5040000</v>
      </c>
      <c r="U35" s="122">
        <f t="shared" si="4"/>
        <v>10080000</v>
      </c>
      <c r="V35" s="162">
        <f t="shared" si="5"/>
        <v>72000</v>
      </c>
      <c r="W35" s="193" t="s">
        <v>182</v>
      </c>
      <c r="X35" s="163">
        <v>95203</v>
      </c>
      <c r="Y35" s="164">
        <v>74.172211228321601</v>
      </c>
      <c r="Z35" s="163">
        <v>128354</v>
      </c>
    </row>
    <row r="36" spans="1:26" s="67" customFormat="1" ht="15" customHeight="1">
      <c r="A36" s="191" t="s">
        <v>208</v>
      </c>
      <c r="B36" s="165" t="s">
        <v>187</v>
      </c>
      <c r="C36" s="166" t="s">
        <v>252</v>
      </c>
      <c r="D36" s="166" t="s">
        <v>336</v>
      </c>
      <c r="E36" s="166" t="s">
        <v>240</v>
      </c>
      <c r="F36" s="120">
        <v>1</v>
      </c>
      <c r="G36" s="120">
        <v>2</v>
      </c>
      <c r="H36" s="120" t="s">
        <v>209</v>
      </c>
      <c r="I36" s="120" t="s">
        <v>211</v>
      </c>
      <c r="J36" s="120" t="s">
        <v>189</v>
      </c>
      <c r="K36" s="120">
        <v>10</v>
      </c>
      <c r="L36" s="120" t="s">
        <v>212</v>
      </c>
      <c r="M36" s="120">
        <v>2</v>
      </c>
      <c r="N36" s="120" t="s">
        <v>213</v>
      </c>
      <c r="O36" s="192">
        <v>18491</v>
      </c>
      <c r="P36" s="121">
        <v>5500000</v>
      </c>
      <c r="Q36" s="121">
        <f t="shared" si="0"/>
        <v>3960000</v>
      </c>
      <c r="R36" s="161">
        <f t="shared" si="1"/>
        <v>28285.714285714286</v>
      </c>
      <c r="S36" s="121">
        <f t="shared" si="2"/>
        <v>7920000</v>
      </c>
      <c r="T36" s="121">
        <f t="shared" si="3"/>
        <v>7920000</v>
      </c>
      <c r="U36" s="122">
        <f t="shared" si="4"/>
        <v>15840000</v>
      </c>
      <c r="V36" s="162">
        <f t="shared" si="5"/>
        <v>113142.85714285714</v>
      </c>
      <c r="W36" s="193" t="s">
        <v>182</v>
      </c>
      <c r="X36" s="163">
        <v>413770</v>
      </c>
      <c r="Y36" s="164">
        <v>322.366268289262</v>
      </c>
      <c r="Z36" s="163">
        <v>128354</v>
      </c>
    </row>
    <row r="37" spans="1:26" s="67" customFormat="1" ht="15" customHeight="1">
      <c r="A37" s="191" t="s">
        <v>208</v>
      </c>
      <c r="B37" s="165" t="s">
        <v>187</v>
      </c>
      <c r="C37" s="166" t="s">
        <v>252</v>
      </c>
      <c r="D37" s="166" t="s">
        <v>334</v>
      </c>
      <c r="E37" s="166" t="s">
        <v>241</v>
      </c>
      <c r="F37" s="120">
        <v>1</v>
      </c>
      <c r="G37" s="120">
        <v>2</v>
      </c>
      <c r="H37" s="120" t="s">
        <v>209</v>
      </c>
      <c r="I37" s="120" t="s">
        <v>211</v>
      </c>
      <c r="J37" s="120" t="s">
        <v>189</v>
      </c>
      <c r="K37" s="120">
        <v>10</v>
      </c>
      <c r="L37" s="120" t="s">
        <v>212</v>
      </c>
      <c r="M37" s="120">
        <v>2</v>
      </c>
      <c r="N37" s="120" t="s">
        <v>213</v>
      </c>
      <c r="O37" s="192">
        <v>1863</v>
      </c>
      <c r="P37" s="121">
        <v>5500000</v>
      </c>
      <c r="Q37" s="121">
        <f t="shared" si="0"/>
        <v>3960000</v>
      </c>
      <c r="R37" s="161">
        <f t="shared" si="1"/>
        <v>28285.714285714286</v>
      </c>
      <c r="S37" s="121">
        <f t="shared" si="2"/>
        <v>7920000</v>
      </c>
      <c r="T37" s="121">
        <f t="shared" si="3"/>
        <v>7920000</v>
      </c>
      <c r="U37" s="122">
        <f t="shared" si="4"/>
        <v>15840000</v>
      </c>
      <c r="V37" s="162">
        <f t="shared" si="5"/>
        <v>113142.85714285714</v>
      </c>
      <c r="W37" s="193" t="s">
        <v>182</v>
      </c>
      <c r="X37" s="163">
        <v>158904</v>
      </c>
      <c r="Y37" s="164">
        <v>123.801361858609</v>
      </c>
      <c r="Z37" s="163">
        <v>128354</v>
      </c>
    </row>
    <row r="38" spans="1:26" s="67" customFormat="1" ht="15" customHeight="1">
      <c r="A38" s="191" t="s">
        <v>208</v>
      </c>
      <c r="B38" s="165" t="s">
        <v>187</v>
      </c>
      <c r="C38" s="166" t="s">
        <v>186</v>
      </c>
      <c r="D38" s="166" t="s">
        <v>338</v>
      </c>
      <c r="E38" s="166" t="s">
        <v>196</v>
      </c>
      <c r="F38" s="120">
        <v>1</v>
      </c>
      <c r="G38" s="120">
        <v>2</v>
      </c>
      <c r="H38" s="120" t="s">
        <v>209</v>
      </c>
      <c r="I38" s="120" t="s">
        <v>211</v>
      </c>
      <c r="J38" s="120" t="s">
        <v>189</v>
      </c>
      <c r="K38" s="120">
        <v>10</v>
      </c>
      <c r="L38" s="120" t="s">
        <v>212</v>
      </c>
      <c r="M38" s="120">
        <v>2</v>
      </c>
      <c r="N38" s="120" t="s">
        <v>213</v>
      </c>
      <c r="O38" s="192">
        <v>19270</v>
      </c>
      <c r="P38" s="121">
        <v>3500000</v>
      </c>
      <c r="Q38" s="121">
        <f t="shared" si="0"/>
        <v>2520000</v>
      </c>
      <c r="R38" s="161">
        <f t="shared" si="1"/>
        <v>18000</v>
      </c>
      <c r="S38" s="121">
        <f t="shared" si="2"/>
        <v>5040000</v>
      </c>
      <c r="T38" s="121">
        <f t="shared" si="3"/>
        <v>5040000</v>
      </c>
      <c r="U38" s="122">
        <f t="shared" si="4"/>
        <v>10080000</v>
      </c>
      <c r="V38" s="162">
        <f t="shared" si="5"/>
        <v>72000</v>
      </c>
      <c r="W38" s="193" t="s">
        <v>182</v>
      </c>
      <c r="X38" s="163">
        <v>149275</v>
      </c>
      <c r="Y38" s="164">
        <v>92.882387346466302</v>
      </c>
      <c r="Z38" s="163">
        <v>160714</v>
      </c>
    </row>
    <row r="39" spans="1:26" s="67" customFormat="1" ht="15" customHeight="1">
      <c r="A39" s="191" t="s">
        <v>208</v>
      </c>
      <c r="B39" s="165" t="s">
        <v>187</v>
      </c>
      <c r="C39" s="166" t="s">
        <v>186</v>
      </c>
      <c r="D39" s="166" t="s">
        <v>339</v>
      </c>
      <c r="E39" s="166" t="s">
        <v>196</v>
      </c>
      <c r="F39" s="120">
        <v>1</v>
      </c>
      <c r="G39" s="120">
        <v>2</v>
      </c>
      <c r="H39" s="120" t="s">
        <v>209</v>
      </c>
      <c r="I39" s="120" t="s">
        <v>211</v>
      </c>
      <c r="J39" s="120" t="s">
        <v>189</v>
      </c>
      <c r="K39" s="120">
        <v>10</v>
      </c>
      <c r="L39" s="120" t="s">
        <v>212</v>
      </c>
      <c r="M39" s="120">
        <v>2</v>
      </c>
      <c r="N39" s="120" t="s">
        <v>213</v>
      </c>
      <c r="O39" s="192">
        <v>18790</v>
      </c>
      <c r="P39" s="121">
        <v>3500000</v>
      </c>
      <c r="Q39" s="121">
        <f t="shared" si="0"/>
        <v>2520000</v>
      </c>
      <c r="R39" s="161">
        <f t="shared" si="1"/>
        <v>18000</v>
      </c>
      <c r="S39" s="121">
        <f t="shared" si="2"/>
        <v>5040000</v>
      </c>
      <c r="T39" s="121">
        <f t="shared" si="3"/>
        <v>5040000</v>
      </c>
      <c r="U39" s="122">
        <f t="shared" si="4"/>
        <v>10080000</v>
      </c>
      <c r="V39" s="162">
        <f t="shared" si="5"/>
        <v>72000</v>
      </c>
      <c r="W39" s="193" t="s">
        <v>182</v>
      </c>
      <c r="X39" s="163">
        <v>156890</v>
      </c>
      <c r="Y39" s="164">
        <v>97.620617992209702</v>
      </c>
      <c r="Z39" s="163">
        <v>160714</v>
      </c>
    </row>
    <row r="40" spans="1:26" s="67" customFormat="1" ht="15" customHeight="1">
      <c r="A40" s="191" t="s">
        <v>208</v>
      </c>
      <c r="B40" s="165" t="s">
        <v>187</v>
      </c>
      <c r="C40" s="166" t="s">
        <v>186</v>
      </c>
      <c r="D40" s="166" t="s">
        <v>340</v>
      </c>
      <c r="E40" s="166" t="s">
        <v>240</v>
      </c>
      <c r="F40" s="120">
        <v>1</v>
      </c>
      <c r="G40" s="120">
        <v>2</v>
      </c>
      <c r="H40" s="120" t="s">
        <v>209</v>
      </c>
      <c r="I40" s="120" t="s">
        <v>211</v>
      </c>
      <c r="J40" s="120" t="s">
        <v>189</v>
      </c>
      <c r="K40" s="120">
        <v>10</v>
      </c>
      <c r="L40" s="120" t="s">
        <v>212</v>
      </c>
      <c r="M40" s="120">
        <v>2</v>
      </c>
      <c r="N40" s="120" t="s">
        <v>213</v>
      </c>
      <c r="O40" s="192">
        <v>18399</v>
      </c>
      <c r="P40" s="121">
        <v>3500000</v>
      </c>
      <c r="Q40" s="121">
        <f t="shared" si="0"/>
        <v>2520000</v>
      </c>
      <c r="R40" s="161">
        <f t="shared" si="1"/>
        <v>18000</v>
      </c>
      <c r="S40" s="121">
        <f t="shared" si="2"/>
        <v>5040000</v>
      </c>
      <c r="T40" s="121">
        <f t="shared" si="3"/>
        <v>5040000</v>
      </c>
      <c r="U40" s="122">
        <f t="shared" si="4"/>
        <v>10080000</v>
      </c>
      <c r="V40" s="162">
        <f t="shared" si="5"/>
        <v>72000</v>
      </c>
      <c r="W40" s="193" t="s">
        <v>182</v>
      </c>
      <c r="X40" s="163">
        <v>193419</v>
      </c>
      <c r="Y40" s="164">
        <v>120.34981395522399</v>
      </c>
      <c r="Z40" s="163">
        <v>160714</v>
      </c>
    </row>
    <row r="41" spans="1:26" s="67" customFormat="1" ht="15" customHeight="1">
      <c r="A41" s="191" t="s">
        <v>208</v>
      </c>
      <c r="B41" s="165" t="s">
        <v>187</v>
      </c>
      <c r="C41" s="166" t="s">
        <v>186</v>
      </c>
      <c r="D41" s="166" t="s">
        <v>341</v>
      </c>
      <c r="E41" s="166" t="s">
        <v>240</v>
      </c>
      <c r="F41" s="120">
        <v>1</v>
      </c>
      <c r="G41" s="120">
        <v>2</v>
      </c>
      <c r="H41" s="120" t="s">
        <v>209</v>
      </c>
      <c r="I41" s="120" t="s">
        <v>211</v>
      </c>
      <c r="J41" s="120" t="s">
        <v>189</v>
      </c>
      <c r="K41" s="120">
        <v>10</v>
      </c>
      <c r="L41" s="120" t="s">
        <v>212</v>
      </c>
      <c r="M41" s="120">
        <v>2</v>
      </c>
      <c r="N41" s="120" t="s">
        <v>213</v>
      </c>
      <c r="O41" s="192">
        <v>21514</v>
      </c>
      <c r="P41" s="121">
        <v>3500000</v>
      </c>
      <c r="Q41" s="121">
        <f t="shared" si="0"/>
        <v>2520000</v>
      </c>
      <c r="R41" s="161">
        <f t="shared" si="1"/>
        <v>18000</v>
      </c>
      <c r="S41" s="121">
        <f t="shared" si="2"/>
        <v>5040000</v>
      </c>
      <c r="T41" s="121">
        <f t="shared" si="3"/>
        <v>5040000</v>
      </c>
      <c r="U41" s="122">
        <f t="shared" si="4"/>
        <v>10080000</v>
      </c>
      <c r="V41" s="162">
        <f t="shared" si="5"/>
        <v>72000</v>
      </c>
      <c r="W41" s="193" t="s">
        <v>182</v>
      </c>
      <c r="X41" s="163">
        <v>214655</v>
      </c>
      <c r="Y41" s="164">
        <v>133.56334855706399</v>
      </c>
      <c r="Z41" s="163">
        <v>160714</v>
      </c>
    </row>
    <row r="42" spans="1:26" s="67" customFormat="1" ht="15" customHeight="1">
      <c r="A42" s="191" t="s">
        <v>208</v>
      </c>
      <c r="B42" s="165" t="s">
        <v>187</v>
      </c>
      <c r="C42" s="166" t="s">
        <v>186</v>
      </c>
      <c r="D42" s="166" t="s">
        <v>345</v>
      </c>
      <c r="E42" s="166" t="s">
        <v>240</v>
      </c>
      <c r="F42" s="120">
        <v>1</v>
      </c>
      <c r="G42" s="120">
        <v>2</v>
      </c>
      <c r="H42" s="120" t="s">
        <v>209</v>
      </c>
      <c r="I42" s="120" t="s">
        <v>211</v>
      </c>
      <c r="J42" s="120" t="s">
        <v>189</v>
      </c>
      <c r="K42" s="120">
        <v>10</v>
      </c>
      <c r="L42" s="120" t="s">
        <v>212</v>
      </c>
      <c r="M42" s="120">
        <v>2</v>
      </c>
      <c r="N42" s="120" t="s">
        <v>213</v>
      </c>
      <c r="O42" s="192">
        <v>19610</v>
      </c>
      <c r="P42" s="121">
        <v>3500000</v>
      </c>
      <c r="Q42" s="121">
        <f t="shared" si="0"/>
        <v>2520000</v>
      </c>
      <c r="R42" s="161">
        <f t="shared" si="1"/>
        <v>18000</v>
      </c>
      <c r="S42" s="121">
        <f t="shared" si="2"/>
        <v>5040000</v>
      </c>
      <c r="T42" s="121">
        <f t="shared" si="3"/>
        <v>5040000</v>
      </c>
      <c r="U42" s="122">
        <f t="shared" si="4"/>
        <v>10080000</v>
      </c>
      <c r="V42" s="162">
        <f t="shared" si="5"/>
        <v>72000</v>
      </c>
      <c r="W42" s="193" t="s">
        <v>182</v>
      </c>
      <c r="X42" s="163">
        <v>321784</v>
      </c>
      <c r="Y42" s="164">
        <v>200.22151150490899</v>
      </c>
      <c r="Z42" s="163">
        <v>160714</v>
      </c>
    </row>
    <row r="43" spans="1:26" s="67" customFormat="1" ht="15" customHeight="1">
      <c r="A43" s="191" t="s">
        <v>208</v>
      </c>
      <c r="B43" s="165" t="s">
        <v>187</v>
      </c>
      <c r="C43" s="166" t="s">
        <v>186</v>
      </c>
      <c r="D43" s="166" t="s">
        <v>346</v>
      </c>
      <c r="E43" s="166" t="s">
        <v>196</v>
      </c>
      <c r="F43" s="120">
        <v>1</v>
      </c>
      <c r="G43" s="120">
        <v>2</v>
      </c>
      <c r="H43" s="120" t="s">
        <v>209</v>
      </c>
      <c r="I43" s="120" t="s">
        <v>211</v>
      </c>
      <c r="J43" s="120" t="s">
        <v>189</v>
      </c>
      <c r="K43" s="120">
        <v>10</v>
      </c>
      <c r="L43" s="120" t="s">
        <v>212</v>
      </c>
      <c r="M43" s="120">
        <v>2</v>
      </c>
      <c r="N43" s="120" t="s">
        <v>213</v>
      </c>
      <c r="O43" s="192">
        <v>21552</v>
      </c>
      <c r="P43" s="121">
        <v>3500000</v>
      </c>
      <c r="Q43" s="121">
        <f t="shared" si="0"/>
        <v>2520000</v>
      </c>
      <c r="R43" s="161">
        <f t="shared" si="1"/>
        <v>18000</v>
      </c>
      <c r="S43" s="121">
        <f t="shared" si="2"/>
        <v>5040000</v>
      </c>
      <c r="T43" s="121">
        <f t="shared" si="3"/>
        <v>5040000</v>
      </c>
      <c r="U43" s="122">
        <f t="shared" si="4"/>
        <v>10080000</v>
      </c>
      <c r="V43" s="162">
        <f t="shared" si="5"/>
        <v>72000</v>
      </c>
      <c r="W43" s="193" t="s">
        <v>182</v>
      </c>
      <c r="X43" s="163">
        <v>326555</v>
      </c>
      <c r="Y43" s="164">
        <v>203.19013900469099</v>
      </c>
      <c r="Z43" s="163">
        <v>160714</v>
      </c>
    </row>
    <row r="44" spans="1:26" s="67" customFormat="1" ht="15" customHeight="1">
      <c r="A44" s="191" t="s">
        <v>208</v>
      </c>
      <c r="B44" s="165" t="s">
        <v>187</v>
      </c>
      <c r="C44" s="166" t="s">
        <v>186</v>
      </c>
      <c r="D44" s="166" t="s">
        <v>347</v>
      </c>
      <c r="E44" s="166" t="s">
        <v>240</v>
      </c>
      <c r="F44" s="120">
        <v>1</v>
      </c>
      <c r="G44" s="120">
        <v>2</v>
      </c>
      <c r="H44" s="120" t="s">
        <v>209</v>
      </c>
      <c r="I44" s="120" t="s">
        <v>211</v>
      </c>
      <c r="J44" s="120" t="s">
        <v>189</v>
      </c>
      <c r="K44" s="120">
        <v>10</v>
      </c>
      <c r="L44" s="120" t="s">
        <v>212</v>
      </c>
      <c r="M44" s="120">
        <v>2</v>
      </c>
      <c r="N44" s="120" t="s">
        <v>213</v>
      </c>
      <c r="O44" s="192">
        <v>1705</v>
      </c>
      <c r="P44" s="121">
        <v>3500000</v>
      </c>
      <c r="Q44" s="121">
        <f t="shared" si="0"/>
        <v>2520000</v>
      </c>
      <c r="R44" s="161">
        <f t="shared" si="1"/>
        <v>18000</v>
      </c>
      <c r="S44" s="121">
        <f t="shared" si="2"/>
        <v>5040000</v>
      </c>
      <c r="T44" s="121">
        <f t="shared" si="3"/>
        <v>5040000</v>
      </c>
      <c r="U44" s="122">
        <f t="shared" si="4"/>
        <v>10080000</v>
      </c>
      <c r="V44" s="162">
        <f t="shared" si="5"/>
        <v>72000</v>
      </c>
      <c r="W44" s="193" t="s">
        <v>182</v>
      </c>
      <c r="X44" s="163">
        <v>73491</v>
      </c>
      <c r="Y44" s="164">
        <v>45.727814627226003</v>
      </c>
      <c r="Z44" s="163">
        <v>160714</v>
      </c>
    </row>
    <row r="45" spans="1:26" s="67" customFormat="1" ht="15" customHeight="1">
      <c r="A45" s="191" t="s">
        <v>208</v>
      </c>
      <c r="B45" s="165" t="s">
        <v>187</v>
      </c>
      <c r="C45" s="166" t="s">
        <v>186</v>
      </c>
      <c r="D45" s="166" t="s">
        <v>348</v>
      </c>
      <c r="E45" s="166" t="s">
        <v>196</v>
      </c>
      <c r="F45" s="120">
        <v>1</v>
      </c>
      <c r="G45" s="120">
        <v>2</v>
      </c>
      <c r="H45" s="120" t="s">
        <v>209</v>
      </c>
      <c r="I45" s="120" t="s">
        <v>211</v>
      </c>
      <c r="J45" s="120" t="s">
        <v>189</v>
      </c>
      <c r="K45" s="120">
        <v>10</v>
      </c>
      <c r="L45" s="120" t="s">
        <v>212</v>
      </c>
      <c r="M45" s="120">
        <v>2</v>
      </c>
      <c r="N45" s="120" t="s">
        <v>213</v>
      </c>
      <c r="O45" s="192">
        <v>19596</v>
      </c>
      <c r="P45" s="121">
        <v>3500000</v>
      </c>
      <c r="Q45" s="121">
        <f t="shared" si="0"/>
        <v>2520000</v>
      </c>
      <c r="R45" s="161">
        <f t="shared" si="1"/>
        <v>18000</v>
      </c>
      <c r="S45" s="121">
        <f t="shared" si="2"/>
        <v>5040000</v>
      </c>
      <c r="T45" s="121">
        <f t="shared" si="3"/>
        <v>5040000</v>
      </c>
      <c r="U45" s="122">
        <f t="shared" si="4"/>
        <v>10080000</v>
      </c>
      <c r="V45" s="162">
        <f t="shared" si="5"/>
        <v>72000</v>
      </c>
      <c r="W45" s="193" t="s">
        <v>182</v>
      </c>
      <c r="X45" s="163">
        <v>120902</v>
      </c>
      <c r="Y45" s="164">
        <v>75.228044849857497</v>
      </c>
      <c r="Z45" s="163">
        <v>160714</v>
      </c>
    </row>
    <row r="46" spans="1:26" s="67" customFormat="1" ht="15" customHeight="1">
      <c r="A46" s="191" t="s">
        <v>208</v>
      </c>
      <c r="B46" s="165" t="s">
        <v>187</v>
      </c>
      <c r="C46" s="166" t="s">
        <v>186</v>
      </c>
      <c r="D46" s="166" t="s">
        <v>349</v>
      </c>
      <c r="E46" s="166" t="s">
        <v>268</v>
      </c>
      <c r="F46" s="120">
        <v>1</v>
      </c>
      <c r="G46" s="120">
        <v>2</v>
      </c>
      <c r="H46" s="120" t="s">
        <v>209</v>
      </c>
      <c r="I46" s="120" t="s">
        <v>211</v>
      </c>
      <c r="J46" s="120" t="s">
        <v>189</v>
      </c>
      <c r="K46" s="120">
        <v>10</v>
      </c>
      <c r="L46" s="120" t="s">
        <v>212</v>
      </c>
      <c r="M46" s="120">
        <v>2</v>
      </c>
      <c r="N46" s="120" t="s">
        <v>213</v>
      </c>
      <c r="O46" s="192">
        <v>10712</v>
      </c>
      <c r="P46" s="121">
        <v>3500000</v>
      </c>
      <c r="Q46" s="121">
        <f t="shared" si="0"/>
        <v>2520000</v>
      </c>
      <c r="R46" s="161">
        <f t="shared" si="1"/>
        <v>18000</v>
      </c>
      <c r="S46" s="121">
        <f t="shared" si="2"/>
        <v>5040000</v>
      </c>
      <c r="T46" s="121">
        <f t="shared" si="3"/>
        <v>5040000</v>
      </c>
      <c r="U46" s="122">
        <f t="shared" si="4"/>
        <v>10080000</v>
      </c>
      <c r="V46" s="162">
        <f t="shared" si="5"/>
        <v>72000</v>
      </c>
      <c r="W46" s="193" t="s">
        <v>182</v>
      </c>
      <c r="X46" s="163">
        <v>320959</v>
      </c>
      <c r="Y46" s="164">
        <v>199.70817725898101</v>
      </c>
      <c r="Z46" s="163">
        <v>160714</v>
      </c>
    </row>
    <row r="47" spans="1:26" s="67" customFormat="1" ht="15" customHeight="1">
      <c r="A47" s="191" t="s">
        <v>208</v>
      </c>
      <c r="B47" s="165" t="s">
        <v>187</v>
      </c>
      <c r="C47" s="166" t="s">
        <v>186</v>
      </c>
      <c r="D47" s="166" t="s">
        <v>350</v>
      </c>
      <c r="E47" s="166" t="s">
        <v>200</v>
      </c>
      <c r="F47" s="120">
        <v>1</v>
      </c>
      <c r="G47" s="120">
        <v>2</v>
      </c>
      <c r="H47" s="120" t="s">
        <v>209</v>
      </c>
      <c r="I47" s="120" t="s">
        <v>211</v>
      </c>
      <c r="J47" s="120" t="s">
        <v>189</v>
      </c>
      <c r="K47" s="120">
        <v>10</v>
      </c>
      <c r="L47" s="120" t="s">
        <v>212</v>
      </c>
      <c r="M47" s="120">
        <v>2</v>
      </c>
      <c r="N47" s="120" t="s">
        <v>213</v>
      </c>
      <c r="O47" s="192">
        <v>1715</v>
      </c>
      <c r="P47" s="121">
        <v>3500000</v>
      </c>
      <c r="Q47" s="121">
        <f t="shared" si="0"/>
        <v>2520000</v>
      </c>
      <c r="R47" s="161">
        <f t="shared" si="1"/>
        <v>18000</v>
      </c>
      <c r="S47" s="121">
        <f t="shared" si="2"/>
        <v>5040000</v>
      </c>
      <c r="T47" s="121">
        <f t="shared" si="3"/>
        <v>5040000</v>
      </c>
      <c r="U47" s="122">
        <f t="shared" si="4"/>
        <v>10080000</v>
      </c>
      <c r="V47" s="162">
        <f t="shared" si="5"/>
        <v>72000</v>
      </c>
      <c r="W47" s="193" t="s">
        <v>182</v>
      </c>
      <c r="X47" s="163">
        <v>439330</v>
      </c>
      <c r="Y47" s="164">
        <v>273.361374864666</v>
      </c>
      <c r="Z47" s="163">
        <v>160714</v>
      </c>
    </row>
    <row r="48" spans="1:26" s="67" customFormat="1" ht="15" customHeight="1">
      <c r="A48" s="191" t="s">
        <v>208</v>
      </c>
      <c r="B48" s="165" t="s">
        <v>187</v>
      </c>
      <c r="C48" s="166" t="s">
        <v>186</v>
      </c>
      <c r="D48" s="166" t="s">
        <v>351</v>
      </c>
      <c r="E48" s="166" t="s">
        <v>200</v>
      </c>
      <c r="F48" s="120">
        <v>1</v>
      </c>
      <c r="G48" s="120">
        <v>2</v>
      </c>
      <c r="H48" s="120" t="s">
        <v>209</v>
      </c>
      <c r="I48" s="120" t="s">
        <v>211</v>
      </c>
      <c r="J48" s="120" t="s">
        <v>189</v>
      </c>
      <c r="K48" s="120">
        <v>10</v>
      </c>
      <c r="L48" s="120" t="s">
        <v>212</v>
      </c>
      <c r="M48" s="120">
        <v>2</v>
      </c>
      <c r="N48" s="120" t="s">
        <v>213</v>
      </c>
      <c r="O48" s="192">
        <v>19591</v>
      </c>
      <c r="P48" s="121">
        <v>3500000</v>
      </c>
      <c r="Q48" s="121">
        <f t="shared" si="0"/>
        <v>2520000</v>
      </c>
      <c r="R48" s="161">
        <f t="shared" si="1"/>
        <v>18000</v>
      </c>
      <c r="S48" s="121">
        <f t="shared" si="2"/>
        <v>5040000</v>
      </c>
      <c r="T48" s="121">
        <f t="shared" si="3"/>
        <v>5040000</v>
      </c>
      <c r="U48" s="122">
        <f t="shared" si="4"/>
        <v>10080000</v>
      </c>
      <c r="V48" s="162">
        <f t="shared" si="5"/>
        <v>72000</v>
      </c>
      <c r="W48" s="193" t="s">
        <v>182</v>
      </c>
      <c r="X48" s="163">
        <v>148572</v>
      </c>
      <c r="Y48" s="164">
        <v>92.4449643466032</v>
      </c>
      <c r="Z48" s="163">
        <v>160714</v>
      </c>
    </row>
    <row r="49" spans="1:26" s="67" customFormat="1" ht="15" customHeight="1">
      <c r="A49" s="191" t="s">
        <v>208</v>
      </c>
      <c r="B49" s="165" t="s">
        <v>187</v>
      </c>
      <c r="C49" s="166" t="s">
        <v>186</v>
      </c>
      <c r="D49" s="166" t="s">
        <v>352</v>
      </c>
      <c r="E49" s="166" t="s">
        <v>196</v>
      </c>
      <c r="F49" s="120">
        <v>1</v>
      </c>
      <c r="G49" s="120">
        <v>2</v>
      </c>
      <c r="H49" s="120" t="s">
        <v>209</v>
      </c>
      <c r="I49" s="120" t="s">
        <v>211</v>
      </c>
      <c r="J49" s="120" t="s">
        <v>189</v>
      </c>
      <c r="K49" s="120">
        <v>10</v>
      </c>
      <c r="L49" s="120" t="s">
        <v>212</v>
      </c>
      <c r="M49" s="120">
        <v>2</v>
      </c>
      <c r="N49" s="120" t="s">
        <v>213</v>
      </c>
      <c r="O49" s="192">
        <v>18792</v>
      </c>
      <c r="P49" s="121">
        <v>8500000</v>
      </c>
      <c r="Q49" s="121">
        <f t="shared" si="0"/>
        <v>6120000</v>
      </c>
      <c r="R49" s="161">
        <f t="shared" si="1"/>
        <v>43714.285714285717</v>
      </c>
      <c r="S49" s="121">
        <f t="shared" si="2"/>
        <v>12240000</v>
      </c>
      <c r="T49" s="121">
        <f t="shared" si="3"/>
        <v>12240000</v>
      </c>
      <c r="U49" s="122">
        <f t="shared" si="4"/>
        <v>24480000</v>
      </c>
      <c r="V49" s="162">
        <f t="shared" si="5"/>
        <v>174857.14285714287</v>
      </c>
      <c r="W49" s="193" t="s">
        <v>182</v>
      </c>
      <c r="X49" s="163">
        <v>279466</v>
      </c>
      <c r="Y49" s="164">
        <v>173.890264693803</v>
      </c>
      <c r="Z49" s="163">
        <v>160714</v>
      </c>
    </row>
    <row r="50" spans="1:26" s="67" customFormat="1" ht="15" customHeight="1">
      <c r="A50" s="191" t="s">
        <v>208</v>
      </c>
      <c r="B50" s="165" t="s">
        <v>187</v>
      </c>
      <c r="C50" s="166" t="s">
        <v>186</v>
      </c>
      <c r="D50" s="166" t="s">
        <v>342</v>
      </c>
      <c r="E50" s="166" t="s">
        <v>194</v>
      </c>
      <c r="F50" s="120">
        <v>1</v>
      </c>
      <c r="G50" s="120">
        <v>2</v>
      </c>
      <c r="H50" s="120" t="s">
        <v>209</v>
      </c>
      <c r="I50" s="120" t="s">
        <v>211</v>
      </c>
      <c r="J50" s="120" t="s">
        <v>189</v>
      </c>
      <c r="K50" s="120">
        <v>10</v>
      </c>
      <c r="L50" s="120" t="s">
        <v>212</v>
      </c>
      <c r="M50" s="120">
        <v>2</v>
      </c>
      <c r="N50" s="120" t="s">
        <v>213</v>
      </c>
      <c r="O50" s="192"/>
      <c r="P50" s="121">
        <v>8500000</v>
      </c>
      <c r="Q50" s="121">
        <f t="shared" si="0"/>
        <v>6120000</v>
      </c>
      <c r="R50" s="161">
        <f t="shared" si="1"/>
        <v>43714.285714285717</v>
      </c>
      <c r="S50" s="121">
        <f t="shared" si="2"/>
        <v>12240000</v>
      </c>
      <c r="T50" s="121">
        <f t="shared" si="3"/>
        <v>12240000</v>
      </c>
      <c r="U50" s="122">
        <f t="shared" si="4"/>
        <v>24480000</v>
      </c>
      <c r="V50" s="162">
        <f t="shared" si="5"/>
        <v>174857.14285714287</v>
      </c>
      <c r="W50" s="193" t="s">
        <v>182</v>
      </c>
      <c r="X50" s="163">
        <v>642568</v>
      </c>
      <c r="Y50" s="164">
        <v>399.82079968142102</v>
      </c>
      <c r="Z50" s="163">
        <v>160714</v>
      </c>
    </row>
    <row r="51" spans="1:26" s="67" customFormat="1" ht="15" customHeight="1">
      <c r="A51" s="191" t="s">
        <v>208</v>
      </c>
      <c r="B51" s="165" t="s">
        <v>187</v>
      </c>
      <c r="C51" s="166" t="s">
        <v>186</v>
      </c>
      <c r="D51" s="166" t="s">
        <v>343</v>
      </c>
      <c r="E51" s="166" t="s">
        <v>344</v>
      </c>
      <c r="F51" s="120">
        <v>1</v>
      </c>
      <c r="G51" s="120">
        <v>2</v>
      </c>
      <c r="H51" s="120" t="s">
        <v>209</v>
      </c>
      <c r="I51" s="120" t="s">
        <v>211</v>
      </c>
      <c r="J51" s="120" t="s">
        <v>189</v>
      </c>
      <c r="K51" s="120">
        <v>10</v>
      </c>
      <c r="L51" s="120" t="s">
        <v>212</v>
      </c>
      <c r="M51" s="120">
        <v>2</v>
      </c>
      <c r="N51" s="120" t="s">
        <v>213</v>
      </c>
      <c r="O51" s="192">
        <v>19506</v>
      </c>
      <c r="P51" s="121">
        <v>8500000</v>
      </c>
      <c r="Q51" s="121">
        <f t="shared" si="0"/>
        <v>6120000</v>
      </c>
      <c r="R51" s="161">
        <f t="shared" si="1"/>
        <v>43714.285714285717</v>
      </c>
      <c r="S51" s="121">
        <f t="shared" si="2"/>
        <v>12240000</v>
      </c>
      <c r="T51" s="121">
        <f t="shared" si="3"/>
        <v>12240000</v>
      </c>
      <c r="U51" s="122">
        <f t="shared" si="4"/>
        <v>24480000</v>
      </c>
      <c r="V51" s="162">
        <f t="shared" si="5"/>
        <v>174857.14285714287</v>
      </c>
      <c r="W51" s="193" t="s">
        <v>182</v>
      </c>
      <c r="X51" s="163">
        <v>330293</v>
      </c>
      <c r="Y51" s="164">
        <v>205.516009806239</v>
      </c>
      <c r="Z51" s="163">
        <v>160714</v>
      </c>
    </row>
    <row r="52" spans="1:26" s="67" customFormat="1" ht="15" customHeight="1">
      <c r="A52" s="191" t="s">
        <v>208</v>
      </c>
      <c r="B52" s="165" t="s">
        <v>187</v>
      </c>
      <c r="C52" s="166" t="s">
        <v>186</v>
      </c>
      <c r="D52" s="166" t="s">
        <v>459</v>
      </c>
      <c r="E52" s="166" t="s">
        <v>460</v>
      </c>
      <c r="F52" s="120">
        <v>1</v>
      </c>
      <c r="G52" s="120">
        <v>2</v>
      </c>
      <c r="H52" s="120" t="s">
        <v>209</v>
      </c>
      <c r="I52" s="120" t="s">
        <v>211</v>
      </c>
      <c r="J52" s="120" t="s">
        <v>189</v>
      </c>
      <c r="K52" s="120">
        <v>10</v>
      </c>
      <c r="L52" s="120" t="s">
        <v>212</v>
      </c>
      <c r="M52" s="120">
        <v>2</v>
      </c>
      <c r="N52" s="120" t="s">
        <v>213</v>
      </c>
      <c r="O52" s="192"/>
      <c r="P52" s="121">
        <v>3500000</v>
      </c>
      <c r="Q52" s="121">
        <f t="shared" si="0"/>
        <v>2520000</v>
      </c>
      <c r="R52" s="161">
        <f t="shared" si="1"/>
        <v>18000</v>
      </c>
      <c r="S52" s="121">
        <f t="shared" si="2"/>
        <v>5040000</v>
      </c>
      <c r="T52" s="121">
        <f t="shared" si="3"/>
        <v>5040000</v>
      </c>
      <c r="U52" s="122">
        <f t="shared" si="4"/>
        <v>10080000</v>
      </c>
      <c r="V52" s="162">
        <f t="shared" si="5"/>
        <v>72000</v>
      </c>
      <c r="W52" s="193" t="s">
        <v>182</v>
      </c>
      <c r="X52" s="163">
        <v>553273</v>
      </c>
      <c r="Y52" s="164">
        <v>344.25936757220899</v>
      </c>
      <c r="Z52" s="163">
        <v>160714</v>
      </c>
    </row>
    <row r="53" spans="1:26" s="67" customFormat="1" ht="15" customHeight="1">
      <c r="A53" s="191" t="s">
        <v>208</v>
      </c>
      <c r="B53" s="165" t="s">
        <v>187</v>
      </c>
      <c r="C53" s="166" t="s">
        <v>250</v>
      </c>
      <c r="D53" s="166" t="s">
        <v>353</v>
      </c>
      <c r="E53" s="166" t="s">
        <v>240</v>
      </c>
      <c r="F53" s="120">
        <v>1</v>
      </c>
      <c r="G53" s="120">
        <v>2</v>
      </c>
      <c r="H53" s="120" t="s">
        <v>209</v>
      </c>
      <c r="I53" s="120" t="s">
        <v>211</v>
      </c>
      <c r="J53" s="120" t="s">
        <v>189</v>
      </c>
      <c r="K53" s="120">
        <v>10</v>
      </c>
      <c r="L53" s="120" t="s">
        <v>212</v>
      </c>
      <c r="M53" s="120">
        <v>2</v>
      </c>
      <c r="N53" s="120" t="s">
        <v>213</v>
      </c>
      <c r="O53" s="192">
        <v>1749</v>
      </c>
      <c r="P53" s="121">
        <v>3500000</v>
      </c>
      <c r="Q53" s="121">
        <f t="shared" si="0"/>
        <v>2520000</v>
      </c>
      <c r="R53" s="161">
        <f t="shared" si="1"/>
        <v>18000</v>
      </c>
      <c r="S53" s="121">
        <f t="shared" si="2"/>
        <v>5040000</v>
      </c>
      <c r="T53" s="121">
        <f t="shared" si="3"/>
        <v>5040000</v>
      </c>
      <c r="U53" s="122">
        <f t="shared" si="4"/>
        <v>10080000</v>
      </c>
      <c r="V53" s="162">
        <f t="shared" si="5"/>
        <v>72000</v>
      </c>
      <c r="W53" s="193" t="s">
        <v>182</v>
      </c>
      <c r="X53" s="163">
        <v>162834</v>
      </c>
      <c r="Y53" s="164">
        <v>196.61430348108499</v>
      </c>
      <c r="Z53" s="163">
        <v>82819</v>
      </c>
    </row>
    <row r="54" spans="1:26" s="67" customFormat="1" ht="15" customHeight="1">
      <c r="A54" s="191" t="s">
        <v>208</v>
      </c>
      <c r="B54" s="165" t="s">
        <v>187</v>
      </c>
      <c r="C54" s="166" t="s">
        <v>250</v>
      </c>
      <c r="D54" s="166" t="s">
        <v>291</v>
      </c>
      <c r="E54" s="166" t="s">
        <v>200</v>
      </c>
      <c r="F54" s="120">
        <v>1</v>
      </c>
      <c r="G54" s="120">
        <v>2</v>
      </c>
      <c r="H54" s="120" t="s">
        <v>209</v>
      </c>
      <c r="I54" s="120" t="s">
        <v>211</v>
      </c>
      <c r="J54" s="120" t="s">
        <v>189</v>
      </c>
      <c r="K54" s="120">
        <v>10</v>
      </c>
      <c r="L54" s="120" t="s">
        <v>212</v>
      </c>
      <c r="M54" s="120">
        <v>2</v>
      </c>
      <c r="N54" s="120" t="s">
        <v>213</v>
      </c>
      <c r="O54" s="192">
        <v>1738</v>
      </c>
      <c r="P54" s="121">
        <v>3500000</v>
      </c>
      <c r="Q54" s="121">
        <f t="shared" si="0"/>
        <v>2520000</v>
      </c>
      <c r="R54" s="161">
        <f t="shared" si="1"/>
        <v>18000</v>
      </c>
      <c r="S54" s="121">
        <f t="shared" si="2"/>
        <v>5040000</v>
      </c>
      <c r="T54" s="121">
        <f t="shared" si="3"/>
        <v>5040000</v>
      </c>
      <c r="U54" s="122">
        <f t="shared" si="4"/>
        <v>10080000</v>
      </c>
      <c r="V54" s="162">
        <f t="shared" si="5"/>
        <v>72000</v>
      </c>
      <c r="W54" s="193" t="s">
        <v>182</v>
      </c>
      <c r="X54" s="163">
        <v>95372</v>
      </c>
      <c r="Y54" s="164">
        <v>115.157149929364</v>
      </c>
      <c r="Z54" s="163">
        <v>82819</v>
      </c>
    </row>
    <row r="55" spans="1:26" s="67" customFormat="1" ht="15" customHeight="1">
      <c r="A55" s="191" t="s">
        <v>208</v>
      </c>
      <c r="B55" s="165" t="s">
        <v>187</v>
      </c>
      <c r="C55" s="166" t="s">
        <v>250</v>
      </c>
      <c r="D55" s="166" t="s">
        <v>354</v>
      </c>
      <c r="E55" s="166" t="s">
        <v>200</v>
      </c>
      <c r="F55" s="120">
        <v>1</v>
      </c>
      <c r="G55" s="120">
        <v>2</v>
      </c>
      <c r="H55" s="120" t="s">
        <v>209</v>
      </c>
      <c r="I55" s="120" t="s">
        <v>211</v>
      </c>
      <c r="J55" s="120" t="s">
        <v>189</v>
      </c>
      <c r="K55" s="120">
        <v>10</v>
      </c>
      <c r="L55" s="120" t="s">
        <v>212</v>
      </c>
      <c r="M55" s="120">
        <v>2</v>
      </c>
      <c r="N55" s="120" t="s">
        <v>213</v>
      </c>
      <c r="O55" s="192">
        <v>19614</v>
      </c>
      <c r="P55" s="121">
        <v>3500000</v>
      </c>
      <c r="Q55" s="121">
        <f t="shared" si="0"/>
        <v>2520000</v>
      </c>
      <c r="R55" s="161">
        <f t="shared" si="1"/>
        <v>18000</v>
      </c>
      <c r="S55" s="121">
        <f t="shared" si="2"/>
        <v>5040000</v>
      </c>
      <c r="T55" s="121">
        <f t="shared" si="3"/>
        <v>5040000</v>
      </c>
      <c r="U55" s="122">
        <f t="shared" si="4"/>
        <v>10080000</v>
      </c>
      <c r="V55" s="162">
        <f t="shared" si="5"/>
        <v>72000</v>
      </c>
      <c r="W55" s="193" t="s">
        <v>182</v>
      </c>
      <c r="X55" s="163">
        <v>95209</v>
      </c>
      <c r="Y55" s="164">
        <v>114.960335188785</v>
      </c>
      <c r="Z55" s="163">
        <v>82819</v>
      </c>
    </row>
    <row r="56" spans="1:26" s="67" customFormat="1" ht="15" customHeight="1">
      <c r="A56" s="191" t="s">
        <v>208</v>
      </c>
      <c r="B56" s="165" t="s">
        <v>187</v>
      </c>
      <c r="C56" s="166" t="s">
        <v>250</v>
      </c>
      <c r="D56" s="166" t="s">
        <v>355</v>
      </c>
      <c r="E56" s="166" t="s">
        <v>240</v>
      </c>
      <c r="F56" s="120">
        <v>1</v>
      </c>
      <c r="G56" s="120">
        <v>2</v>
      </c>
      <c r="H56" s="120" t="s">
        <v>209</v>
      </c>
      <c r="I56" s="120" t="s">
        <v>211</v>
      </c>
      <c r="J56" s="120" t="s">
        <v>189</v>
      </c>
      <c r="K56" s="120">
        <v>10</v>
      </c>
      <c r="L56" s="120" t="s">
        <v>212</v>
      </c>
      <c r="M56" s="120">
        <v>2</v>
      </c>
      <c r="N56" s="120" t="s">
        <v>213</v>
      </c>
      <c r="O56" s="192">
        <v>19805</v>
      </c>
      <c r="P56" s="121">
        <v>3500000</v>
      </c>
      <c r="Q56" s="121">
        <f t="shared" si="0"/>
        <v>2520000</v>
      </c>
      <c r="R56" s="161">
        <f t="shared" si="1"/>
        <v>18000</v>
      </c>
      <c r="S56" s="121">
        <f t="shared" si="2"/>
        <v>5040000</v>
      </c>
      <c r="T56" s="121">
        <f t="shared" si="3"/>
        <v>5040000</v>
      </c>
      <c r="U56" s="122">
        <f t="shared" si="4"/>
        <v>10080000</v>
      </c>
      <c r="V56" s="162">
        <f t="shared" si="5"/>
        <v>72000</v>
      </c>
      <c r="W56" s="193" t="s">
        <v>182</v>
      </c>
      <c r="X56" s="163">
        <v>127285</v>
      </c>
      <c r="Y56" s="164">
        <v>153.69057824895199</v>
      </c>
      <c r="Z56" s="163">
        <v>82819</v>
      </c>
    </row>
    <row r="57" spans="1:26" s="67" customFormat="1" ht="15" customHeight="1">
      <c r="A57" s="191" t="s">
        <v>208</v>
      </c>
      <c r="B57" s="165" t="s">
        <v>187</v>
      </c>
      <c r="C57" s="166" t="s">
        <v>250</v>
      </c>
      <c r="D57" s="166" t="s">
        <v>290</v>
      </c>
      <c r="E57" s="166" t="s">
        <v>196</v>
      </c>
      <c r="F57" s="120">
        <v>1</v>
      </c>
      <c r="G57" s="120">
        <v>2</v>
      </c>
      <c r="H57" s="120" t="s">
        <v>209</v>
      </c>
      <c r="I57" s="120" t="s">
        <v>211</v>
      </c>
      <c r="J57" s="120" t="s">
        <v>189</v>
      </c>
      <c r="K57" s="120">
        <v>10</v>
      </c>
      <c r="L57" s="120" t="s">
        <v>212</v>
      </c>
      <c r="M57" s="120">
        <v>2</v>
      </c>
      <c r="N57" s="120" t="s">
        <v>213</v>
      </c>
      <c r="O57" s="192">
        <v>18487</v>
      </c>
      <c r="P57" s="121">
        <v>3500000</v>
      </c>
      <c r="Q57" s="121">
        <f t="shared" si="0"/>
        <v>2520000</v>
      </c>
      <c r="R57" s="161">
        <f t="shared" ref="R57:R96" si="6">Q57/140</f>
        <v>18000</v>
      </c>
      <c r="S57" s="121">
        <f t="shared" ref="S57:S96" si="7">Q57*M57</f>
        <v>5040000</v>
      </c>
      <c r="T57" s="121">
        <f t="shared" ref="T57:T65" si="8">Q57*M57</f>
        <v>5040000</v>
      </c>
      <c r="U57" s="122">
        <f t="shared" ref="U57:U96" si="9">S57+T57</f>
        <v>10080000</v>
      </c>
      <c r="V57" s="162">
        <f t="shared" ref="V57:V96" si="10">U57/140</f>
        <v>72000</v>
      </c>
      <c r="W57" s="193" t="s">
        <v>182</v>
      </c>
      <c r="X57" s="163">
        <v>93333</v>
      </c>
      <c r="Y57" s="164">
        <v>112.69515449353401</v>
      </c>
      <c r="Z57" s="163">
        <v>82819</v>
      </c>
    </row>
    <row r="58" spans="1:26" s="67" customFormat="1" ht="15" customHeight="1">
      <c r="A58" s="191" t="s">
        <v>208</v>
      </c>
      <c r="B58" s="165" t="s">
        <v>187</v>
      </c>
      <c r="C58" s="166" t="s">
        <v>250</v>
      </c>
      <c r="D58" s="166" t="s">
        <v>356</v>
      </c>
      <c r="E58" s="166" t="s">
        <v>200</v>
      </c>
      <c r="F58" s="120">
        <v>1</v>
      </c>
      <c r="G58" s="120">
        <v>2</v>
      </c>
      <c r="H58" s="120" t="s">
        <v>209</v>
      </c>
      <c r="I58" s="120" t="s">
        <v>211</v>
      </c>
      <c r="J58" s="120" t="s">
        <v>189</v>
      </c>
      <c r="K58" s="120">
        <v>10</v>
      </c>
      <c r="L58" s="120" t="s">
        <v>212</v>
      </c>
      <c r="M58" s="120">
        <v>2</v>
      </c>
      <c r="N58" s="120" t="s">
        <v>213</v>
      </c>
      <c r="O58" s="192">
        <v>19593</v>
      </c>
      <c r="P58" s="121">
        <v>3500000</v>
      </c>
      <c r="Q58" s="121">
        <f t="shared" si="0"/>
        <v>2520000</v>
      </c>
      <c r="R58" s="161">
        <f t="shared" si="6"/>
        <v>18000</v>
      </c>
      <c r="S58" s="121">
        <f t="shared" si="7"/>
        <v>5040000</v>
      </c>
      <c r="T58" s="121">
        <f t="shared" si="8"/>
        <v>5040000</v>
      </c>
      <c r="U58" s="122">
        <f t="shared" si="9"/>
        <v>10080000</v>
      </c>
      <c r="V58" s="162">
        <f t="shared" si="10"/>
        <v>72000</v>
      </c>
      <c r="W58" s="193" t="s">
        <v>182</v>
      </c>
      <c r="X58" s="163">
        <v>129619</v>
      </c>
      <c r="Y58" s="164">
        <v>156.508772141658</v>
      </c>
      <c r="Z58" s="163">
        <v>82819</v>
      </c>
    </row>
    <row r="59" spans="1:26" s="67" customFormat="1" ht="15" customHeight="1">
      <c r="A59" s="191" t="s">
        <v>208</v>
      </c>
      <c r="B59" s="165" t="s">
        <v>187</v>
      </c>
      <c r="C59" s="166" t="s">
        <v>250</v>
      </c>
      <c r="D59" s="166" t="s">
        <v>357</v>
      </c>
      <c r="E59" s="166" t="s">
        <v>196</v>
      </c>
      <c r="F59" s="120">
        <v>1</v>
      </c>
      <c r="G59" s="120">
        <v>2</v>
      </c>
      <c r="H59" s="120" t="s">
        <v>209</v>
      </c>
      <c r="I59" s="120" t="s">
        <v>211</v>
      </c>
      <c r="J59" s="120" t="s">
        <v>189</v>
      </c>
      <c r="K59" s="120">
        <v>10</v>
      </c>
      <c r="L59" s="120" t="s">
        <v>212</v>
      </c>
      <c r="M59" s="120">
        <v>2</v>
      </c>
      <c r="N59" s="120" t="s">
        <v>213</v>
      </c>
      <c r="O59" s="192">
        <v>10320</v>
      </c>
      <c r="P59" s="121">
        <v>3500000</v>
      </c>
      <c r="Q59" s="121">
        <f t="shared" si="0"/>
        <v>2520000</v>
      </c>
      <c r="R59" s="161">
        <f t="shared" si="6"/>
        <v>18000</v>
      </c>
      <c r="S59" s="121">
        <f t="shared" si="7"/>
        <v>5040000</v>
      </c>
      <c r="T59" s="121">
        <f t="shared" si="8"/>
        <v>5040000</v>
      </c>
      <c r="U59" s="122">
        <f t="shared" si="9"/>
        <v>10080000</v>
      </c>
      <c r="V59" s="162">
        <f t="shared" si="10"/>
        <v>72000</v>
      </c>
      <c r="W59" s="193" t="s">
        <v>182</v>
      </c>
      <c r="X59" s="163">
        <v>60851</v>
      </c>
      <c r="Y59" s="164">
        <v>73.474685760513793</v>
      </c>
      <c r="Z59" s="163">
        <v>82819</v>
      </c>
    </row>
    <row r="60" spans="1:26" s="67" customFormat="1" ht="15" customHeight="1">
      <c r="A60" s="191" t="s">
        <v>208</v>
      </c>
      <c r="B60" s="165" t="s">
        <v>187</v>
      </c>
      <c r="C60" s="166" t="s">
        <v>250</v>
      </c>
      <c r="D60" s="166" t="s">
        <v>358</v>
      </c>
      <c r="E60" s="166" t="s">
        <v>196</v>
      </c>
      <c r="F60" s="120">
        <v>1</v>
      </c>
      <c r="G60" s="120">
        <v>2</v>
      </c>
      <c r="H60" s="120" t="s">
        <v>209</v>
      </c>
      <c r="I60" s="120" t="s">
        <v>211</v>
      </c>
      <c r="J60" s="120" t="s">
        <v>189</v>
      </c>
      <c r="K60" s="120">
        <v>10</v>
      </c>
      <c r="L60" s="120" t="s">
        <v>212</v>
      </c>
      <c r="M60" s="120">
        <v>2</v>
      </c>
      <c r="N60" s="120" t="s">
        <v>213</v>
      </c>
      <c r="O60" s="192">
        <v>1761</v>
      </c>
      <c r="P60" s="121">
        <v>3500000</v>
      </c>
      <c r="Q60" s="121">
        <f t="shared" si="0"/>
        <v>2520000</v>
      </c>
      <c r="R60" s="161">
        <f t="shared" si="6"/>
        <v>18000</v>
      </c>
      <c r="S60" s="121">
        <f t="shared" si="7"/>
        <v>5040000</v>
      </c>
      <c r="T60" s="121">
        <f t="shared" si="8"/>
        <v>5040000</v>
      </c>
      <c r="U60" s="122">
        <f t="shared" si="9"/>
        <v>10080000</v>
      </c>
      <c r="V60" s="162">
        <f t="shared" si="10"/>
        <v>72000</v>
      </c>
      <c r="W60" s="193" t="s">
        <v>182</v>
      </c>
      <c r="X60" s="163">
        <v>127156</v>
      </c>
      <c r="Y60" s="164">
        <v>153.534816889844</v>
      </c>
      <c r="Z60" s="163">
        <v>82819</v>
      </c>
    </row>
    <row r="61" spans="1:26" s="67" customFormat="1" ht="15" customHeight="1">
      <c r="A61" s="191" t="s">
        <v>208</v>
      </c>
      <c r="B61" s="165" t="s">
        <v>187</v>
      </c>
      <c r="C61" s="166" t="s">
        <v>250</v>
      </c>
      <c r="D61" s="166" t="s">
        <v>359</v>
      </c>
      <c r="E61" s="166" t="s">
        <v>196</v>
      </c>
      <c r="F61" s="120">
        <v>1</v>
      </c>
      <c r="G61" s="120">
        <v>2</v>
      </c>
      <c r="H61" s="120" t="s">
        <v>209</v>
      </c>
      <c r="I61" s="120" t="s">
        <v>211</v>
      </c>
      <c r="J61" s="120" t="s">
        <v>189</v>
      </c>
      <c r="K61" s="120">
        <v>10</v>
      </c>
      <c r="L61" s="120" t="s">
        <v>212</v>
      </c>
      <c r="M61" s="120">
        <v>2</v>
      </c>
      <c r="N61" s="120" t="s">
        <v>213</v>
      </c>
      <c r="O61" s="192">
        <v>1764</v>
      </c>
      <c r="P61" s="121">
        <v>3500000</v>
      </c>
      <c r="Q61" s="121">
        <f t="shared" si="0"/>
        <v>2520000</v>
      </c>
      <c r="R61" s="161">
        <f t="shared" si="6"/>
        <v>18000</v>
      </c>
      <c r="S61" s="121">
        <f t="shared" si="7"/>
        <v>5040000</v>
      </c>
      <c r="T61" s="121">
        <f t="shared" si="8"/>
        <v>5040000</v>
      </c>
      <c r="U61" s="122">
        <f t="shared" si="9"/>
        <v>10080000</v>
      </c>
      <c r="V61" s="162">
        <f t="shared" si="10"/>
        <v>72000</v>
      </c>
      <c r="W61" s="193" t="s">
        <v>182</v>
      </c>
      <c r="X61" s="163">
        <v>60870</v>
      </c>
      <c r="Y61" s="164">
        <v>73.497627356041406</v>
      </c>
      <c r="Z61" s="163">
        <v>82819</v>
      </c>
    </row>
    <row r="62" spans="1:26" s="67" customFormat="1" ht="15" customHeight="1">
      <c r="A62" s="191" t="s">
        <v>208</v>
      </c>
      <c r="B62" s="165" t="s">
        <v>187</v>
      </c>
      <c r="C62" s="166" t="s">
        <v>250</v>
      </c>
      <c r="D62" s="166" t="s">
        <v>461</v>
      </c>
      <c r="E62" s="166" t="s">
        <v>200</v>
      </c>
      <c r="F62" s="120">
        <v>1</v>
      </c>
      <c r="G62" s="120">
        <v>2</v>
      </c>
      <c r="H62" s="120" t="s">
        <v>209</v>
      </c>
      <c r="I62" s="120" t="s">
        <v>211</v>
      </c>
      <c r="J62" s="120" t="s">
        <v>189</v>
      </c>
      <c r="K62" s="120">
        <v>10</v>
      </c>
      <c r="L62" s="120" t="s">
        <v>212</v>
      </c>
      <c r="M62" s="120">
        <v>2</v>
      </c>
      <c r="N62" s="120" t="s">
        <v>213</v>
      </c>
      <c r="O62" s="192"/>
      <c r="P62" s="121">
        <v>3500000</v>
      </c>
      <c r="Q62" s="121">
        <f t="shared" si="0"/>
        <v>2520000</v>
      </c>
      <c r="R62" s="161">
        <f t="shared" si="6"/>
        <v>18000</v>
      </c>
      <c r="S62" s="121">
        <f t="shared" si="7"/>
        <v>5040000</v>
      </c>
      <c r="T62" s="121">
        <f t="shared" si="8"/>
        <v>5040000</v>
      </c>
      <c r="U62" s="122">
        <f t="shared" si="9"/>
        <v>10080000</v>
      </c>
      <c r="V62" s="162">
        <f t="shared" si="10"/>
        <v>72000</v>
      </c>
      <c r="W62" s="193" t="s">
        <v>182</v>
      </c>
      <c r="X62" s="163">
        <v>128805</v>
      </c>
      <c r="Y62" s="164">
        <v>155.52590589115999</v>
      </c>
      <c r="Z62" s="163">
        <v>82819</v>
      </c>
    </row>
    <row r="63" spans="1:26" s="67" customFormat="1" ht="15" customHeight="1">
      <c r="A63" s="191" t="s">
        <v>208</v>
      </c>
      <c r="B63" s="165" t="s">
        <v>187</v>
      </c>
      <c r="C63" s="166" t="s">
        <v>244</v>
      </c>
      <c r="D63" s="166" t="s">
        <v>360</v>
      </c>
      <c r="E63" s="166" t="s">
        <v>200</v>
      </c>
      <c r="F63" s="120">
        <v>1</v>
      </c>
      <c r="G63" s="120">
        <v>2</v>
      </c>
      <c r="H63" s="120" t="s">
        <v>209</v>
      </c>
      <c r="I63" s="120" t="s">
        <v>211</v>
      </c>
      <c r="J63" s="120" t="s">
        <v>189</v>
      </c>
      <c r="K63" s="120">
        <v>10</v>
      </c>
      <c r="L63" s="120" t="s">
        <v>212</v>
      </c>
      <c r="M63" s="120">
        <v>2</v>
      </c>
      <c r="N63" s="120" t="s">
        <v>213</v>
      </c>
      <c r="O63" s="192">
        <v>111826</v>
      </c>
      <c r="P63" s="121">
        <v>3500000</v>
      </c>
      <c r="Q63" s="121">
        <f t="shared" si="0"/>
        <v>2520000</v>
      </c>
      <c r="R63" s="161">
        <f t="shared" si="6"/>
        <v>18000</v>
      </c>
      <c r="S63" s="121">
        <f t="shared" si="7"/>
        <v>5040000</v>
      </c>
      <c r="T63" s="121">
        <f t="shared" si="8"/>
        <v>5040000</v>
      </c>
      <c r="U63" s="122">
        <f t="shared" si="9"/>
        <v>10080000</v>
      </c>
      <c r="V63" s="162">
        <f t="shared" si="10"/>
        <v>72000</v>
      </c>
      <c r="W63" s="193" t="s">
        <v>182</v>
      </c>
      <c r="X63" s="163">
        <v>99330</v>
      </c>
      <c r="Y63" s="164">
        <v>132.15102974828301</v>
      </c>
      <c r="Z63" s="163">
        <v>75164</v>
      </c>
    </row>
    <row r="64" spans="1:26" s="67" customFormat="1" ht="15" customHeight="1">
      <c r="A64" s="191" t="s">
        <v>208</v>
      </c>
      <c r="B64" s="165" t="s">
        <v>187</v>
      </c>
      <c r="C64" s="166" t="s">
        <v>244</v>
      </c>
      <c r="D64" s="166" t="s">
        <v>361</v>
      </c>
      <c r="E64" s="166" t="s">
        <v>200</v>
      </c>
      <c r="F64" s="120">
        <v>1</v>
      </c>
      <c r="G64" s="120">
        <v>2</v>
      </c>
      <c r="H64" s="120" t="s">
        <v>209</v>
      </c>
      <c r="I64" s="120" t="s">
        <v>211</v>
      </c>
      <c r="J64" s="120" t="s">
        <v>189</v>
      </c>
      <c r="K64" s="120">
        <v>10</v>
      </c>
      <c r="L64" s="120" t="s">
        <v>212</v>
      </c>
      <c r="M64" s="120">
        <v>2</v>
      </c>
      <c r="N64" s="120" t="s">
        <v>213</v>
      </c>
      <c r="O64" s="192">
        <v>19611</v>
      </c>
      <c r="P64" s="121">
        <v>3500000</v>
      </c>
      <c r="Q64" s="121">
        <f t="shared" ref="Q64:Q66" si="11">P64*(1-28%)</f>
        <v>2520000</v>
      </c>
      <c r="R64" s="161">
        <f t="shared" si="6"/>
        <v>18000</v>
      </c>
      <c r="S64" s="121">
        <f t="shared" si="7"/>
        <v>5040000</v>
      </c>
      <c r="T64" s="121">
        <f t="shared" si="8"/>
        <v>5040000</v>
      </c>
      <c r="U64" s="122">
        <f t="shared" si="9"/>
        <v>10080000</v>
      </c>
      <c r="V64" s="162">
        <f t="shared" si="10"/>
        <v>72000</v>
      </c>
      <c r="W64" s="193" t="s">
        <v>182</v>
      </c>
      <c r="X64" s="163">
        <v>119479</v>
      </c>
      <c r="Y64" s="164">
        <v>158.957745729338</v>
      </c>
      <c r="Z64" s="163">
        <v>75164</v>
      </c>
    </row>
    <row r="65" spans="1:26" s="67" customFormat="1" ht="15" customHeight="1">
      <c r="A65" s="191" t="s">
        <v>208</v>
      </c>
      <c r="B65" s="165" t="s">
        <v>187</v>
      </c>
      <c r="C65" s="166" t="s">
        <v>244</v>
      </c>
      <c r="D65" s="166" t="s">
        <v>362</v>
      </c>
      <c r="E65" s="166" t="s">
        <v>268</v>
      </c>
      <c r="F65" s="120">
        <v>1</v>
      </c>
      <c r="G65" s="120">
        <v>2</v>
      </c>
      <c r="H65" s="120" t="s">
        <v>209</v>
      </c>
      <c r="I65" s="120" t="s">
        <v>211</v>
      </c>
      <c r="J65" s="120" t="s">
        <v>189</v>
      </c>
      <c r="K65" s="120">
        <v>10</v>
      </c>
      <c r="L65" s="120" t="s">
        <v>212</v>
      </c>
      <c r="M65" s="120">
        <v>2</v>
      </c>
      <c r="N65" s="120" t="s">
        <v>213</v>
      </c>
      <c r="O65" s="192">
        <v>8867</v>
      </c>
      <c r="P65" s="121">
        <v>3500000</v>
      </c>
      <c r="Q65" s="121">
        <f t="shared" si="11"/>
        <v>2520000</v>
      </c>
      <c r="R65" s="161">
        <f t="shared" si="6"/>
        <v>18000</v>
      </c>
      <c r="S65" s="121">
        <f t="shared" si="7"/>
        <v>5040000</v>
      </c>
      <c r="T65" s="121">
        <f t="shared" si="8"/>
        <v>5040000</v>
      </c>
      <c r="U65" s="122">
        <f t="shared" si="9"/>
        <v>10080000</v>
      </c>
      <c r="V65" s="162">
        <f t="shared" si="10"/>
        <v>72000</v>
      </c>
      <c r="W65" s="193" t="s">
        <v>182</v>
      </c>
      <c r="X65" s="163">
        <v>133444</v>
      </c>
      <c r="Y65" s="164">
        <v>177.53711883348399</v>
      </c>
      <c r="Z65" s="163">
        <v>75164</v>
      </c>
    </row>
    <row r="66" spans="1:26" s="67" customFormat="1" ht="15" customHeight="1">
      <c r="A66" s="191" t="s">
        <v>208</v>
      </c>
      <c r="B66" s="165" t="s">
        <v>187</v>
      </c>
      <c r="C66" s="166" t="s">
        <v>244</v>
      </c>
      <c r="D66" s="166" t="s">
        <v>363</v>
      </c>
      <c r="E66" s="166" t="s">
        <v>268</v>
      </c>
      <c r="F66" s="120">
        <v>1</v>
      </c>
      <c r="G66" s="120">
        <v>2</v>
      </c>
      <c r="H66" s="120" t="s">
        <v>209</v>
      </c>
      <c r="I66" s="120" t="s">
        <v>211</v>
      </c>
      <c r="J66" s="120" t="s">
        <v>189</v>
      </c>
      <c r="K66" s="120">
        <v>10</v>
      </c>
      <c r="L66" s="120" t="s">
        <v>212</v>
      </c>
      <c r="M66" s="120">
        <v>2</v>
      </c>
      <c r="N66" s="120" t="s">
        <v>213</v>
      </c>
      <c r="O66" s="192">
        <v>-56191</v>
      </c>
      <c r="P66" s="121">
        <v>3500000</v>
      </c>
      <c r="Q66" s="121">
        <f t="shared" si="11"/>
        <v>2520000</v>
      </c>
      <c r="R66" s="161">
        <f t="shared" si="6"/>
        <v>18000</v>
      </c>
      <c r="S66" s="121">
        <f t="shared" si="7"/>
        <v>5040000</v>
      </c>
      <c r="T66" s="121">
        <f t="shared" ref="T66:T98" si="12">Q66*M66</f>
        <v>5040000</v>
      </c>
      <c r="U66" s="122">
        <f t="shared" si="9"/>
        <v>10080000</v>
      </c>
      <c r="V66" s="162">
        <f t="shared" si="10"/>
        <v>72000</v>
      </c>
      <c r="W66" s="193" t="s">
        <v>182</v>
      </c>
      <c r="X66" s="163">
        <v>87719</v>
      </c>
      <c r="Y66" s="164">
        <v>116.703475067851</v>
      </c>
      <c r="Z66" s="163">
        <v>75164</v>
      </c>
    </row>
    <row r="67" spans="1:26" s="67" customFormat="1" ht="15" customHeight="1">
      <c r="A67" s="191" t="s">
        <v>208</v>
      </c>
      <c r="B67" s="165" t="s">
        <v>187</v>
      </c>
      <c r="C67" s="166" t="s">
        <v>244</v>
      </c>
      <c r="D67" s="166" t="s">
        <v>364</v>
      </c>
      <c r="E67" s="166" t="s">
        <v>196</v>
      </c>
      <c r="F67" s="120">
        <v>1</v>
      </c>
      <c r="G67" s="120">
        <v>2</v>
      </c>
      <c r="H67" s="120" t="s">
        <v>209</v>
      </c>
      <c r="I67" s="120" t="s">
        <v>211</v>
      </c>
      <c r="J67" s="120" t="s">
        <v>189</v>
      </c>
      <c r="K67" s="120">
        <v>10</v>
      </c>
      <c r="L67" s="120" t="s">
        <v>212</v>
      </c>
      <c r="M67" s="120">
        <v>2</v>
      </c>
      <c r="N67" s="120" t="s">
        <v>213</v>
      </c>
      <c r="O67" s="192">
        <v>-107670.5</v>
      </c>
      <c r="P67" s="121">
        <v>3500000</v>
      </c>
      <c r="Q67" s="121">
        <f t="shared" ref="Q67:Q98" si="13">P67*(1-28%)</f>
        <v>2520000</v>
      </c>
      <c r="R67" s="161">
        <f t="shared" si="6"/>
        <v>18000</v>
      </c>
      <c r="S67" s="121">
        <f t="shared" si="7"/>
        <v>5040000</v>
      </c>
      <c r="T67" s="121">
        <f t="shared" si="12"/>
        <v>5040000</v>
      </c>
      <c r="U67" s="122">
        <f t="shared" si="9"/>
        <v>10080000</v>
      </c>
      <c r="V67" s="162">
        <f t="shared" si="10"/>
        <v>72000</v>
      </c>
      <c r="W67" s="193" t="s">
        <v>182</v>
      </c>
      <c r="X67" s="163">
        <v>90838</v>
      </c>
      <c r="Y67" s="164">
        <v>120.853067958065</v>
      </c>
      <c r="Z67" s="163">
        <v>75164</v>
      </c>
    </row>
    <row r="68" spans="1:26" s="67" customFormat="1" ht="15" customHeight="1">
      <c r="A68" s="191" t="s">
        <v>208</v>
      </c>
      <c r="B68" s="165" t="s">
        <v>187</v>
      </c>
      <c r="C68" s="166" t="s">
        <v>244</v>
      </c>
      <c r="D68" s="166" t="s">
        <v>365</v>
      </c>
      <c r="E68" s="166" t="s">
        <v>196</v>
      </c>
      <c r="F68" s="120">
        <v>1</v>
      </c>
      <c r="G68" s="120">
        <v>2</v>
      </c>
      <c r="H68" s="120" t="s">
        <v>209</v>
      </c>
      <c r="I68" s="120" t="s">
        <v>211</v>
      </c>
      <c r="J68" s="120" t="s">
        <v>189</v>
      </c>
      <c r="K68" s="120">
        <v>10</v>
      </c>
      <c r="L68" s="120" t="s">
        <v>212</v>
      </c>
      <c r="M68" s="120">
        <v>2</v>
      </c>
      <c r="N68" s="120" t="s">
        <v>213</v>
      </c>
      <c r="O68" s="192">
        <v>-159150</v>
      </c>
      <c r="P68" s="121">
        <v>3500000</v>
      </c>
      <c r="Q68" s="121">
        <f t="shared" si="13"/>
        <v>2520000</v>
      </c>
      <c r="R68" s="161">
        <f t="shared" si="6"/>
        <v>18000</v>
      </c>
      <c r="S68" s="121">
        <f t="shared" si="7"/>
        <v>5040000</v>
      </c>
      <c r="T68" s="121">
        <f t="shared" si="12"/>
        <v>5040000</v>
      </c>
      <c r="U68" s="122">
        <f t="shared" si="9"/>
        <v>10080000</v>
      </c>
      <c r="V68" s="162">
        <f t="shared" si="10"/>
        <v>72000</v>
      </c>
      <c r="W68" s="193" t="s">
        <v>182</v>
      </c>
      <c r="X68" s="163">
        <v>58092</v>
      </c>
      <c r="Y68" s="164">
        <v>77.286999095311501</v>
      </c>
      <c r="Z68" s="163">
        <v>75164</v>
      </c>
    </row>
    <row r="69" spans="1:26" s="67" customFormat="1" ht="15" customHeight="1">
      <c r="A69" s="191" t="s">
        <v>208</v>
      </c>
      <c r="B69" s="165" t="s">
        <v>187</v>
      </c>
      <c r="C69" s="166" t="s">
        <v>244</v>
      </c>
      <c r="D69" s="166" t="s">
        <v>366</v>
      </c>
      <c r="E69" s="166" t="s">
        <v>196</v>
      </c>
      <c r="F69" s="120">
        <v>1</v>
      </c>
      <c r="G69" s="120">
        <v>2</v>
      </c>
      <c r="H69" s="120" t="s">
        <v>209</v>
      </c>
      <c r="I69" s="120" t="s">
        <v>211</v>
      </c>
      <c r="J69" s="120" t="s">
        <v>189</v>
      </c>
      <c r="K69" s="120">
        <v>10</v>
      </c>
      <c r="L69" s="120" t="s">
        <v>212</v>
      </c>
      <c r="M69" s="120">
        <v>2</v>
      </c>
      <c r="N69" s="120" t="s">
        <v>213</v>
      </c>
      <c r="O69" s="192">
        <v>-416547.5</v>
      </c>
      <c r="P69" s="121">
        <v>3500000</v>
      </c>
      <c r="Q69" s="121">
        <f t="shared" si="13"/>
        <v>2520000</v>
      </c>
      <c r="R69" s="161">
        <f t="shared" si="6"/>
        <v>18000</v>
      </c>
      <c r="S69" s="121">
        <f t="shared" si="7"/>
        <v>5040000</v>
      </c>
      <c r="T69" s="121">
        <f t="shared" si="12"/>
        <v>5040000</v>
      </c>
      <c r="U69" s="122">
        <f t="shared" si="9"/>
        <v>10080000</v>
      </c>
      <c r="V69" s="162">
        <f t="shared" si="10"/>
        <v>72000</v>
      </c>
      <c r="W69" s="193" t="s">
        <v>182</v>
      </c>
      <c r="X69" s="163">
        <v>103604</v>
      </c>
      <c r="Y69" s="164">
        <v>137.83726251929099</v>
      </c>
      <c r="Z69" s="163">
        <v>75164</v>
      </c>
    </row>
    <row r="70" spans="1:26" s="67" customFormat="1" ht="15" customHeight="1">
      <c r="A70" s="191" t="s">
        <v>208</v>
      </c>
      <c r="B70" s="165" t="s">
        <v>187</v>
      </c>
      <c r="C70" s="166" t="s">
        <v>244</v>
      </c>
      <c r="D70" s="166" t="s">
        <v>468</v>
      </c>
      <c r="E70" s="166" t="s">
        <v>289</v>
      </c>
      <c r="F70" s="120">
        <v>1</v>
      </c>
      <c r="G70" s="120">
        <v>2</v>
      </c>
      <c r="H70" s="120" t="s">
        <v>209</v>
      </c>
      <c r="I70" s="120" t="s">
        <v>211</v>
      </c>
      <c r="J70" s="120" t="s">
        <v>189</v>
      </c>
      <c r="K70" s="120">
        <v>10</v>
      </c>
      <c r="L70" s="120" t="s">
        <v>212</v>
      </c>
      <c r="M70" s="120">
        <v>2</v>
      </c>
      <c r="N70" s="120" t="s">
        <v>213</v>
      </c>
      <c r="O70" s="192">
        <v>-468027</v>
      </c>
      <c r="P70" s="121">
        <v>3500000</v>
      </c>
      <c r="Q70" s="121">
        <f t="shared" si="13"/>
        <v>2520000</v>
      </c>
      <c r="R70" s="161">
        <f t="shared" si="6"/>
        <v>18000</v>
      </c>
      <c r="S70" s="121">
        <f t="shared" si="7"/>
        <v>5040000</v>
      </c>
      <c r="T70" s="121">
        <f t="shared" si="12"/>
        <v>5040000</v>
      </c>
      <c r="U70" s="122">
        <f t="shared" si="9"/>
        <v>10080000</v>
      </c>
      <c r="V70" s="162">
        <f t="shared" si="10"/>
        <v>72000</v>
      </c>
      <c r="W70" s="193" t="s">
        <v>182</v>
      </c>
      <c r="X70" s="163">
        <v>80027</v>
      </c>
      <c r="Y70" s="164">
        <v>106.469852589005</v>
      </c>
      <c r="Z70" s="163">
        <v>75164</v>
      </c>
    </row>
    <row r="71" spans="1:26" s="67" customFormat="1" ht="15" customHeight="1">
      <c r="A71" s="191" t="s">
        <v>208</v>
      </c>
      <c r="B71" s="165" t="s">
        <v>187</v>
      </c>
      <c r="C71" s="166" t="s">
        <v>245</v>
      </c>
      <c r="D71" s="166" t="s">
        <v>367</v>
      </c>
      <c r="E71" s="166" t="s">
        <v>196</v>
      </c>
      <c r="F71" s="120">
        <v>1</v>
      </c>
      <c r="G71" s="120">
        <v>2</v>
      </c>
      <c r="H71" s="120" t="s">
        <v>209</v>
      </c>
      <c r="I71" s="120" t="s">
        <v>211</v>
      </c>
      <c r="J71" s="120" t="s">
        <v>189</v>
      </c>
      <c r="K71" s="120">
        <v>10</v>
      </c>
      <c r="L71" s="120" t="s">
        <v>212</v>
      </c>
      <c r="M71" s="120">
        <v>2</v>
      </c>
      <c r="N71" s="120" t="s">
        <v>213</v>
      </c>
      <c r="O71" s="192">
        <v>-622465.5</v>
      </c>
      <c r="P71" s="121">
        <v>3500000</v>
      </c>
      <c r="Q71" s="121">
        <f t="shared" si="13"/>
        <v>2520000</v>
      </c>
      <c r="R71" s="161">
        <f t="shared" si="6"/>
        <v>18000</v>
      </c>
      <c r="S71" s="121">
        <f t="shared" si="7"/>
        <v>5040000</v>
      </c>
      <c r="T71" s="121">
        <f t="shared" si="12"/>
        <v>5040000</v>
      </c>
      <c r="U71" s="122">
        <f t="shared" si="9"/>
        <v>10080000</v>
      </c>
      <c r="V71" s="162">
        <f t="shared" si="10"/>
        <v>72000</v>
      </c>
      <c r="W71" s="193" t="s">
        <v>182</v>
      </c>
      <c r="X71" s="163">
        <v>108707</v>
      </c>
      <c r="Y71" s="164">
        <v>172.597367543622</v>
      </c>
      <c r="Z71" s="163">
        <v>62983</v>
      </c>
    </row>
    <row r="72" spans="1:26" s="67" customFormat="1" ht="15" customHeight="1">
      <c r="A72" s="191" t="s">
        <v>208</v>
      </c>
      <c r="B72" s="165" t="s">
        <v>187</v>
      </c>
      <c r="C72" s="166" t="s">
        <v>245</v>
      </c>
      <c r="D72" s="166" t="s">
        <v>368</v>
      </c>
      <c r="E72" s="166" t="s">
        <v>240</v>
      </c>
      <c r="F72" s="120">
        <v>1</v>
      </c>
      <c r="G72" s="120">
        <v>2</v>
      </c>
      <c r="H72" s="120" t="s">
        <v>209</v>
      </c>
      <c r="I72" s="120" t="s">
        <v>211</v>
      </c>
      <c r="J72" s="120" t="s">
        <v>189</v>
      </c>
      <c r="K72" s="120">
        <v>10</v>
      </c>
      <c r="L72" s="120" t="s">
        <v>212</v>
      </c>
      <c r="M72" s="120">
        <v>2</v>
      </c>
      <c r="N72" s="120" t="s">
        <v>213</v>
      </c>
      <c r="O72" s="192">
        <v>-673945</v>
      </c>
      <c r="P72" s="121">
        <v>3500000</v>
      </c>
      <c r="Q72" s="121">
        <f t="shared" si="13"/>
        <v>2520000</v>
      </c>
      <c r="R72" s="161">
        <f t="shared" si="6"/>
        <v>18000</v>
      </c>
      <c r="S72" s="121">
        <f t="shared" si="7"/>
        <v>5040000</v>
      </c>
      <c r="T72" s="121">
        <f t="shared" si="12"/>
        <v>5040000</v>
      </c>
      <c r="U72" s="122">
        <f t="shared" si="9"/>
        <v>10080000</v>
      </c>
      <c r="V72" s="162">
        <f t="shared" si="10"/>
        <v>72000</v>
      </c>
      <c r="W72" s="193" t="s">
        <v>182</v>
      </c>
      <c r="X72" s="163">
        <v>76788</v>
      </c>
      <c r="Y72" s="164">
        <v>121.918612959052</v>
      </c>
      <c r="Z72" s="163">
        <v>62983</v>
      </c>
    </row>
    <row r="73" spans="1:26" s="67" customFormat="1" ht="15" customHeight="1">
      <c r="A73" s="191" t="s">
        <v>208</v>
      </c>
      <c r="B73" s="165" t="s">
        <v>187</v>
      </c>
      <c r="C73" s="166" t="s">
        <v>245</v>
      </c>
      <c r="D73" s="166" t="s">
        <v>369</v>
      </c>
      <c r="E73" s="166" t="s">
        <v>240</v>
      </c>
      <c r="F73" s="120">
        <v>1</v>
      </c>
      <c r="G73" s="120">
        <v>2</v>
      </c>
      <c r="H73" s="120" t="s">
        <v>209</v>
      </c>
      <c r="I73" s="120" t="s">
        <v>211</v>
      </c>
      <c r="J73" s="120" t="s">
        <v>189</v>
      </c>
      <c r="K73" s="120">
        <v>10</v>
      </c>
      <c r="L73" s="120" t="s">
        <v>212</v>
      </c>
      <c r="M73" s="120">
        <v>2</v>
      </c>
      <c r="N73" s="120" t="s">
        <v>213</v>
      </c>
      <c r="O73" s="192">
        <v>-828383.5</v>
      </c>
      <c r="P73" s="121">
        <v>3500000</v>
      </c>
      <c r="Q73" s="121">
        <f t="shared" si="13"/>
        <v>2520000</v>
      </c>
      <c r="R73" s="161">
        <f t="shared" si="6"/>
        <v>18000</v>
      </c>
      <c r="S73" s="121">
        <f t="shared" si="7"/>
        <v>5040000</v>
      </c>
      <c r="T73" s="121">
        <f t="shared" si="12"/>
        <v>5040000</v>
      </c>
      <c r="U73" s="122">
        <f t="shared" si="9"/>
        <v>10080000</v>
      </c>
      <c r="V73" s="162">
        <f t="shared" si="10"/>
        <v>72000</v>
      </c>
      <c r="W73" s="193" t="s">
        <v>182</v>
      </c>
      <c r="X73" s="163">
        <v>77183</v>
      </c>
      <c r="Y73" s="164">
        <v>122.545766317895</v>
      </c>
      <c r="Z73" s="163">
        <v>62983</v>
      </c>
    </row>
    <row r="74" spans="1:26" s="67" customFormat="1" ht="15" customHeight="1">
      <c r="A74" s="191" t="s">
        <v>208</v>
      </c>
      <c r="B74" s="165" t="s">
        <v>187</v>
      </c>
      <c r="C74" s="166" t="s">
        <v>245</v>
      </c>
      <c r="D74" s="166" t="s">
        <v>370</v>
      </c>
      <c r="E74" s="166" t="s">
        <v>240</v>
      </c>
      <c r="F74" s="120">
        <v>1</v>
      </c>
      <c r="G74" s="120">
        <v>2</v>
      </c>
      <c r="H74" s="120" t="s">
        <v>209</v>
      </c>
      <c r="I74" s="120" t="s">
        <v>211</v>
      </c>
      <c r="J74" s="120" t="s">
        <v>189</v>
      </c>
      <c r="K74" s="120">
        <v>10</v>
      </c>
      <c r="L74" s="120" t="s">
        <v>212</v>
      </c>
      <c r="M74" s="120">
        <v>2</v>
      </c>
      <c r="N74" s="120" t="s">
        <v>213</v>
      </c>
      <c r="O74" s="192">
        <v>-879863</v>
      </c>
      <c r="P74" s="121">
        <v>3500000</v>
      </c>
      <c r="Q74" s="121">
        <f t="shared" si="13"/>
        <v>2520000</v>
      </c>
      <c r="R74" s="161">
        <f t="shared" si="6"/>
        <v>18000</v>
      </c>
      <c r="S74" s="121">
        <f t="shared" si="7"/>
        <v>5040000</v>
      </c>
      <c r="T74" s="121">
        <f t="shared" si="12"/>
        <v>5040000</v>
      </c>
      <c r="U74" s="122">
        <f t="shared" si="9"/>
        <v>10080000</v>
      </c>
      <c r="V74" s="162">
        <f t="shared" si="10"/>
        <v>72000</v>
      </c>
      <c r="W74" s="193" t="s">
        <v>182</v>
      </c>
      <c r="X74" s="163">
        <v>94007</v>
      </c>
      <c r="Y74" s="164">
        <v>149.25773621453399</v>
      </c>
      <c r="Z74" s="163">
        <v>62983</v>
      </c>
    </row>
    <row r="75" spans="1:26" s="67" customFormat="1" ht="15" customHeight="1">
      <c r="A75" s="191" t="s">
        <v>208</v>
      </c>
      <c r="B75" s="165" t="s">
        <v>187</v>
      </c>
      <c r="C75" s="166" t="s">
        <v>245</v>
      </c>
      <c r="D75" s="166" t="s">
        <v>371</v>
      </c>
      <c r="E75" s="166" t="s">
        <v>240</v>
      </c>
      <c r="F75" s="120">
        <v>1</v>
      </c>
      <c r="G75" s="120">
        <v>2</v>
      </c>
      <c r="H75" s="120" t="s">
        <v>209</v>
      </c>
      <c r="I75" s="120" t="s">
        <v>211</v>
      </c>
      <c r="J75" s="120" t="s">
        <v>189</v>
      </c>
      <c r="K75" s="120">
        <v>10</v>
      </c>
      <c r="L75" s="120" t="s">
        <v>212</v>
      </c>
      <c r="M75" s="120">
        <v>2</v>
      </c>
      <c r="N75" s="120" t="s">
        <v>213</v>
      </c>
      <c r="O75" s="192">
        <v>-982822</v>
      </c>
      <c r="P75" s="121">
        <v>3500000</v>
      </c>
      <c r="Q75" s="121">
        <f t="shared" si="13"/>
        <v>2520000</v>
      </c>
      <c r="R75" s="161">
        <f t="shared" si="6"/>
        <v>18000</v>
      </c>
      <c r="S75" s="121">
        <f t="shared" si="7"/>
        <v>5040000</v>
      </c>
      <c r="T75" s="121">
        <f t="shared" si="12"/>
        <v>5040000</v>
      </c>
      <c r="U75" s="122">
        <f t="shared" si="9"/>
        <v>10080000</v>
      </c>
      <c r="V75" s="162">
        <f t="shared" si="10"/>
        <v>72000</v>
      </c>
      <c r="W75" s="193" t="s">
        <v>182</v>
      </c>
      <c r="X75" s="163">
        <v>56388</v>
      </c>
      <c r="Y75" s="164">
        <v>89.528920502357707</v>
      </c>
      <c r="Z75" s="163">
        <v>62983</v>
      </c>
    </row>
    <row r="76" spans="1:26" s="67" customFormat="1" ht="15" customHeight="1">
      <c r="A76" s="191" t="s">
        <v>208</v>
      </c>
      <c r="B76" s="165" t="s">
        <v>187</v>
      </c>
      <c r="C76" s="166" t="s">
        <v>245</v>
      </c>
      <c r="D76" s="166" t="s">
        <v>372</v>
      </c>
      <c r="E76" s="166" t="s">
        <v>240</v>
      </c>
      <c r="F76" s="120">
        <v>1</v>
      </c>
      <c r="G76" s="120">
        <v>2</v>
      </c>
      <c r="H76" s="120" t="s">
        <v>209</v>
      </c>
      <c r="I76" s="120" t="s">
        <v>211</v>
      </c>
      <c r="J76" s="120" t="s">
        <v>189</v>
      </c>
      <c r="K76" s="120">
        <v>10</v>
      </c>
      <c r="L76" s="120" t="s">
        <v>212</v>
      </c>
      <c r="M76" s="120">
        <v>2</v>
      </c>
      <c r="N76" s="120" t="s">
        <v>213</v>
      </c>
      <c r="O76" s="192">
        <v>-1034301.5</v>
      </c>
      <c r="P76" s="121">
        <v>3500000</v>
      </c>
      <c r="Q76" s="121">
        <f t="shared" si="13"/>
        <v>2520000</v>
      </c>
      <c r="R76" s="161">
        <f t="shared" si="6"/>
        <v>18000</v>
      </c>
      <c r="S76" s="121">
        <f t="shared" si="7"/>
        <v>5040000</v>
      </c>
      <c r="T76" s="121">
        <f t="shared" si="12"/>
        <v>5040000</v>
      </c>
      <c r="U76" s="122">
        <f t="shared" si="9"/>
        <v>10080000</v>
      </c>
      <c r="V76" s="162">
        <f t="shared" si="10"/>
        <v>72000</v>
      </c>
      <c r="W76" s="193" t="s">
        <v>182</v>
      </c>
      <c r="X76" s="163">
        <v>57601</v>
      </c>
      <c r="Y76" s="164">
        <v>91.454837019513207</v>
      </c>
      <c r="Z76" s="163">
        <v>62983</v>
      </c>
    </row>
    <row r="77" spans="1:26" s="67" customFormat="1" ht="15" customHeight="1">
      <c r="A77" s="191" t="s">
        <v>208</v>
      </c>
      <c r="B77" s="165" t="s">
        <v>187</v>
      </c>
      <c r="C77" s="166" t="s">
        <v>296</v>
      </c>
      <c r="D77" s="166" t="s">
        <v>373</v>
      </c>
      <c r="E77" s="166" t="s">
        <v>196</v>
      </c>
      <c r="F77" s="120">
        <v>1</v>
      </c>
      <c r="G77" s="120">
        <v>2</v>
      </c>
      <c r="H77" s="120" t="s">
        <v>209</v>
      </c>
      <c r="I77" s="120" t="s">
        <v>211</v>
      </c>
      <c r="J77" s="120" t="s">
        <v>189</v>
      </c>
      <c r="K77" s="120">
        <v>10</v>
      </c>
      <c r="L77" s="120" t="s">
        <v>212</v>
      </c>
      <c r="M77" s="120">
        <v>2</v>
      </c>
      <c r="N77" s="120" t="s">
        <v>213</v>
      </c>
      <c r="O77" s="192">
        <v>-1137260.5</v>
      </c>
      <c r="P77" s="121">
        <v>3500000</v>
      </c>
      <c r="Q77" s="121">
        <f t="shared" si="13"/>
        <v>2520000</v>
      </c>
      <c r="R77" s="161">
        <f t="shared" si="6"/>
        <v>18000</v>
      </c>
      <c r="S77" s="121">
        <f t="shared" si="7"/>
        <v>5040000</v>
      </c>
      <c r="T77" s="121">
        <f t="shared" si="12"/>
        <v>5040000</v>
      </c>
      <c r="U77" s="122">
        <f t="shared" si="9"/>
        <v>10080000</v>
      </c>
      <c r="V77" s="162">
        <f t="shared" si="10"/>
        <v>72000</v>
      </c>
      <c r="W77" s="193" t="s">
        <v>182</v>
      </c>
      <c r="X77" s="163">
        <v>141300</v>
      </c>
      <c r="Y77" s="164">
        <v>141.18281826084299</v>
      </c>
      <c r="Z77" s="163">
        <v>100083</v>
      </c>
    </row>
    <row r="78" spans="1:26" s="67" customFormat="1" ht="15" customHeight="1">
      <c r="A78" s="191" t="s">
        <v>208</v>
      </c>
      <c r="B78" s="165" t="s">
        <v>187</v>
      </c>
      <c r="C78" s="166" t="s">
        <v>296</v>
      </c>
      <c r="D78" s="166" t="s">
        <v>374</v>
      </c>
      <c r="E78" s="166" t="s">
        <v>196</v>
      </c>
      <c r="F78" s="120">
        <v>1</v>
      </c>
      <c r="G78" s="120">
        <v>2</v>
      </c>
      <c r="H78" s="120" t="s">
        <v>209</v>
      </c>
      <c r="I78" s="120" t="s">
        <v>211</v>
      </c>
      <c r="J78" s="120" t="s">
        <v>189</v>
      </c>
      <c r="K78" s="120">
        <v>10</v>
      </c>
      <c r="L78" s="120" t="s">
        <v>212</v>
      </c>
      <c r="M78" s="120">
        <v>2</v>
      </c>
      <c r="N78" s="120" t="s">
        <v>213</v>
      </c>
      <c r="O78" s="192">
        <v>-1240219.5</v>
      </c>
      <c r="P78" s="121">
        <v>3500000</v>
      </c>
      <c r="Q78" s="121">
        <f t="shared" si="13"/>
        <v>2520000</v>
      </c>
      <c r="R78" s="161">
        <f t="shared" si="6"/>
        <v>18000</v>
      </c>
      <c r="S78" s="121">
        <f t="shared" si="7"/>
        <v>5040000</v>
      </c>
      <c r="T78" s="121">
        <f t="shared" si="12"/>
        <v>5040000</v>
      </c>
      <c r="U78" s="122">
        <f t="shared" si="9"/>
        <v>10080000</v>
      </c>
      <c r="V78" s="162">
        <f t="shared" si="10"/>
        <v>72000</v>
      </c>
      <c r="W78" s="193" t="s">
        <v>182</v>
      </c>
      <c r="X78" s="163">
        <v>124932</v>
      </c>
      <c r="Y78" s="164">
        <v>124.828392434279</v>
      </c>
      <c r="Z78" s="163">
        <v>100083</v>
      </c>
    </row>
    <row r="79" spans="1:26" s="67" customFormat="1" ht="15" customHeight="1">
      <c r="A79" s="191" t="s">
        <v>208</v>
      </c>
      <c r="B79" s="165" t="s">
        <v>187</v>
      </c>
      <c r="C79" s="166" t="s">
        <v>296</v>
      </c>
      <c r="D79" s="166" t="s">
        <v>375</v>
      </c>
      <c r="E79" s="166" t="s">
        <v>376</v>
      </c>
      <c r="F79" s="120">
        <v>1</v>
      </c>
      <c r="G79" s="120">
        <v>2</v>
      </c>
      <c r="H79" s="120" t="s">
        <v>209</v>
      </c>
      <c r="I79" s="120" t="s">
        <v>211</v>
      </c>
      <c r="J79" s="120" t="s">
        <v>189</v>
      </c>
      <c r="K79" s="120">
        <v>10</v>
      </c>
      <c r="L79" s="120" t="s">
        <v>212</v>
      </c>
      <c r="M79" s="120">
        <v>2</v>
      </c>
      <c r="N79" s="120" t="s">
        <v>213</v>
      </c>
      <c r="O79" s="192">
        <v>-1291699</v>
      </c>
      <c r="P79" s="121">
        <v>3500000</v>
      </c>
      <c r="Q79" s="121">
        <f t="shared" si="13"/>
        <v>2520000</v>
      </c>
      <c r="R79" s="161">
        <f t="shared" si="6"/>
        <v>18000</v>
      </c>
      <c r="S79" s="121">
        <f t="shared" si="7"/>
        <v>5040000</v>
      </c>
      <c r="T79" s="121">
        <f t="shared" si="12"/>
        <v>5040000</v>
      </c>
      <c r="U79" s="122">
        <f t="shared" si="9"/>
        <v>10080000</v>
      </c>
      <c r="V79" s="162">
        <f t="shared" si="10"/>
        <v>72000</v>
      </c>
      <c r="W79" s="193" t="s">
        <v>182</v>
      </c>
      <c r="X79" s="163">
        <v>87625</v>
      </c>
      <c r="Y79" s="164">
        <v>87.552331564801193</v>
      </c>
      <c r="Z79" s="163">
        <v>100083</v>
      </c>
    </row>
    <row r="80" spans="1:26" s="67" customFormat="1" ht="15" customHeight="1">
      <c r="A80" s="191" t="s">
        <v>208</v>
      </c>
      <c r="B80" s="165" t="s">
        <v>187</v>
      </c>
      <c r="C80" s="166" t="s">
        <v>296</v>
      </c>
      <c r="D80" s="166" t="s">
        <v>377</v>
      </c>
      <c r="E80" s="166" t="s">
        <v>376</v>
      </c>
      <c r="F80" s="120">
        <v>1</v>
      </c>
      <c r="G80" s="120">
        <v>2</v>
      </c>
      <c r="H80" s="120" t="s">
        <v>209</v>
      </c>
      <c r="I80" s="120" t="s">
        <v>211</v>
      </c>
      <c r="J80" s="120" t="s">
        <v>189</v>
      </c>
      <c r="K80" s="120">
        <v>10</v>
      </c>
      <c r="L80" s="120" t="s">
        <v>212</v>
      </c>
      <c r="M80" s="120">
        <v>2</v>
      </c>
      <c r="N80" s="120" t="s">
        <v>213</v>
      </c>
      <c r="O80" s="192">
        <v>-1343178.5</v>
      </c>
      <c r="P80" s="121">
        <v>3500000</v>
      </c>
      <c r="Q80" s="121">
        <f t="shared" si="13"/>
        <v>2520000</v>
      </c>
      <c r="R80" s="161">
        <f t="shared" si="6"/>
        <v>18000</v>
      </c>
      <c r="S80" s="121">
        <f t="shared" si="7"/>
        <v>5040000</v>
      </c>
      <c r="T80" s="121">
        <f t="shared" si="12"/>
        <v>5040000</v>
      </c>
      <c r="U80" s="122">
        <f t="shared" si="9"/>
        <v>10080000</v>
      </c>
      <c r="V80" s="162">
        <f t="shared" si="10"/>
        <v>72000</v>
      </c>
      <c r="W80" s="193" t="s">
        <v>182</v>
      </c>
      <c r="X80" s="163">
        <v>99997</v>
      </c>
      <c r="Y80" s="164">
        <v>99.9140713208037</v>
      </c>
      <c r="Z80" s="163">
        <v>100083</v>
      </c>
    </row>
    <row r="81" spans="1:26" s="67" customFormat="1" ht="15" customHeight="1">
      <c r="A81" s="191" t="s">
        <v>208</v>
      </c>
      <c r="B81" s="165" t="s">
        <v>187</v>
      </c>
      <c r="C81" s="166" t="s">
        <v>296</v>
      </c>
      <c r="D81" s="166" t="s">
        <v>378</v>
      </c>
      <c r="E81" s="166" t="s">
        <v>379</v>
      </c>
      <c r="F81" s="120">
        <v>1</v>
      </c>
      <c r="G81" s="120">
        <v>2</v>
      </c>
      <c r="H81" s="120" t="s">
        <v>209</v>
      </c>
      <c r="I81" s="120" t="s">
        <v>211</v>
      </c>
      <c r="J81" s="120" t="s">
        <v>189</v>
      </c>
      <c r="K81" s="120">
        <v>10</v>
      </c>
      <c r="L81" s="120" t="s">
        <v>212</v>
      </c>
      <c r="M81" s="120">
        <v>2</v>
      </c>
      <c r="N81" s="120" t="s">
        <v>213</v>
      </c>
      <c r="O81" s="192">
        <v>-1446137.5</v>
      </c>
      <c r="P81" s="121">
        <v>3500000</v>
      </c>
      <c r="Q81" s="121">
        <f t="shared" si="13"/>
        <v>2520000</v>
      </c>
      <c r="R81" s="161">
        <f t="shared" si="6"/>
        <v>18000</v>
      </c>
      <c r="S81" s="121">
        <f t="shared" si="7"/>
        <v>5040000</v>
      </c>
      <c r="T81" s="121">
        <f t="shared" si="12"/>
        <v>5040000</v>
      </c>
      <c r="U81" s="122">
        <f t="shared" si="9"/>
        <v>10080000</v>
      </c>
      <c r="V81" s="162">
        <f t="shared" si="10"/>
        <v>72000</v>
      </c>
      <c r="W81" s="193" t="s">
        <v>182</v>
      </c>
      <c r="X81" s="163">
        <v>115550</v>
      </c>
      <c r="Y81" s="164">
        <v>115.454173036379</v>
      </c>
      <c r="Z81" s="163">
        <v>100083</v>
      </c>
    </row>
    <row r="82" spans="1:26" s="67" customFormat="1" ht="15" customHeight="1">
      <c r="A82" s="191" t="s">
        <v>208</v>
      </c>
      <c r="B82" s="165" t="s">
        <v>187</v>
      </c>
      <c r="C82" s="166" t="s">
        <v>296</v>
      </c>
      <c r="D82" s="166" t="s">
        <v>380</v>
      </c>
      <c r="E82" s="166" t="s">
        <v>196</v>
      </c>
      <c r="F82" s="120">
        <v>1</v>
      </c>
      <c r="G82" s="120">
        <v>2</v>
      </c>
      <c r="H82" s="120" t="s">
        <v>209</v>
      </c>
      <c r="I82" s="120" t="s">
        <v>211</v>
      </c>
      <c r="J82" s="120" t="s">
        <v>189</v>
      </c>
      <c r="K82" s="120">
        <v>10</v>
      </c>
      <c r="L82" s="120" t="s">
        <v>212</v>
      </c>
      <c r="M82" s="120">
        <v>2</v>
      </c>
      <c r="N82" s="120" t="s">
        <v>213</v>
      </c>
      <c r="O82" s="192">
        <v>-1497617</v>
      </c>
      <c r="P82" s="121">
        <v>3500000</v>
      </c>
      <c r="Q82" s="121">
        <f t="shared" si="13"/>
        <v>2520000</v>
      </c>
      <c r="R82" s="161">
        <f t="shared" si="6"/>
        <v>18000</v>
      </c>
      <c r="S82" s="121">
        <f t="shared" si="7"/>
        <v>5040000</v>
      </c>
      <c r="T82" s="121">
        <f t="shared" si="12"/>
        <v>5040000</v>
      </c>
      <c r="U82" s="122">
        <f t="shared" si="9"/>
        <v>10080000</v>
      </c>
      <c r="V82" s="162">
        <f t="shared" si="10"/>
        <v>72000</v>
      </c>
      <c r="W82" s="193" t="s">
        <v>182</v>
      </c>
      <c r="X82" s="163">
        <v>98212</v>
      </c>
      <c r="Y82" s="164">
        <v>98.130551642136993</v>
      </c>
      <c r="Z82" s="163">
        <v>100083</v>
      </c>
    </row>
    <row r="83" spans="1:26" s="67" customFormat="1" ht="15" customHeight="1">
      <c r="A83" s="191" t="s">
        <v>208</v>
      </c>
      <c r="B83" s="165" t="s">
        <v>187</v>
      </c>
      <c r="C83" s="166" t="s">
        <v>246</v>
      </c>
      <c r="D83" s="166" t="s">
        <v>469</v>
      </c>
      <c r="E83" s="166" t="s">
        <v>470</v>
      </c>
      <c r="F83" s="120">
        <v>1</v>
      </c>
      <c r="G83" s="120">
        <v>2</v>
      </c>
      <c r="H83" s="120" t="s">
        <v>209</v>
      </c>
      <c r="I83" s="120" t="s">
        <v>211</v>
      </c>
      <c r="J83" s="120" t="s">
        <v>189</v>
      </c>
      <c r="K83" s="120">
        <v>10</v>
      </c>
      <c r="L83" s="120" t="s">
        <v>212</v>
      </c>
      <c r="M83" s="120">
        <v>3</v>
      </c>
      <c r="N83" s="120" t="s">
        <v>213</v>
      </c>
      <c r="O83" s="192">
        <v>-1549096.5</v>
      </c>
      <c r="P83" s="121">
        <v>3500000</v>
      </c>
      <c r="Q83" s="121">
        <f t="shared" si="13"/>
        <v>2520000</v>
      </c>
      <c r="R83" s="161">
        <f t="shared" si="6"/>
        <v>18000</v>
      </c>
      <c r="S83" s="121">
        <f t="shared" si="7"/>
        <v>7560000</v>
      </c>
      <c r="T83" s="121">
        <f t="shared" si="12"/>
        <v>7560000</v>
      </c>
      <c r="U83" s="122">
        <f t="shared" si="9"/>
        <v>15120000</v>
      </c>
      <c r="V83" s="162">
        <f t="shared" si="10"/>
        <v>108000</v>
      </c>
      <c r="W83" s="193" t="s">
        <v>182</v>
      </c>
      <c r="X83" s="163">
        <v>61472</v>
      </c>
      <c r="Y83" s="164">
        <v>115.777380167624</v>
      </c>
      <c r="Z83" s="163">
        <v>53095</v>
      </c>
    </row>
    <row r="84" spans="1:26" s="213" customFormat="1" ht="15" customHeight="1">
      <c r="A84" s="211" t="s">
        <v>208</v>
      </c>
      <c r="B84" s="203" t="s">
        <v>187</v>
      </c>
      <c r="C84" s="166" t="s">
        <v>246</v>
      </c>
      <c r="D84" s="166" t="s">
        <v>381</v>
      </c>
      <c r="E84" s="166" t="s">
        <v>471</v>
      </c>
      <c r="F84" s="204">
        <v>1</v>
      </c>
      <c r="G84" s="204">
        <v>2</v>
      </c>
      <c r="H84" s="204" t="s">
        <v>209</v>
      </c>
      <c r="I84" s="204" t="s">
        <v>211</v>
      </c>
      <c r="J84" s="204" t="s">
        <v>189</v>
      </c>
      <c r="K84" s="204">
        <v>10</v>
      </c>
      <c r="L84" s="204" t="s">
        <v>212</v>
      </c>
      <c r="M84" s="120">
        <v>3</v>
      </c>
      <c r="N84" s="204" t="s">
        <v>213</v>
      </c>
      <c r="O84" s="208">
        <v>-1600576</v>
      </c>
      <c r="P84" s="206">
        <v>3500000</v>
      </c>
      <c r="Q84" s="206">
        <f t="shared" si="13"/>
        <v>2520000</v>
      </c>
      <c r="R84" s="215">
        <f t="shared" si="6"/>
        <v>18000</v>
      </c>
      <c r="S84" s="206">
        <f t="shared" si="7"/>
        <v>7560000</v>
      </c>
      <c r="T84" s="206">
        <f t="shared" si="12"/>
        <v>7560000</v>
      </c>
      <c r="U84" s="207">
        <f t="shared" si="9"/>
        <v>15120000</v>
      </c>
      <c r="V84" s="216">
        <f t="shared" si="10"/>
        <v>108000</v>
      </c>
      <c r="W84" s="212" t="s">
        <v>182</v>
      </c>
      <c r="X84" s="208">
        <v>71529</v>
      </c>
      <c r="Y84" s="209">
        <v>134.71890008475299</v>
      </c>
      <c r="Z84" s="208">
        <v>53095</v>
      </c>
    </row>
    <row r="85" spans="1:26" s="67" customFormat="1" ht="15" customHeight="1">
      <c r="A85" s="191" t="s">
        <v>208</v>
      </c>
      <c r="B85" s="165" t="s">
        <v>187</v>
      </c>
      <c r="C85" s="166" t="s">
        <v>246</v>
      </c>
      <c r="D85" s="166" t="s">
        <v>382</v>
      </c>
      <c r="E85" s="166" t="s">
        <v>196</v>
      </c>
      <c r="F85" s="120">
        <v>1</v>
      </c>
      <c r="G85" s="120">
        <v>2</v>
      </c>
      <c r="H85" s="120" t="s">
        <v>209</v>
      </c>
      <c r="I85" s="120" t="s">
        <v>211</v>
      </c>
      <c r="J85" s="120" t="s">
        <v>189</v>
      </c>
      <c r="K85" s="120">
        <v>10</v>
      </c>
      <c r="L85" s="120" t="s">
        <v>212</v>
      </c>
      <c r="M85" s="120">
        <v>3</v>
      </c>
      <c r="N85" s="120" t="s">
        <v>213</v>
      </c>
      <c r="O85" s="192">
        <v>-1806494</v>
      </c>
      <c r="P85" s="121">
        <v>3500000</v>
      </c>
      <c r="Q85" s="121">
        <f t="shared" si="13"/>
        <v>2520000</v>
      </c>
      <c r="R85" s="161">
        <f t="shared" si="6"/>
        <v>18000</v>
      </c>
      <c r="S85" s="121">
        <f t="shared" si="7"/>
        <v>7560000</v>
      </c>
      <c r="T85" s="121">
        <f t="shared" si="12"/>
        <v>7560000</v>
      </c>
      <c r="U85" s="122">
        <f t="shared" si="9"/>
        <v>15120000</v>
      </c>
      <c r="V85" s="162">
        <f t="shared" si="10"/>
        <v>108000</v>
      </c>
      <c r="W85" s="193" t="s">
        <v>182</v>
      </c>
      <c r="X85" s="163">
        <v>61472</v>
      </c>
      <c r="Y85" s="164">
        <v>115.777380167624</v>
      </c>
      <c r="Z85" s="163">
        <v>53095</v>
      </c>
    </row>
    <row r="86" spans="1:26" s="67" customFormat="1" ht="15" customHeight="1">
      <c r="A86" s="191" t="s">
        <v>208</v>
      </c>
      <c r="B86" s="165" t="s">
        <v>187</v>
      </c>
      <c r="C86" s="166" t="s">
        <v>246</v>
      </c>
      <c r="D86" s="166" t="s">
        <v>383</v>
      </c>
      <c r="E86" s="166" t="s">
        <v>196</v>
      </c>
      <c r="F86" s="120">
        <v>1</v>
      </c>
      <c r="G86" s="120">
        <v>2</v>
      </c>
      <c r="H86" s="120" t="s">
        <v>209</v>
      </c>
      <c r="I86" s="120" t="s">
        <v>211</v>
      </c>
      <c r="J86" s="120" t="s">
        <v>189</v>
      </c>
      <c r="K86" s="120">
        <v>10</v>
      </c>
      <c r="L86" s="120" t="s">
        <v>212</v>
      </c>
      <c r="M86" s="120">
        <v>3</v>
      </c>
      <c r="N86" s="120" t="s">
        <v>213</v>
      </c>
      <c r="O86" s="192">
        <v>-1857973.5</v>
      </c>
      <c r="P86" s="121">
        <v>3500000</v>
      </c>
      <c r="Q86" s="121">
        <f t="shared" si="13"/>
        <v>2520000</v>
      </c>
      <c r="R86" s="161">
        <f t="shared" si="6"/>
        <v>18000</v>
      </c>
      <c r="S86" s="121">
        <f t="shared" si="7"/>
        <v>7560000</v>
      </c>
      <c r="T86" s="121">
        <f t="shared" si="12"/>
        <v>7560000</v>
      </c>
      <c r="U86" s="122">
        <f t="shared" si="9"/>
        <v>15120000</v>
      </c>
      <c r="V86" s="162">
        <f t="shared" si="10"/>
        <v>108000</v>
      </c>
      <c r="W86" s="193" t="s">
        <v>182</v>
      </c>
      <c r="X86" s="163">
        <v>97947</v>
      </c>
      <c r="Y86" s="164">
        <v>184.47499764572899</v>
      </c>
      <c r="Z86" s="163">
        <v>53095</v>
      </c>
    </row>
    <row r="87" spans="1:26" s="67" customFormat="1" ht="15" customHeight="1">
      <c r="A87" s="191" t="s">
        <v>208</v>
      </c>
      <c r="B87" s="165" t="s">
        <v>187</v>
      </c>
      <c r="C87" s="166" t="s">
        <v>246</v>
      </c>
      <c r="D87" s="166" t="s">
        <v>384</v>
      </c>
      <c r="E87" s="166" t="s">
        <v>196</v>
      </c>
      <c r="F87" s="120">
        <v>1</v>
      </c>
      <c r="G87" s="120">
        <v>2</v>
      </c>
      <c r="H87" s="120" t="s">
        <v>209</v>
      </c>
      <c r="I87" s="120" t="s">
        <v>211</v>
      </c>
      <c r="J87" s="120" t="s">
        <v>189</v>
      </c>
      <c r="K87" s="120">
        <v>10</v>
      </c>
      <c r="L87" s="120" t="s">
        <v>212</v>
      </c>
      <c r="M87" s="120">
        <v>3</v>
      </c>
      <c r="N87" s="120" t="s">
        <v>213</v>
      </c>
      <c r="O87" s="192">
        <v>-1909453</v>
      </c>
      <c r="P87" s="121">
        <v>3500000</v>
      </c>
      <c r="Q87" s="121">
        <f t="shared" si="13"/>
        <v>2520000</v>
      </c>
      <c r="R87" s="161">
        <f t="shared" si="6"/>
        <v>18000</v>
      </c>
      <c r="S87" s="121">
        <f t="shared" si="7"/>
        <v>7560000</v>
      </c>
      <c r="T87" s="121">
        <f t="shared" si="12"/>
        <v>7560000</v>
      </c>
      <c r="U87" s="122">
        <f t="shared" si="9"/>
        <v>15120000</v>
      </c>
      <c r="V87" s="162">
        <f t="shared" si="10"/>
        <v>108000</v>
      </c>
      <c r="W87" s="193" t="s">
        <v>182</v>
      </c>
      <c r="X87" s="163">
        <v>47259</v>
      </c>
      <c r="Y87" s="164">
        <v>89.008381203503106</v>
      </c>
      <c r="Z87" s="163">
        <v>53095</v>
      </c>
    </row>
    <row r="88" spans="1:26" s="67" customFormat="1" ht="15" customHeight="1">
      <c r="A88" s="191" t="s">
        <v>208</v>
      </c>
      <c r="B88" s="165" t="s">
        <v>187</v>
      </c>
      <c r="C88" s="166" t="s">
        <v>281</v>
      </c>
      <c r="D88" s="166" t="s">
        <v>385</v>
      </c>
      <c r="E88" s="166" t="s">
        <v>196</v>
      </c>
      <c r="F88" s="120">
        <v>1</v>
      </c>
      <c r="G88" s="120">
        <v>2</v>
      </c>
      <c r="H88" s="120" t="s">
        <v>209</v>
      </c>
      <c r="I88" s="120" t="s">
        <v>211</v>
      </c>
      <c r="J88" s="120" t="s">
        <v>189</v>
      </c>
      <c r="K88" s="120">
        <v>10</v>
      </c>
      <c r="L88" s="120" t="s">
        <v>212</v>
      </c>
      <c r="M88" s="120">
        <v>2</v>
      </c>
      <c r="N88" s="120" t="s">
        <v>213</v>
      </c>
      <c r="O88" s="192">
        <v>-1960932.5</v>
      </c>
      <c r="P88" s="121">
        <v>3500000</v>
      </c>
      <c r="Q88" s="121">
        <f t="shared" si="13"/>
        <v>2520000</v>
      </c>
      <c r="R88" s="161">
        <f t="shared" si="6"/>
        <v>18000</v>
      </c>
      <c r="S88" s="121">
        <f t="shared" si="7"/>
        <v>5040000</v>
      </c>
      <c r="T88" s="121">
        <f t="shared" si="12"/>
        <v>5040000</v>
      </c>
      <c r="U88" s="122">
        <f t="shared" si="9"/>
        <v>10080000</v>
      </c>
      <c r="V88" s="162">
        <f t="shared" si="10"/>
        <v>72000</v>
      </c>
      <c r="W88" s="193" t="s">
        <v>182</v>
      </c>
      <c r="X88" s="163">
        <v>111429</v>
      </c>
      <c r="Y88" s="164">
        <v>150.771249966173</v>
      </c>
      <c r="Z88" s="163">
        <v>73906</v>
      </c>
    </row>
    <row r="89" spans="1:26" s="67" customFormat="1" ht="15" customHeight="1">
      <c r="A89" s="191" t="s">
        <v>208</v>
      </c>
      <c r="B89" s="165" t="s">
        <v>187</v>
      </c>
      <c r="C89" s="166" t="s">
        <v>281</v>
      </c>
      <c r="D89" s="166" t="s">
        <v>386</v>
      </c>
      <c r="E89" s="166" t="s">
        <v>196</v>
      </c>
      <c r="F89" s="120">
        <v>1</v>
      </c>
      <c r="G89" s="120">
        <v>2</v>
      </c>
      <c r="H89" s="120" t="s">
        <v>209</v>
      </c>
      <c r="I89" s="120" t="s">
        <v>211</v>
      </c>
      <c r="J89" s="120" t="s">
        <v>189</v>
      </c>
      <c r="K89" s="120">
        <v>10</v>
      </c>
      <c r="L89" s="120" t="s">
        <v>212</v>
      </c>
      <c r="M89" s="120">
        <v>2</v>
      </c>
      <c r="N89" s="120" t="s">
        <v>213</v>
      </c>
      <c r="O89" s="192">
        <v>-2218330</v>
      </c>
      <c r="P89" s="121">
        <v>3500000</v>
      </c>
      <c r="Q89" s="121">
        <f t="shared" si="13"/>
        <v>2520000</v>
      </c>
      <c r="R89" s="161">
        <f t="shared" si="6"/>
        <v>18000</v>
      </c>
      <c r="S89" s="121">
        <f t="shared" si="7"/>
        <v>5040000</v>
      </c>
      <c r="T89" s="121">
        <f t="shared" si="12"/>
        <v>5040000</v>
      </c>
      <c r="U89" s="122">
        <f t="shared" si="9"/>
        <v>10080000</v>
      </c>
      <c r="V89" s="162">
        <f t="shared" si="10"/>
        <v>72000</v>
      </c>
      <c r="W89" s="193" t="s">
        <v>182</v>
      </c>
      <c r="X89" s="163">
        <v>158066</v>
      </c>
      <c r="Y89" s="164">
        <v>213.87438097042099</v>
      </c>
      <c r="Z89" s="163">
        <v>73906</v>
      </c>
    </row>
    <row r="90" spans="1:26" s="213" customFormat="1" ht="15" customHeight="1">
      <c r="A90" s="211" t="s">
        <v>208</v>
      </c>
      <c r="B90" s="203" t="s">
        <v>187</v>
      </c>
      <c r="C90" s="166" t="s">
        <v>281</v>
      </c>
      <c r="D90" s="166" t="s">
        <v>387</v>
      </c>
      <c r="E90" s="166" t="s">
        <v>196</v>
      </c>
      <c r="F90" s="204">
        <v>1</v>
      </c>
      <c r="G90" s="204">
        <v>2</v>
      </c>
      <c r="H90" s="204" t="s">
        <v>209</v>
      </c>
      <c r="I90" s="204" t="s">
        <v>211</v>
      </c>
      <c r="J90" s="204" t="s">
        <v>189</v>
      </c>
      <c r="K90" s="204">
        <v>10</v>
      </c>
      <c r="L90" s="204" t="s">
        <v>212</v>
      </c>
      <c r="M90" s="120">
        <v>2</v>
      </c>
      <c r="N90" s="204" t="s">
        <v>213</v>
      </c>
      <c r="O90" s="208">
        <v>-2269809.5</v>
      </c>
      <c r="P90" s="206">
        <v>3500000</v>
      </c>
      <c r="Q90" s="206">
        <f t="shared" si="13"/>
        <v>2520000</v>
      </c>
      <c r="R90" s="161">
        <f t="shared" si="6"/>
        <v>18000</v>
      </c>
      <c r="S90" s="206">
        <f t="shared" si="7"/>
        <v>5040000</v>
      </c>
      <c r="T90" s="206">
        <f t="shared" si="12"/>
        <v>5040000</v>
      </c>
      <c r="U90" s="207">
        <f t="shared" si="9"/>
        <v>10080000</v>
      </c>
      <c r="V90" s="162">
        <f t="shared" si="10"/>
        <v>72000</v>
      </c>
      <c r="W90" s="212" t="s">
        <v>182</v>
      </c>
      <c r="X90" s="208">
        <v>83899</v>
      </c>
      <c r="Y90" s="209">
        <v>113.521229670121</v>
      </c>
      <c r="Z90" s="208">
        <v>73906</v>
      </c>
    </row>
    <row r="91" spans="1:26" s="67" customFormat="1" ht="15" customHeight="1">
      <c r="A91" s="191" t="s">
        <v>208</v>
      </c>
      <c r="B91" s="165" t="s">
        <v>187</v>
      </c>
      <c r="C91" s="166" t="s">
        <v>281</v>
      </c>
      <c r="D91" s="166" t="s">
        <v>388</v>
      </c>
      <c r="E91" s="166" t="s">
        <v>200</v>
      </c>
      <c r="F91" s="120">
        <v>1</v>
      </c>
      <c r="G91" s="120">
        <v>2</v>
      </c>
      <c r="H91" s="120" t="s">
        <v>209</v>
      </c>
      <c r="I91" s="120" t="s">
        <v>211</v>
      </c>
      <c r="J91" s="120" t="s">
        <v>189</v>
      </c>
      <c r="K91" s="120">
        <v>10</v>
      </c>
      <c r="L91" s="120" t="s">
        <v>212</v>
      </c>
      <c r="M91" s="120">
        <v>2</v>
      </c>
      <c r="N91" s="120" t="s">
        <v>213</v>
      </c>
      <c r="O91" s="192">
        <v>-2321289</v>
      </c>
      <c r="P91" s="121">
        <v>3500000</v>
      </c>
      <c r="Q91" s="121">
        <f t="shared" si="13"/>
        <v>2520000</v>
      </c>
      <c r="R91" s="161">
        <f t="shared" si="6"/>
        <v>18000</v>
      </c>
      <c r="S91" s="121">
        <f t="shared" si="7"/>
        <v>5040000</v>
      </c>
      <c r="T91" s="121">
        <f t="shared" si="12"/>
        <v>5040000</v>
      </c>
      <c r="U91" s="122">
        <f t="shared" si="9"/>
        <v>10080000</v>
      </c>
      <c r="V91" s="162">
        <f t="shared" si="10"/>
        <v>72000</v>
      </c>
      <c r="W91" s="193" t="s">
        <v>182</v>
      </c>
      <c r="X91" s="163">
        <v>133921</v>
      </c>
      <c r="Y91" s="164">
        <v>181.20450301734601</v>
      </c>
      <c r="Z91" s="163">
        <v>73906</v>
      </c>
    </row>
    <row r="92" spans="1:26" s="67" customFormat="1" ht="15" customHeight="1">
      <c r="A92" s="191" t="s">
        <v>208</v>
      </c>
      <c r="B92" s="165" t="s">
        <v>187</v>
      </c>
      <c r="C92" s="166" t="s">
        <v>281</v>
      </c>
      <c r="D92" s="166" t="s">
        <v>389</v>
      </c>
      <c r="E92" s="166" t="s">
        <v>196</v>
      </c>
      <c r="F92" s="120">
        <v>1</v>
      </c>
      <c r="G92" s="120">
        <v>2</v>
      </c>
      <c r="H92" s="120" t="s">
        <v>209</v>
      </c>
      <c r="I92" s="120" t="s">
        <v>211</v>
      </c>
      <c r="J92" s="120" t="s">
        <v>189</v>
      </c>
      <c r="K92" s="120">
        <v>10</v>
      </c>
      <c r="L92" s="120" t="s">
        <v>212</v>
      </c>
      <c r="M92" s="120">
        <v>2</v>
      </c>
      <c r="N92" s="120" t="s">
        <v>213</v>
      </c>
      <c r="O92" s="192">
        <v>-2372768.5</v>
      </c>
      <c r="P92" s="121">
        <v>3500000</v>
      </c>
      <c r="Q92" s="121">
        <f t="shared" si="13"/>
        <v>2520000</v>
      </c>
      <c r="R92" s="161">
        <f t="shared" si="6"/>
        <v>18000</v>
      </c>
      <c r="S92" s="121">
        <f t="shared" si="7"/>
        <v>5040000</v>
      </c>
      <c r="T92" s="121">
        <f t="shared" si="12"/>
        <v>5040000</v>
      </c>
      <c r="U92" s="122">
        <f t="shared" si="9"/>
        <v>10080000</v>
      </c>
      <c r="V92" s="162">
        <f t="shared" si="10"/>
        <v>72000</v>
      </c>
      <c r="W92" s="193" t="s">
        <v>182</v>
      </c>
      <c r="X92" s="163">
        <v>94554</v>
      </c>
      <c r="Y92" s="164">
        <v>127.93819175709601</v>
      </c>
      <c r="Z92" s="163">
        <v>73906</v>
      </c>
    </row>
    <row r="93" spans="1:26" s="5" customFormat="1" ht="15" customHeight="1">
      <c r="A93" s="191" t="s">
        <v>208</v>
      </c>
      <c r="B93" s="165" t="s">
        <v>187</v>
      </c>
      <c r="C93" s="166" t="s">
        <v>281</v>
      </c>
      <c r="D93" s="166" t="s">
        <v>472</v>
      </c>
      <c r="E93" s="166" t="s">
        <v>200</v>
      </c>
      <c r="F93" s="120">
        <v>1</v>
      </c>
      <c r="G93" s="120">
        <v>2</v>
      </c>
      <c r="H93" s="120" t="s">
        <v>209</v>
      </c>
      <c r="I93" s="120" t="s">
        <v>211</v>
      </c>
      <c r="J93" s="120" t="s">
        <v>189</v>
      </c>
      <c r="K93" s="120">
        <v>10</v>
      </c>
      <c r="L93" s="120" t="s">
        <v>212</v>
      </c>
      <c r="M93" s="120">
        <v>2</v>
      </c>
      <c r="N93" s="120" t="s">
        <v>213</v>
      </c>
      <c r="O93" s="192">
        <v>-2424248</v>
      </c>
      <c r="P93" s="121">
        <v>3500000</v>
      </c>
      <c r="Q93" s="121">
        <f t="shared" si="13"/>
        <v>2520000</v>
      </c>
      <c r="R93" s="161">
        <f t="shared" si="6"/>
        <v>18000</v>
      </c>
      <c r="S93" s="121">
        <f t="shared" si="7"/>
        <v>5040000</v>
      </c>
      <c r="T93" s="121">
        <f t="shared" si="12"/>
        <v>5040000</v>
      </c>
      <c r="U93" s="122">
        <f t="shared" si="9"/>
        <v>10080000</v>
      </c>
      <c r="V93" s="162">
        <f t="shared" si="10"/>
        <v>72000</v>
      </c>
      <c r="W93" s="193" t="s">
        <v>182</v>
      </c>
      <c r="X93" s="163">
        <v>141503</v>
      </c>
      <c r="Y93" s="164">
        <v>191.46348063756599</v>
      </c>
      <c r="Z93" s="163">
        <v>73906</v>
      </c>
    </row>
    <row r="94" spans="1:26" s="214" customFormat="1" ht="15" customHeight="1">
      <c r="A94" s="211" t="s">
        <v>208</v>
      </c>
      <c r="B94" s="203" t="s">
        <v>187</v>
      </c>
      <c r="C94" s="166" t="s">
        <v>281</v>
      </c>
      <c r="D94" s="166" t="s">
        <v>473</v>
      </c>
      <c r="E94" s="166" t="s">
        <v>289</v>
      </c>
      <c r="F94" s="204">
        <v>1</v>
      </c>
      <c r="G94" s="204">
        <v>2</v>
      </c>
      <c r="H94" s="204" t="s">
        <v>209</v>
      </c>
      <c r="I94" s="204" t="s">
        <v>211</v>
      </c>
      <c r="J94" s="204" t="s">
        <v>189</v>
      </c>
      <c r="K94" s="204">
        <v>10</v>
      </c>
      <c r="L94" s="204" t="s">
        <v>212</v>
      </c>
      <c r="M94" s="120">
        <v>2</v>
      </c>
      <c r="N94" s="204" t="s">
        <v>213</v>
      </c>
      <c r="O94" s="208">
        <v>-2527207</v>
      </c>
      <c r="P94" s="206">
        <v>3500000</v>
      </c>
      <c r="Q94" s="206">
        <f t="shared" si="13"/>
        <v>2520000</v>
      </c>
      <c r="R94" s="161">
        <f t="shared" si="6"/>
        <v>18000</v>
      </c>
      <c r="S94" s="206">
        <f t="shared" si="7"/>
        <v>5040000</v>
      </c>
      <c r="T94" s="206">
        <f t="shared" si="12"/>
        <v>5040000</v>
      </c>
      <c r="U94" s="207">
        <f t="shared" si="9"/>
        <v>10080000</v>
      </c>
      <c r="V94" s="162">
        <f t="shared" si="10"/>
        <v>72000</v>
      </c>
      <c r="W94" s="212" t="s">
        <v>182</v>
      </c>
      <c r="X94" s="208">
        <v>166292</v>
      </c>
      <c r="Y94" s="209">
        <v>225.00473574540601</v>
      </c>
      <c r="Z94" s="208">
        <v>73906</v>
      </c>
    </row>
    <row r="95" spans="1:26" ht="15">
      <c r="A95" s="191" t="s">
        <v>208</v>
      </c>
      <c r="B95" s="165" t="s">
        <v>187</v>
      </c>
      <c r="C95" s="166" t="s">
        <v>281</v>
      </c>
      <c r="D95" s="166" t="s">
        <v>474</v>
      </c>
      <c r="E95" s="166" t="s">
        <v>240</v>
      </c>
      <c r="F95" s="120">
        <v>1</v>
      </c>
      <c r="G95" s="120">
        <v>2</v>
      </c>
      <c r="H95" s="120" t="s">
        <v>209</v>
      </c>
      <c r="I95" s="120" t="s">
        <v>211</v>
      </c>
      <c r="J95" s="120" t="s">
        <v>189</v>
      </c>
      <c r="K95" s="120">
        <v>10</v>
      </c>
      <c r="L95" s="120" t="s">
        <v>212</v>
      </c>
      <c r="M95" s="120">
        <v>2</v>
      </c>
      <c r="N95" s="120" t="s">
        <v>213</v>
      </c>
      <c r="O95" s="192">
        <v>-2578686.5</v>
      </c>
      <c r="P95" s="121">
        <v>3500000</v>
      </c>
      <c r="Q95" s="121">
        <f t="shared" si="13"/>
        <v>2520000</v>
      </c>
      <c r="R95" s="161">
        <f t="shared" si="6"/>
        <v>18000</v>
      </c>
      <c r="S95" s="121">
        <f t="shared" si="7"/>
        <v>5040000</v>
      </c>
      <c r="T95" s="121">
        <f t="shared" si="12"/>
        <v>5040000</v>
      </c>
      <c r="U95" s="122">
        <f t="shared" si="9"/>
        <v>10080000</v>
      </c>
      <c r="V95" s="162">
        <f t="shared" si="10"/>
        <v>72000</v>
      </c>
      <c r="W95" s="193" t="s">
        <v>182</v>
      </c>
      <c r="X95" s="163">
        <v>108003</v>
      </c>
      <c r="Y95" s="164">
        <v>146.13563174843699</v>
      </c>
      <c r="Z95" s="163">
        <v>73906</v>
      </c>
    </row>
    <row r="96" spans="1:26" ht="15">
      <c r="A96" s="191" t="s">
        <v>208</v>
      </c>
      <c r="B96" s="165" t="s">
        <v>187</v>
      </c>
      <c r="C96" s="166" t="s">
        <v>410</v>
      </c>
      <c r="D96" s="166" t="s">
        <v>411</v>
      </c>
      <c r="E96" s="166" t="s">
        <v>196</v>
      </c>
      <c r="F96" s="120">
        <v>1</v>
      </c>
      <c r="G96" s="120">
        <v>2</v>
      </c>
      <c r="H96" s="120" t="s">
        <v>209</v>
      </c>
      <c r="I96" s="120" t="s">
        <v>211</v>
      </c>
      <c r="J96" s="120" t="s">
        <v>189</v>
      </c>
      <c r="K96" s="120">
        <v>10</v>
      </c>
      <c r="L96" s="120" t="s">
        <v>212</v>
      </c>
      <c r="M96" s="120">
        <v>2</v>
      </c>
      <c r="N96" s="120" t="s">
        <v>213</v>
      </c>
      <c r="O96" s="192">
        <v>-2681645.5</v>
      </c>
      <c r="P96" s="121">
        <v>3500000</v>
      </c>
      <c r="Q96" s="121">
        <f t="shared" si="13"/>
        <v>2520000</v>
      </c>
      <c r="R96" s="161">
        <f t="shared" si="6"/>
        <v>18000</v>
      </c>
      <c r="S96" s="121">
        <f t="shared" si="7"/>
        <v>5040000</v>
      </c>
      <c r="T96" s="121">
        <f t="shared" si="12"/>
        <v>5040000</v>
      </c>
      <c r="U96" s="122">
        <f t="shared" si="9"/>
        <v>10080000</v>
      </c>
      <c r="V96" s="162">
        <f t="shared" si="10"/>
        <v>72000</v>
      </c>
      <c r="W96" s="193" t="s">
        <v>182</v>
      </c>
      <c r="X96" s="163">
        <v>87947</v>
      </c>
      <c r="Y96" s="164">
        <v>166.97423629701299</v>
      </c>
      <c r="Z96" s="163">
        <v>52671</v>
      </c>
    </row>
    <row r="97" spans="1:26" ht="15">
      <c r="A97" s="191" t="s">
        <v>208</v>
      </c>
      <c r="B97" s="165" t="s">
        <v>187</v>
      </c>
      <c r="C97" s="166" t="s">
        <v>410</v>
      </c>
      <c r="D97" s="166" t="s">
        <v>413</v>
      </c>
      <c r="E97" s="166" t="s">
        <v>196</v>
      </c>
      <c r="F97" s="120">
        <v>1</v>
      </c>
      <c r="G97" s="120">
        <v>2</v>
      </c>
      <c r="H97" s="120" t="s">
        <v>209</v>
      </c>
      <c r="I97" s="120" t="s">
        <v>211</v>
      </c>
      <c r="J97" s="120" t="s">
        <v>189</v>
      </c>
      <c r="K97" s="120">
        <v>10</v>
      </c>
      <c r="L97" s="120" t="s">
        <v>212</v>
      </c>
      <c r="M97" s="120">
        <v>2</v>
      </c>
      <c r="N97" s="120" t="s">
        <v>213</v>
      </c>
      <c r="O97" s="192">
        <v>-2733125</v>
      </c>
      <c r="P97" s="121">
        <v>3500000</v>
      </c>
      <c r="Q97" s="121">
        <f t="shared" si="13"/>
        <v>2520000</v>
      </c>
      <c r="R97" s="161">
        <f t="shared" ref="R97:R98" si="14">Q97/140</f>
        <v>18000</v>
      </c>
      <c r="S97" s="121">
        <f t="shared" ref="S97:S98" si="15">Q97*M97</f>
        <v>5040000</v>
      </c>
      <c r="T97" s="121">
        <f t="shared" si="12"/>
        <v>5040000</v>
      </c>
      <c r="U97" s="122">
        <f t="shared" ref="U97:U98" si="16">S97+T97</f>
        <v>10080000</v>
      </c>
      <c r="V97" s="162">
        <f t="shared" ref="V97:V98" si="17">U97/140</f>
        <v>72000</v>
      </c>
      <c r="W97" s="193" t="s">
        <v>182</v>
      </c>
      <c r="X97" s="163">
        <v>166715</v>
      </c>
      <c r="Y97" s="164">
        <v>316.52142545233602</v>
      </c>
      <c r="Z97" s="163">
        <v>52671</v>
      </c>
    </row>
    <row r="98" spans="1:26" ht="15">
      <c r="A98" s="191" t="s">
        <v>208</v>
      </c>
      <c r="B98" s="165" t="s">
        <v>187</v>
      </c>
      <c r="C98" s="166" t="s">
        <v>410</v>
      </c>
      <c r="D98" s="166" t="s">
        <v>412</v>
      </c>
      <c r="E98" s="166" t="s">
        <v>196</v>
      </c>
      <c r="F98" s="120">
        <v>1</v>
      </c>
      <c r="G98" s="120">
        <v>2</v>
      </c>
      <c r="H98" s="120" t="s">
        <v>209</v>
      </c>
      <c r="I98" s="120" t="s">
        <v>211</v>
      </c>
      <c r="J98" s="120" t="s">
        <v>189</v>
      </c>
      <c r="K98" s="120">
        <v>10</v>
      </c>
      <c r="L98" s="120" t="s">
        <v>212</v>
      </c>
      <c r="M98" s="120">
        <v>2</v>
      </c>
      <c r="N98" s="120" t="s">
        <v>213</v>
      </c>
      <c r="O98" s="192">
        <v>-2784604.5</v>
      </c>
      <c r="P98" s="121">
        <v>3500000</v>
      </c>
      <c r="Q98" s="121">
        <f t="shared" si="13"/>
        <v>2520000</v>
      </c>
      <c r="R98" s="161">
        <f t="shared" si="14"/>
        <v>18000</v>
      </c>
      <c r="S98" s="121">
        <f t="shared" si="15"/>
        <v>5040000</v>
      </c>
      <c r="T98" s="121">
        <f t="shared" si="12"/>
        <v>5040000</v>
      </c>
      <c r="U98" s="122">
        <f t="shared" si="16"/>
        <v>10080000</v>
      </c>
      <c r="V98" s="162">
        <f t="shared" si="17"/>
        <v>72000</v>
      </c>
      <c r="W98" s="193" t="s">
        <v>182</v>
      </c>
      <c r="X98" s="163">
        <v>106919</v>
      </c>
      <c r="Y98" s="164">
        <v>202.994057450969</v>
      </c>
      <c r="Z98" s="163">
        <v>52671</v>
      </c>
    </row>
    <row r="99" spans="1:26" s="5" customFormat="1" ht="15" customHeight="1">
      <c r="A99" s="194"/>
      <c r="B99" s="195"/>
      <c r="C99" s="196"/>
      <c r="D99" s="197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>
        <f t="shared" ref="P99:V99" si="18">SUM(P9:P98)</f>
        <v>334000000</v>
      </c>
      <c r="Q99" s="198">
        <f t="shared" si="18"/>
        <v>240480000</v>
      </c>
      <c r="R99" s="199">
        <f t="shared" si="18"/>
        <v>1717714.2857142854</v>
      </c>
      <c r="S99" s="198">
        <f t="shared" si="18"/>
        <v>493560000</v>
      </c>
      <c r="T99" s="198">
        <f t="shared" si="18"/>
        <v>493560000</v>
      </c>
      <c r="U99" s="198">
        <f>SUM(U9:U98)</f>
        <v>987120000</v>
      </c>
      <c r="V99" s="200">
        <f t="shared" si="18"/>
        <v>7050857.1428571418</v>
      </c>
      <c r="W99" s="198"/>
      <c r="X99" s="198"/>
      <c r="Y99" s="198"/>
      <c r="Z99" s="198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D81:D98" name="Диапазон1_17_1"/>
    <protectedRange algorithmName="SHA-512" hashValue="20tZejZtY/ZGRcGLZm0ZbWfCu51ejQGMqdRYwv0b9rb/5Q/ejFDHQOXySZDQbnMuPhvZC4Bfbq/BWdBxp9Ls4w==" saltValue="Q+V8rXhHsE4u/j5xUQJeAg==" spinCount="100000" sqref="E81:E98" name="Диапазон1_2_1"/>
    <protectedRange sqref="X9:Z98" name="Range1_1"/>
  </protectedRanges>
  <autoFilter ref="A8:W99" xr:uid="{7F2819E7-DB93-4EA4-99EE-EAF35A9BFA5C}"/>
  <phoneticPr fontId="12" type="noConversion"/>
  <conditionalFormatting sqref="P2:P4">
    <cfRule type="duplicateValues" dxfId="4" priority="1"/>
  </conditionalFormatting>
  <hyperlinks>
    <hyperlink ref="B9" r:id="rId1" display="https://drive.google.com/file/d/1xW6xwUP6ilOrYau6_dSqo9cDDaJxPBPd/view?usp=sharing" xr:uid="{B90A3608-FB82-BE43-B657-0B6A84C119A0}"/>
    <hyperlink ref="B10" r:id="rId2" display="https://drive.google.com/file/d/1DzmTd2W0fVYnUbawAvP7q80z4yuWFkJg/view?usp=sharing" xr:uid="{7FA69610-E1C4-EF45-9C98-DCBCE7698014}"/>
    <hyperlink ref="B11" r:id="rId3" display="https://drive.google.com/file/d/1xywnr82eM7e4EtwnAtz-8v4Pr33bkskc/view?usp=sharing" xr:uid="{F2EA7C8B-74F0-144D-9C2B-B6DCAEF1520F}"/>
    <hyperlink ref="B12" r:id="rId4" display="https://drive.google.com/file/d/1C6go8NsQQmGjifEQe0XfPuNIt4ntS_TM/view?usp=sharing" xr:uid="{75D59866-55C9-744A-ABEC-77C3DBBFFE3E}"/>
    <hyperlink ref="B14" r:id="rId5" display="https://drive.google.com/file/d/1O-r0Smtnr9t53zNNlhB--ueeDrc-dpkd/view?usp=sharing" xr:uid="{FE1DA2C7-C67D-624D-8248-4E5FE203215A}"/>
    <hyperlink ref="B15" r:id="rId6" display="https://drive.google.com/file/d/15tfIB-4ZVlWWCz4ghMDlAMdTAzNJRf32/view?usp=sharing" xr:uid="{1342A4D1-3148-DC4E-925E-BDD778CEA264}"/>
    <hyperlink ref="B16" r:id="rId7" display="https://drive.google.com/file/d/1tMficYIDQ7vL5DZhwcUsHG2MEvucDTLY/view?usp=sharing" xr:uid="{CAA086DF-D940-2E4B-AC52-E5269B7659C4}"/>
    <hyperlink ref="B17" r:id="rId8" display="https://drive.google.com/file/d/1V0yLo5Gau6sUwHblQm46hqv_xiX5pEOF/view?usp=sharing" xr:uid="{DCBA5AB8-D018-384C-828F-E9218FCB0AF2}"/>
    <hyperlink ref="B18" r:id="rId9" display="https://drive.google.com/file/d/1nFtI7bu--IhW_c_po6oCbgrFnxYkMZmv/view?usp=sharing" xr:uid="{0241F7F5-45BF-674C-B6FA-8D4C3ABD4BC5}"/>
    <hyperlink ref="B13" r:id="rId10" display="https://drive.google.com/file/d/1xqEOPFo0q9eClZA2mD-CFAX_eRffHq8A/view?usp=sharing" xr:uid="{0208C0AD-1503-E240-92D1-B9E7D4BA5059}"/>
    <hyperlink ref="B22" r:id="rId11" display="https://drive.google.com/file/d/1XDUxmv6U2P6csDfWTBLOrW5xZI6LUt0j/view?usp=sharing" xr:uid="{BC47F065-B05F-7C4D-A499-7869DC7AD2DF}"/>
    <hyperlink ref="B23" r:id="rId12" display="https://drive.google.com/file/d/11jvvpVYYUhpXZVLmFWh724o0GGCkQdCg/view?usp=sharing" xr:uid="{FE2EF657-4FDE-4342-AC0D-7BAFD3952AFE}"/>
    <hyperlink ref="B24" r:id="rId13" display="https://drive.google.com/file/d/16DOWyaHfPapR_E09Yq9ZNgz6I5L9uaoR/view?usp=sharing" xr:uid="{800DED21-6463-2341-A992-0320A97C7EF9}"/>
    <hyperlink ref="B25" r:id="rId14" display="https://drive.google.com/file/d/1TZ6wUxG5eRajjfI5WOIcbwXftjOz8b3X/view?usp=sharing" xr:uid="{A34E90AA-C9B9-1645-908E-3BEB85E27F65}"/>
    <hyperlink ref="B26" r:id="rId15" display="https://drive.google.com/file/d/1B7HyiBCH1WA26VNLLscTZPfdrU54FM0W/view?usp=sharing" xr:uid="{0D5F71E4-20C4-414A-8956-2F0B782A620C}"/>
    <hyperlink ref="B27" r:id="rId16" display="https://drive.google.com/file/d/19KWhq7ff9uHpLUqt9rh4Xh6gr8UMmFq3/view?usp=sharing" xr:uid="{3FB55DC9-04C1-6248-9616-115283417374}"/>
    <hyperlink ref="B28" r:id="rId17" display="https://drive.google.com/file/d/1DnQCrn1_5HjcvTC9NAU6Ct9mHPa_SG48/view?usp=sharing" xr:uid="{14168B7D-E7D0-8847-9B29-8021D8F6E7F2}"/>
    <hyperlink ref="B30" r:id="rId18" display="https://drive.google.com/file/d/1hxEaZrQobTzYpc-MNOyj-gMtGOMltt7J/view?usp=sharing" xr:uid="{A9E91DA5-3BB2-E849-9FDD-4A8D3ECF25FA}"/>
    <hyperlink ref="B31" r:id="rId19" display="https://drive.google.com/file/d/1jGc72dQgEBmA678zSfJKUGk5C4OoB53Q/view?usp=sharing" xr:uid="{CB671E16-5A0E-0F45-86FC-6840505CD4B9}"/>
    <hyperlink ref="B32" r:id="rId20" display="https://drive.google.com/file/d/1pvc1ze9XaDa9zXqrR_L4HnuviO57fuh2/view?usp=sharing" xr:uid="{92097108-5E3D-C643-BBAA-B8E3A852AE1A}"/>
    <hyperlink ref="B33" r:id="rId21" display="https://drive.google.com/file/d/1wNbKCTCkLv46KYIKxXck4xW0wruPSbJq/view?usp=sharing" xr:uid="{D2BFC322-7717-3D4D-AD1B-C1DDC72DEFB6}"/>
    <hyperlink ref="B37" r:id="rId22" display="https://drive.google.com/file/d/1FLlNBupcjSkQ3SH0f6Vsyvtj23fAG5-K/view?usp=sharing" xr:uid="{236173AF-0E69-2C46-94AC-716C7015C617}"/>
    <hyperlink ref="B34" r:id="rId23" display="https://drive.google.com/file/d/15Hb-k_Fhmm_pCvIIhcPy7DDhZ2OJj48u/view?usp=sharing" xr:uid="{103E1562-10EE-0A4B-9CB0-F641690DDD82}"/>
    <hyperlink ref="B36" r:id="rId24" display="https://drive.google.com/file/d/1wkazpC2cwFnMzdXp-6qimQwV8mdiXTd3/view?usp=sharing" xr:uid="{1F1058DC-927C-1E41-8576-91FAE3AC2120}"/>
    <hyperlink ref="B35" r:id="rId25" display="https://drive.google.com/file/d/1JqVzDTrTw1nq6KGrQAtTHCcCFO7eUm8j/view?usp=sharing" xr:uid="{BE84132B-3D85-0D4A-AD5C-3FE3C955E385}"/>
    <hyperlink ref="B38" r:id="rId26" display="https://drive.google.com/file/d/1hU7dDX2bWAq4p314buatHA4tfDFA1Pq5/view?usp=sharing" xr:uid="{01CF73B8-DC4A-704E-B141-1E4B666530FD}"/>
    <hyperlink ref="B39" r:id="rId27" display="https://drive.google.com/file/d/1H5FJc-JJq73SFyfUDdXNELZf0UpKye9s/view?usp=sharing" xr:uid="{E7E6CAB3-47B9-C446-818C-9369A91A647B}"/>
    <hyperlink ref="B40" r:id="rId28" display="https://drive.google.com/file/d/1NkhpWoiIkaDjNwP0FiozdASCZaZg7i98/view?usp=sharing" xr:uid="{84FC3B20-2C7B-2543-BD39-C4AFFDC09859}"/>
    <hyperlink ref="B41" r:id="rId29" display="https://drive.google.com/file/d/1KqmjnS2m0Bk-nJGflTRRAchGM_q0JThC/view?usp=sharing" xr:uid="{5FF2412E-53E0-394D-AE21-B6BBC69AAA6A}"/>
    <hyperlink ref="B51" r:id="rId30" display="https://drive.google.com/file/d/11Na_weSbJAy1DHrAx9CEYyTmqtrbWl-o/view?usp=sharing" xr:uid="{99048BF0-610F-7846-B97E-15246B652200}"/>
    <hyperlink ref="B42" r:id="rId31" display="https://drive.google.com/file/d/1CV5lpg_fpf5ygUiFk5A43TfRKpUgresl/view?usp=sharing" xr:uid="{01C0E7EF-BDC4-764E-9F6B-C49D86512D57}"/>
    <hyperlink ref="B43" r:id="rId32" display="https://drive.google.com/file/d/1k7J92lscd1vBFhL0S9K_plN1u91Bnfx6/view?usp=sharing" xr:uid="{78CF7A7A-FC94-C14C-B69D-95D2F57F7F83}"/>
    <hyperlink ref="B44" r:id="rId33" display="https://drive.google.com/file/d/16FuqcsdxCAQ6pgUcC4TU2GUzgSgpfr1-/view?usp=sharing" xr:uid="{32955A43-6072-9A4F-A7C3-B80B119D5576}"/>
    <hyperlink ref="B45" r:id="rId34" display="https://drive.google.com/file/d/18Pz95CwQFPcePbnoUt8o6417avP4Sskz/view?usp=sharing" xr:uid="{B39511EA-44F2-5C46-907A-38544B28D8C0}"/>
    <hyperlink ref="B46" r:id="rId35" display="https://drive.google.com/file/d/1IrG4xk8CC5-G_ZF9FXprsRyJmADc3XQa/view?usp=sharing" xr:uid="{7F4A1008-8A8C-1C4E-8CDE-1F567AEB1D24}"/>
    <hyperlink ref="B47" r:id="rId36" display="https://drive.google.com/file/d/16g3SKig4mD9yNk86XXOIHJeLnPwjcfpH/view?usp=sharing" xr:uid="{6C01725A-D568-6A4E-A8D0-1CA99401B211}"/>
    <hyperlink ref="B48" r:id="rId37" display="https://drive.google.com/file/d/1Blkbtw2uYfjndUbRgFkAgqKnikel2z40/view?usp=sharing" xr:uid="{531B3509-752E-AA45-AF27-5110FBB99363}"/>
    <hyperlink ref="B49" r:id="rId38" display="https://drive.google.com/file/d/1cpw00QnHdNzNoWhlKEdaC0U-127rSz0y/view?usp=sharing" xr:uid="{6FFCA2A5-A648-6646-A753-1915496C511D}"/>
    <hyperlink ref="B50" r:id="rId39" display="https://drive.google.com/file/d/1sB9-BDRXWt5JT3MWd97DhsA-cnmNhL1P/view?usp=sharing" xr:uid="{372FA201-9D98-6F42-8E4F-6C2B66786EBF}"/>
    <hyperlink ref="B53" r:id="rId40" display="https://drive.google.com/file/d/1YSk_GvU6-OZEd87kx63F09Zp4hAXNjcb/view?usp=sharing" xr:uid="{724D209F-DDDA-3A42-8B37-39CF5C0A32AA}"/>
    <hyperlink ref="B55" r:id="rId41" display="https://drive.google.com/file/d/1VUOJr_-pgS1AS3ugYs5_lKDD7zl0Npvd/view?usp=sharing" xr:uid="{76EB3131-C9B8-464E-BCA1-9D6375A7E666}"/>
    <hyperlink ref="B56" r:id="rId42" display="https://drive.google.com/file/d/1ONXVeaA2AvHXV3Xy_Qp1_DnD00LCuHMa/view?usp=sharing" xr:uid="{5221E9F4-2E27-8C4B-A9C1-40D75E90D404}"/>
    <hyperlink ref="B57" r:id="rId43" display="https://drive.google.com/file/d/1vMTm7KCKRC1kRx6Pe9J_15irWa8XE1ko/view?usp=sharing" xr:uid="{71B843C5-8745-8348-8E1C-C07C464A2F9C}"/>
    <hyperlink ref="B58" r:id="rId44" display="https://drive.google.com/file/d/1a1M3KK9fFbtFRJ2tHmbSAqUxCqecRRxD/view?usp=sharing" xr:uid="{FE412088-8F86-C64C-858F-8B14302F4692}"/>
    <hyperlink ref="B59" r:id="rId45" display="https://drive.google.com/file/d/1Ix2D3ZraAvY9TY6kxCjzkZzDsBV3UJCi/view?usp=sharing" xr:uid="{74262260-AF66-8C48-A04F-44A78BFF13DA}"/>
    <hyperlink ref="B60" r:id="rId46" display="https://drive.google.com/file/d/12m-SQxHXQ4xP-AeHvUJOMdPRHrt6nic_/view?usp=sharing" xr:uid="{A8A045D4-0CB5-F440-BFA3-9C55A301E604}"/>
    <hyperlink ref="B54" r:id="rId47" display="https://drive.google.com/file/d/1mk_0jnZ-8wQfe7FnkoK0JKZHPyUOA31Q/view?usp=sharing" xr:uid="{B4C50647-C198-CB4D-81C5-945F8F13D194}"/>
    <hyperlink ref="B61" r:id="rId48" display="https://drive.google.com/file/d/1zapDlGMlZnuYYnJmjvBlHkMmcPNMVKZZ/view?usp=sharing" xr:uid="{0953DA9D-35AF-284F-9C90-59EA9188EDDA}"/>
    <hyperlink ref="B29" r:id="rId49" display="https://drive.google.com/file/d/1mCg20YQsF8v856pQZyLUGfXjqY0aoE12/view?usp=sharing" xr:uid="{8EF31BE6-57D7-3142-B6B6-A079A5C2926E}"/>
    <hyperlink ref="B19" r:id="rId50" display="https://drive.google.com/file/d/1Pjam7FFsPgbAUO1jH3Arl34meWzlJA8V/view?usp=sharing" xr:uid="{E3668847-CC35-024D-B099-F3FDC654754A}"/>
    <hyperlink ref="B21" r:id="rId51" display="https://drive.google.com/file/d/1FoP6wNHULmlOZ_pPSa7I1JkjzqqVmrfO/view?usp=sharing" xr:uid="{62783AFF-FCEF-A74A-BD13-7B9F3A326C26}"/>
    <hyperlink ref="B20" r:id="rId52" display="https://drive.google.com/file/d/1KnfBDwVmoN5qFi189RHMF_iBjdDmazXl/view?usp=sharing" xr:uid="{5BD8F9CE-4AF1-AE48-9BF8-3BFA8C4A1643}"/>
    <hyperlink ref="B52" r:id="rId53" display="https://drive.google.com/file/d/1n6hs8FxT8l1Aubr9sjWtUNZ3jqT4ivJk/view?usp=sharing" xr:uid="{78C07244-84D4-9346-8980-A753DFB5AFF9}"/>
    <hyperlink ref="B62" r:id="rId54" display="https://drive.google.com/file/d/1_KEbJVw_K111XSCJOyuIrd4X__I0DaBK/view?usp=sharing" xr:uid="{A6E8F883-0C4E-FA40-B708-371CCDC96919}"/>
    <hyperlink ref="B63" r:id="rId55" display="https://drive.google.com/file/d/1UvFPM6EDdysoq-Z_-GkNml3yvw3Ox8GD/view?usp=sharing" xr:uid="{AD26D212-1911-334B-B2C8-16DE735FE460}"/>
    <hyperlink ref="B64" r:id="rId56" display="https://drive.google.com/file/d/1v2WhAr4OpRkuLQP6uJqdqsLh-x5BE4u6/view?usp=sharing" xr:uid="{41E05EA6-178D-324B-8F84-8D0FCAB0A72F}"/>
    <hyperlink ref="B65" r:id="rId57" display="https://drive.google.com/file/d/1EO2920Cdn0cKYih2d1g9BddhhFh4d-C8/view?usp=sharing" xr:uid="{433EE01E-FC57-AB4E-AD12-FCBC7C21639D}"/>
    <hyperlink ref="B66" r:id="rId58" display="https://drive.google.com/file/d/1MOKX5fHh1ggX9uV4vw-z7GOT6wSnHuJD/view?usp=sharing" xr:uid="{1CC3CF2A-422E-2F43-A90F-05FE536E365E}"/>
    <hyperlink ref="B67" r:id="rId59" display="https://drive.google.com/file/d/1ZVIogo-kP5vLaLlZPHRal3yaqxBhM6Ed/view?usp=sharing" xr:uid="{CEC769AB-CDAE-E640-AB79-996D548C16A5}"/>
    <hyperlink ref="B68" r:id="rId60" display="https://drive.google.com/file/d/1wd-FmGsFopJ_822Z9xd2RLuknp4pLAIz/view?usp=sharing" xr:uid="{9A218BB1-B171-6A4D-B321-BAB6227FBECA}"/>
    <hyperlink ref="B69" r:id="rId61" display="https://drive.google.com/file/d/19jHbbBj8NM5vKZ4Uocm8GwYPC5wRpE0Y/view?usp=sharing" xr:uid="{6C51725E-F4F9-F64A-8CE3-1F6F08BE8281}"/>
    <hyperlink ref="B71" r:id="rId62" display="https://drive.google.com/file/d/1_7eTxCGLOl0qbXhb_MVv5c35cpfxHFQw/view?usp=sharing" xr:uid="{A2655AA1-D496-D84A-AAE9-BAB07CB711C9}"/>
    <hyperlink ref="B72" r:id="rId63" display="https://drive.google.com/file/d/1RRnm_6iRac1WSE_aO8qCGHEVx4_WYPVk/view?usp=sharing" xr:uid="{6CE75868-0851-474E-9CAA-06AE6007D451}"/>
    <hyperlink ref="B73" r:id="rId64" display="https://drive.google.com/file/d/1PHmjFr-2iCg2qD9CbzED4RiJJh8UMlgp/view?usp=sharing" xr:uid="{812C55F9-C0F6-314D-8E73-5CE6C1CAD068}"/>
    <hyperlink ref="B74" r:id="rId65" display="https://drive.google.com/file/d/1TgBYbVlm6FeQmlK7tCa46vgA_OyFVi7n/view?usp=sharing" xr:uid="{77B44FCE-CF58-2741-A5B1-F534C1423604}"/>
    <hyperlink ref="B75" r:id="rId66" display="https://drive.google.com/file/d/1RRnm_6iRac1WSE_aO8qCGHEVx4_WYPVk/view?usp=sharing" xr:uid="{5894574C-815F-5246-972B-D322A9EFC051}"/>
    <hyperlink ref="B76" r:id="rId67" display="https://drive.google.com/file/d/1I0Lrl1faasURY8l9SWk4l0CaNkViKeWn/view?usp=sharing" xr:uid="{365863AF-39F9-6343-B558-7AD5533002E9}"/>
    <hyperlink ref="B77" r:id="rId68" display="https://drive.google.com/file/d/1tc0eYtvykT9q3htzlOnlhRjPw3b6dQ4M/view?usp=sharing" xr:uid="{B79746CE-3B40-9042-8DC9-FEF8A7EB2B50}"/>
    <hyperlink ref="B78" r:id="rId69" display="https://drive.google.com/file/d/1KQu7t5O18xk64xEZGBq_isvF53_FlzPS/view?usp=sharing" xr:uid="{36EF364E-CB35-7943-B75A-4D9AB95D2C57}"/>
    <hyperlink ref="B79" r:id="rId70" display="https://drive.google.com/file/d/1JmFnXcTt9nIHQCL1GIVFXPwf6BzvM1Hn/view?usp=sharing" xr:uid="{7F08018C-22C9-904C-AB69-EC97E165932C}"/>
    <hyperlink ref="B80" r:id="rId71" display="https://drive.google.com/file/d/1FqXPizhQpHY4G48WJ1UzvlKOhyPL9y1d/view?usp=sharing" xr:uid="{3776A0AB-0DAA-A54E-86F7-1BA2091E313B}"/>
    <hyperlink ref="B81" r:id="rId72" display="https://drive.google.com/file/d/1no4W0i_Wj-xPzDYkwLAA8fF6L6BmYdoU/view?usp=sharing" xr:uid="{97BF745D-9917-9244-B81A-985027E45366}"/>
    <hyperlink ref="B82" r:id="rId73" display="https://drive.google.com/file/d/1DHBpY4sLoCg6jzudQGm8pfYPEvPS4gw9/view?usp=sharing" xr:uid="{B0164C55-29A6-DD47-8045-5FED9834DEF5}"/>
    <hyperlink ref="B84" r:id="rId74" display="https://drive.google.com/file/d/1xWxh4HiaAQyTWO0R9CFTa8n4en6fldjN/view?usp=sharing" xr:uid="{A97F49C4-E5CF-BC47-9C3D-E5AB0675DE96}"/>
    <hyperlink ref="B85" r:id="rId75" display="https://drive.google.com/file/d/13Hf7_YGnFgNdn8PuI1mIWIwMa7I4srbV/view?usp=sharing" xr:uid="{6ECBA112-AE63-4D4F-AA53-D1D69EE5E164}"/>
    <hyperlink ref="B86" r:id="rId76" display="https://drive.google.com/file/d/1-bx6a4WYOXs0RD_j1A3pwFu4AX46M14L/view?usp=sharing" xr:uid="{BAE9DABB-687E-DE43-9F85-94904E186B0F}"/>
    <hyperlink ref="B87" r:id="rId77" display="https://drive.google.com/file/d/1BG56ojPO4pOTN7rHvfvp-tsve5IV5mWj/view?usp=sharing" xr:uid="{F3C84FEE-5A0E-A64D-AC8D-9786BF74E896}"/>
    <hyperlink ref="B96" r:id="rId78" display="https://drive.google.com/file/d/12moNKL8LEtZ9JK-iusXnnpP_zYoHM-dV/view?usp=sharing" xr:uid="{F4F2C196-0189-9749-8048-14DC959BFCC7}"/>
    <hyperlink ref="B98" r:id="rId79" display="https://drive.google.com/file/d/1VnadPIEMoNH0BLf1BNhKmOFRO4gD4tOv/view?usp=sharing" xr:uid="{7622464D-EE84-B847-B8B7-CD73DA067D6B}"/>
    <hyperlink ref="B97" r:id="rId80" display="https://drive.google.com/file/d/1LNfShRbO_-n1ngLGTBT1CbpEX8sgkQe8/view?usp=sharing" xr:uid="{413FB3A3-65B4-6C48-8846-BD565469E844}"/>
    <hyperlink ref="B83" r:id="rId81" display="https://drive.google.com/file/d/1epJSxlBIiKymThHCwZ4PDzoOpXnHHkeq/view?usp=sharing" xr:uid="{3E342E34-B820-6547-9AC3-FF3A404B5209}"/>
    <hyperlink ref="B92" r:id="rId82" display="https://drive.google.com/file/d/1HVXrml_MPP0mpHGxy0lltAi2lBkVLuNs/view?usp=sharing" xr:uid="{1F17A04E-A30F-C04A-BA49-56ED138DDB6B}"/>
    <hyperlink ref="B91" r:id="rId83" display="https://drive.google.com/file/d/1F2EYqpLXKfF0ng7FKvK00MaZFh2twk7j/view?usp=sharing" xr:uid="{518D5B8F-A0A8-554E-AC8E-EAD3FE0A5C08}"/>
    <hyperlink ref="B90" r:id="rId84" display="https://drive.google.com/file/d/1OqPiUQBOUnVgDWuephWs8G1jbH82Bm0U/view?usp=sharing" xr:uid="{221A08A1-A644-F047-A1C2-EC63B8C5A100}"/>
    <hyperlink ref="B89" r:id="rId85" display="https://drive.google.com/file/d/1gFeF3mKWvJL1NB6P2SL-hF-P1EDYiR2w/view?usp=sharing" xr:uid="{A13AC58E-F683-6249-B447-7A8A57D93172}"/>
    <hyperlink ref="B88" r:id="rId86" display="https://drive.google.com/file/d/1oCMCCkvlzkK-Gm8j01qYT_a6llxr33Ke/view?usp=sharing" xr:uid="{68CA6FF2-FC30-4146-9E78-8AD1F81E826F}"/>
    <hyperlink ref="B93" r:id="rId87" display="https://drive.google.com/file/d/1vC0hmFCiYHoX5Dtq7Y8TERrznebSKRc5/view?usp=sharing" xr:uid="{ABD917E9-275B-1447-AB26-2F082D52854E}"/>
    <hyperlink ref="B94" r:id="rId88" display="https://drive.google.com/file/d/1ZlxZf69d2DqnPnL1VXsl3mX7lxRpISVw/view?usp=sharing" xr:uid="{61F5CB24-5101-D740-83CE-8D9216A8BCFD}"/>
    <hyperlink ref="B95" r:id="rId89" display="https://drive.google.com/file/d/1reb4ZtUBrd3WLp6fh8eiW2kalZmUbyKH/view?usp=sharing" xr:uid="{E1AFFB2C-7C9E-E344-B607-A9CC445C49A6}"/>
    <hyperlink ref="B70" r:id="rId90" display="https://drive.google.com/file/d/1qAvd3STawtYNJtqG4y5BVfv0CAfK5ej2/view?usp=sharing" xr:uid="{3237343F-B484-5C43-86AF-C86395726111}"/>
  </hyperlinks>
  <pageMargins left="0.7" right="0.7" top="0.75" bottom="0.75" header="0.3" footer="0.3"/>
  <pageSetup paperSize="9" orientation="portrait" verticalDpi="1200" r:id="rId91"/>
  <drawing r:id="rId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B570-13B9-446F-B159-61A08938FF77}">
  <dimension ref="A1:CH23"/>
  <sheetViews>
    <sheetView topLeftCell="B1" zoomScale="62" zoomScaleNormal="120" workbookViewId="0">
      <selection activeCell="C9" sqref="C9:C20"/>
    </sheetView>
  </sheetViews>
  <sheetFormatPr defaultColWidth="19.140625" defaultRowHeight="15.75"/>
  <cols>
    <col min="1" max="1" width="15.7109375" style="7" customWidth="1"/>
    <col min="2" max="2" width="18.42578125" style="7" customWidth="1"/>
    <col min="3" max="3" width="25.42578125" style="7" customWidth="1"/>
    <col min="4" max="4" width="53.28515625" style="7" customWidth="1"/>
    <col min="5" max="5" width="0.140625" style="7" customWidth="1"/>
    <col min="6" max="6" width="12.85546875" style="7" customWidth="1"/>
    <col min="7" max="7" width="15.140625" style="7" customWidth="1"/>
    <col min="8" max="8" width="14.28515625" style="7" customWidth="1"/>
    <col min="9" max="9" width="21.7109375" style="7" customWidth="1"/>
    <col min="10" max="10" width="0.140625" style="7" customWidth="1"/>
    <col min="11" max="11" width="13.7109375" style="7" customWidth="1"/>
    <col min="12" max="12" width="16.7109375" style="7" customWidth="1"/>
    <col min="13" max="13" width="10.85546875" style="7" customWidth="1"/>
    <col min="14" max="14" width="18.140625" style="4" hidden="1" customWidth="1"/>
    <col min="15" max="19" width="19.140625" style="7" customWidth="1"/>
    <col min="20" max="21" width="18.7109375" style="12" customWidth="1"/>
    <col min="22" max="22" width="21.85546875" style="7" customWidth="1"/>
    <col min="23" max="16384" width="19.140625" style="4"/>
  </cols>
  <sheetData>
    <row r="1" spans="1:86">
      <c r="D1" s="9"/>
    </row>
    <row r="2" spans="1:86">
      <c r="A2" s="109"/>
      <c r="B2" s="109"/>
      <c r="C2" s="115" t="s">
        <v>176</v>
      </c>
      <c r="D2" s="116" t="s">
        <v>582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4"/>
      <c r="Q2" s="4"/>
      <c r="R2" s="4"/>
      <c r="S2" s="4"/>
      <c r="T2" s="4"/>
      <c r="U2" s="4"/>
      <c r="V2" s="4"/>
    </row>
    <row r="3" spans="1:86">
      <c r="A3" s="109"/>
      <c r="B3" s="109"/>
      <c r="C3" s="115" t="s">
        <v>177</v>
      </c>
      <c r="D3" s="116" t="s">
        <v>183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4"/>
      <c r="Q3" s="4"/>
      <c r="R3" s="4"/>
      <c r="S3" s="4"/>
      <c r="T3" s="4"/>
      <c r="U3" s="4"/>
      <c r="V3" s="4"/>
    </row>
    <row r="4" spans="1:86">
      <c r="A4" s="109"/>
      <c r="B4" s="109"/>
      <c r="C4" s="115" t="s">
        <v>179</v>
      </c>
      <c r="D4" s="52" t="s">
        <v>575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4"/>
      <c r="Q4" s="4"/>
      <c r="R4" s="4"/>
      <c r="S4" s="4"/>
      <c r="T4" s="4"/>
      <c r="U4" s="4"/>
      <c r="V4" s="4"/>
    </row>
    <row r="5" spans="1:86">
      <c r="C5" s="39"/>
      <c r="D5" s="40"/>
      <c r="F5" s="8"/>
    </row>
    <row r="7" spans="1:86" ht="16.5" thickBot="1"/>
    <row r="8" spans="1:86" s="6" customFormat="1" ht="65.45" customHeight="1">
      <c r="A8" s="44" t="s">
        <v>180</v>
      </c>
      <c r="B8" s="44" t="s">
        <v>171</v>
      </c>
      <c r="C8" s="44" t="s">
        <v>161</v>
      </c>
      <c r="D8" s="44" t="s">
        <v>172</v>
      </c>
      <c r="E8" s="44" t="s">
        <v>174</v>
      </c>
      <c r="F8" s="44" t="s">
        <v>162</v>
      </c>
      <c r="G8" s="44" t="s">
        <v>168</v>
      </c>
      <c r="H8" s="65" t="s">
        <v>173</v>
      </c>
      <c r="I8" s="44" t="s">
        <v>210</v>
      </c>
      <c r="J8" s="44" t="s">
        <v>163</v>
      </c>
      <c r="K8" s="44" t="s">
        <v>175</v>
      </c>
      <c r="L8" s="44" t="s">
        <v>167</v>
      </c>
      <c r="M8" s="44" t="s">
        <v>165</v>
      </c>
      <c r="N8" s="44" t="s">
        <v>292</v>
      </c>
      <c r="O8" s="45" t="s">
        <v>185</v>
      </c>
      <c r="P8" s="45" t="s">
        <v>236</v>
      </c>
      <c r="Q8" s="45" t="s">
        <v>237</v>
      </c>
      <c r="R8" s="118" t="s">
        <v>479</v>
      </c>
      <c r="S8" s="118" t="s">
        <v>480</v>
      </c>
      <c r="T8" s="46" t="s">
        <v>169</v>
      </c>
      <c r="U8" s="46" t="s">
        <v>227</v>
      </c>
      <c r="V8" s="47" t="s">
        <v>181</v>
      </c>
      <c r="W8" s="143" t="s">
        <v>293</v>
      </c>
      <c r="X8" s="144" t="s">
        <v>294</v>
      </c>
      <c r="Y8" s="145" t="s">
        <v>295</v>
      </c>
    </row>
    <row r="9" spans="1:86" s="5" customFormat="1" ht="15" customHeight="1">
      <c r="A9" s="16" t="s">
        <v>266</v>
      </c>
      <c r="B9" s="243" t="s">
        <v>187</v>
      </c>
      <c r="C9" s="16" t="s">
        <v>186</v>
      </c>
      <c r="D9" s="17" t="s">
        <v>228</v>
      </c>
      <c r="E9" s="16" t="s">
        <v>188</v>
      </c>
      <c r="F9" s="16">
        <v>1</v>
      </c>
      <c r="G9" s="43">
        <v>2</v>
      </c>
      <c r="H9" s="16" t="s">
        <v>229</v>
      </c>
      <c r="I9" s="16" t="s">
        <v>190</v>
      </c>
      <c r="J9" s="16" t="s">
        <v>188</v>
      </c>
      <c r="K9" s="16">
        <v>10</v>
      </c>
      <c r="L9" s="43" t="s">
        <v>212</v>
      </c>
      <c r="M9" s="75" t="s">
        <v>248</v>
      </c>
      <c r="N9" s="131">
        <v>8926</v>
      </c>
      <c r="O9" s="132">
        <v>2500000</v>
      </c>
      <c r="P9" s="24">
        <f>O9*(1-10%)</f>
        <v>2250000</v>
      </c>
      <c r="Q9" s="37">
        <f>P9/140</f>
        <v>16071.428571428571</v>
      </c>
      <c r="R9" s="24">
        <f>P9</f>
        <v>2250000</v>
      </c>
      <c r="S9" s="24">
        <f>P9</f>
        <v>2250000</v>
      </c>
      <c r="T9" s="41">
        <f>R9+S9</f>
        <v>4500000</v>
      </c>
      <c r="U9" s="42">
        <f>T9/140</f>
        <v>32142.857142857141</v>
      </c>
      <c r="V9" s="13" t="s">
        <v>182</v>
      </c>
      <c r="W9" s="142">
        <v>148630</v>
      </c>
      <c r="X9" s="140">
        <v>92.481053299650299</v>
      </c>
      <c r="Y9" s="139">
        <v>160714</v>
      </c>
    </row>
    <row r="10" spans="1:86" s="28" customFormat="1" ht="15" customHeight="1">
      <c r="A10" s="25" t="s">
        <v>266</v>
      </c>
      <c r="B10" s="243"/>
      <c r="C10" s="16" t="s">
        <v>186</v>
      </c>
      <c r="D10" s="15" t="s">
        <v>230</v>
      </c>
      <c r="E10" s="27" t="s">
        <v>188</v>
      </c>
      <c r="F10" s="25">
        <v>1</v>
      </c>
      <c r="G10" s="43">
        <v>2</v>
      </c>
      <c r="H10" s="25" t="s">
        <v>229</v>
      </c>
      <c r="I10" s="25" t="s">
        <v>190</v>
      </c>
      <c r="J10" s="25" t="s">
        <v>188</v>
      </c>
      <c r="K10" s="25">
        <v>10</v>
      </c>
      <c r="L10" s="43" t="s">
        <v>212</v>
      </c>
      <c r="M10" s="38" t="s">
        <v>248</v>
      </c>
      <c r="N10" s="87">
        <v>19654</v>
      </c>
      <c r="O10" s="88">
        <v>2500000</v>
      </c>
      <c r="P10" s="24">
        <f t="shared" ref="P10:P20" si="0">O10*(1-10%)</f>
        <v>2250000</v>
      </c>
      <c r="Q10" s="37">
        <f t="shared" ref="Q10:Q20" si="1">P10/140</f>
        <v>16071.428571428571</v>
      </c>
      <c r="R10" s="24">
        <f t="shared" ref="R10:R20" si="2">P10</f>
        <v>2250000</v>
      </c>
      <c r="S10" s="24">
        <f t="shared" ref="S10:S20" si="3">P10</f>
        <v>2250000</v>
      </c>
      <c r="T10" s="41">
        <f t="shared" ref="T10:T20" si="4">R10+S10</f>
        <v>4500000</v>
      </c>
      <c r="U10" s="42">
        <f t="shared" ref="U10:U20" si="5">T10/140</f>
        <v>32142.857142857141</v>
      </c>
      <c r="V10" s="13" t="s">
        <v>182</v>
      </c>
      <c r="W10" s="142">
        <v>130378</v>
      </c>
      <c r="X10" s="140">
        <v>81.124233109747706</v>
      </c>
      <c r="Y10" s="139">
        <v>160714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</row>
    <row r="11" spans="1:86" s="28" customFormat="1" ht="15" customHeight="1">
      <c r="A11" s="25" t="s">
        <v>266</v>
      </c>
      <c r="B11" s="243"/>
      <c r="C11" s="16" t="s">
        <v>186</v>
      </c>
      <c r="D11" s="15" t="s">
        <v>231</v>
      </c>
      <c r="E11" s="27" t="s">
        <v>188</v>
      </c>
      <c r="F11" s="25">
        <v>1</v>
      </c>
      <c r="G11" s="43">
        <v>2</v>
      </c>
      <c r="H11" s="25" t="s">
        <v>229</v>
      </c>
      <c r="I11" s="25" t="s">
        <v>190</v>
      </c>
      <c r="J11" s="25" t="s">
        <v>188</v>
      </c>
      <c r="K11" s="25">
        <v>10</v>
      </c>
      <c r="L11" s="43" t="s">
        <v>212</v>
      </c>
      <c r="M11" s="38" t="s">
        <v>248</v>
      </c>
      <c r="N11" s="87">
        <v>19656</v>
      </c>
      <c r="O11" s="88">
        <v>2500000</v>
      </c>
      <c r="P11" s="24">
        <f t="shared" si="0"/>
        <v>2250000</v>
      </c>
      <c r="Q11" s="37">
        <f t="shared" si="1"/>
        <v>16071.428571428571</v>
      </c>
      <c r="R11" s="24">
        <f t="shared" si="2"/>
        <v>2250000</v>
      </c>
      <c r="S11" s="24">
        <f t="shared" si="3"/>
        <v>2250000</v>
      </c>
      <c r="T11" s="41">
        <f t="shared" si="4"/>
        <v>4500000</v>
      </c>
      <c r="U11" s="42">
        <f t="shared" si="5"/>
        <v>32142.857142857141</v>
      </c>
      <c r="V11" s="13" t="s">
        <v>182</v>
      </c>
      <c r="W11" s="142">
        <v>106836</v>
      </c>
      <c r="X11" s="140">
        <v>66.475851512624899</v>
      </c>
      <c r="Y11" s="139">
        <v>160714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</row>
    <row r="12" spans="1:86" s="28" customFormat="1" ht="15" customHeight="1">
      <c r="A12" s="25" t="s">
        <v>266</v>
      </c>
      <c r="B12" s="243"/>
      <c r="C12" s="16" t="s">
        <v>186</v>
      </c>
      <c r="D12" s="15" t="s">
        <v>232</v>
      </c>
      <c r="E12" s="27" t="s">
        <v>188</v>
      </c>
      <c r="F12" s="25">
        <v>1</v>
      </c>
      <c r="G12" s="43">
        <v>2</v>
      </c>
      <c r="H12" s="25" t="s">
        <v>229</v>
      </c>
      <c r="I12" s="25" t="s">
        <v>190</v>
      </c>
      <c r="J12" s="25" t="s">
        <v>188</v>
      </c>
      <c r="K12" s="25">
        <v>10</v>
      </c>
      <c r="L12" s="43" t="s">
        <v>212</v>
      </c>
      <c r="M12" s="38" t="s">
        <v>248</v>
      </c>
      <c r="N12" s="87">
        <v>8941</v>
      </c>
      <c r="O12" s="88">
        <v>2500000</v>
      </c>
      <c r="P12" s="24">
        <f t="shared" si="0"/>
        <v>2250000</v>
      </c>
      <c r="Q12" s="37">
        <f t="shared" si="1"/>
        <v>16071.428571428571</v>
      </c>
      <c r="R12" s="24">
        <f t="shared" si="2"/>
        <v>2250000</v>
      </c>
      <c r="S12" s="24">
        <f t="shared" si="3"/>
        <v>2250000</v>
      </c>
      <c r="T12" s="41">
        <f t="shared" si="4"/>
        <v>4500000</v>
      </c>
      <c r="U12" s="42">
        <f t="shared" si="5"/>
        <v>32142.857142857141</v>
      </c>
      <c r="V12" s="13" t="s">
        <v>182</v>
      </c>
      <c r="W12" s="142">
        <v>179366</v>
      </c>
      <c r="X12" s="140">
        <v>111.60570952126101</v>
      </c>
      <c r="Y12" s="139">
        <v>160714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</row>
    <row r="13" spans="1:86" s="28" customFormat="1" ht="15" customHeight="1">
      <c r="A13" s="25" t="s">
        <v>266</v>
      </c>
      <c r="B13" s="243"/>
      <c r="C13" s="16" t="s">
        <v>186</v>
      </c>
      <c r="D13" s="15" t="s">
        <v>233</v>
      </c>
      <c r="E13" s="27" t="s">
        <v>188</v>
      </c>
      <c r="F13" s="25">
        <v>1</v>
      </c>
      <c r="G13" s="43">
        <v>2</v>
      </c>
      <c r="H13" s="25" t="s">
        <v>229</v>
      </c>
      <c r="I13" s="25" t="s">
        <v>190</v>
      </c>
      <c r="J13" s="25" t="s">
        <v>188</v>
      </c>
      <c r="K13" s="25">
        <v>10</v>
      </c>
      <c r="L13" s="43" t="s">
        <v>212</v>
      </c>
      <c r="M13" s="38" t="s">
        <v>248</v>
      </c>
      <c r="N13" s="87">
        <v>8938</v>
      </c>
      <c r="O13" s="88">
        <v>2500000</v>
      </c>
      <c r="P13" s="24">
        <f t="shared" si="0"/>
        <v>2250000</v>
      </c>
      <c r="Q13" s="37">
        <f t="shared" si="1"/>
        <v>16071.428571428571</v>
      </c>
      <c r="R13" s="24">
        <f t="shared" si="2"/>
        <v>2250000</v>
      </c>
      <c r="S13" s="24">
        <f t="shared" si="3"/>
        <v>2250000</v>
      </c>
      <c r="T13" s="41">
        <f t="shared" si="4"/>
        <v>4500000</v>
      </c>
      <c r="U13" s="42">
        <f t="shared" si="5"/>
        <v>32142.857142857141</v>
      </c>
      <c r="V13" s="13" t="s">
        <v>182</v>
      </c>
      <c r="W13" s="142">
        <v>142832</v>
      </c>
      <c r="X13" s="140">
        <v>88.873402441604298</v>
      </c>
      <c r="Y13" s="139">
        <v>160714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</row>
    <row r="14" spans="1:86" s="28" customFormat="1" ht="15" customHeight="1">
      <c r="A14" s="25" t="s">
        <v>266</v>
      </c>
      <c r="B14" s="243"/>
      <c r="C14" s="16" t="s">
        <v>186</v>
      </c>
      <c r="D14" s="15" t="s">
        <v>234</v>
      </c>
      <c r="E14" s="27" t="s">
        <v>188</v>
      </c>
      <c r="F14" s="25">
        <v>1</v>
      </c>
      <c r="G14" s="43">
        <v>2</v>
      </c>
      <c r="H14" s="25" t="s">
        <v>229</v>
      </c>
      <c r="I14" s="25" t="s">
        <v>190</v>
      </c>
      <c r="J14" s="25" t="s">
        <v>188</v>
      </c>
      <c r="K14" s="25">
        <v>10</v>
      </c>
      <c r="L14" s="43" t="s">
        <v>212</v>
      </c>
      <c r="M14" s="38" t="s">
        <v>248</v>
      </c>
      <c r="N14" s="87">
        <v>8940</v>
      </c>
      <c r="O14" s="88">
        <v>2500000</v>
      </c>
      <c r="P14" s="24">
        <f t="shared" si="0"/>
        <v>2250000</v>
      </c>
      <c r="Q14" s="37">
        <f t="shared" si="1"/>
        <v>16071.428571428571</v>
      </c>
      <c r="R14" s="24">
        <f t="shared" si="2"/>
        <v>2250000</v>
      </c>
      <c r="S14" s="24">
        <f t="shared" si="3"/>
        <v>2250000</v>
      </c>
      <c r="T14" s="41">
        <f t="shared" si="4"/>
        <v>4500000</v>
      </c>
      <c r="U14" s="42">
        <f t="shared" si="5"/>
        <v>32142.857142857141</v>
      </c>
      <c r="V14" s="13" t="s">
        <v>182</v>
      </c>
      <c r="W14" s="142">
        <v>201796</v>
      </c>
      <c r="X14" s="140">
        <v>125.562178777206</v>
      </c>
      <c r="Y14" s="139">
        <v>160714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</row>
    <row r="15" spans="1:86" s="28" customFormat="1" ht="15" customHeight="1">
      <c r="A15" s="25" t="s">
        <v>266</v>
      </c>
      <c r="B15" s="243"/>
      <c r="C15" s="16" t="s">
        <v>186</v>
      </c>
      <c r="D15" s="15" t="s">
        <v>235</v>
      </c>
      <c r="E15" s="27" t="s">
        <v>188</v>
      </c>
      <c r="F15" s="25">
        <v>1</v>
      </c>
      <c r="G15" s="43">
        <v>2</v>
      </c>
      <c r="H15" s="25" t="s">
        <v>229</v>
      </c>
      <c r="I15" s="25" t="s">
        <v>190</v>
      </c>
      <c r="J15" s="25" t="s">
        <v>188</v>
      </c>
      <c r="K15" s="25">
        <v>10</v>
      </c>
      <c r="L15" s="43" t="s">
        <v>212</v>
      </c>
      <c r="M15" s="38" t="s">
        <v>248</v>
      </c>
      <c r="N15" s="87">
        <v>19669</v>
      </c>
      <c r="O15" s="88">
        <v>2500000</v>
      </c>
      <c r="P15" s="24">
        <f t="shared" si="0"/>
        <v>2250000</v>
      </c>
      <c r="Q15" s="37">
        <f t="shared" si="1"/>
        <v>16071.428571428571</v>
      </c>
      <c r="R15" s="24">
        <f t="shared" si="2"/>
        <v>2250000</v>
      </c>
      <c r="S15" s="24">
        <f t="shared" si="3"/>
        <v>2250000</v>
      </c>
      <c r="T15" s="41">
        <f t="shared" si="4"/>
        <v>4500000</v>
      </c>
      <c r="U15" s="42">
        <f t="shared" si="5"/>
        <v>32142.857142857141</v>
      </c>
      <c r="V15" s="13" t="s">
        <v>182</v>
      </c>
      <c r="W15" s="142">
        <v>81458</v>
      </c>
      <c r="X15" s="140">
        <v>50.6850678845651</v>
      </c>
      <c r="Y15" s="139">
        <v>160714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</row>
    <row r="16" spans="1:86" s="28" customFormat="1" ht="15" customHeight="1">
      <c r="A16" s="25" t="s">
        <v>266</v>
      </c>
      <c r="B16" s="243"/>
      <c r="C16" s="110" t="s">
        <v>245</v>
      </c>
      <c r="D16" s="110" t="s">
        <v>427</v>
      </c>
      <c r="E16" s="27" t="s">
        <v>188</v>
      </c>
      <c r="F16" s="25">
        <v>1</v>
      </c>
      <c r="G16" s="43">
        <v>2</v>
      </c>
      <c r="H16" s="25" t="s">
        <v>229</v>
      </c>
      <c r="I16" s="25" t="s">
        <v>190</v>
      </c>
      <c r="J16" s="25" t="s">
        <v>188</v>
      </c>
      <c r="K16" s="25">
        <v>10</v>
      </c>
      <c r="L16" s="43" t="s">
        <v>212</v>
      </c>
      <c r="M16" s="38" t="s">
        <v>248</v>
      </c>
      <c r="N16" s="87">
        <v>8928</v>
      </c>
      <c r="O16" s="88">
        <v>2300000</v>
      </c>
      <c r="P16" s="24">
        <f t="shared" si="0"/>
        <v>2070000</v>
      </c>
      <c r="Q16" s="37">
        <f t="shared" si="1"/>
        <v>14785.714285714286</v>
      </c>
      <c r="R16" s="24">
        <f t="shared" si="2"/>
        <v>2070000</v>
      </c>
      <c r="S16" s="24">
        <f t="shared" si="3"/>
        <v>2070000</v>
      </c>
      <c r="T16" s="41">
        <f t="shared" si="4"/>
        <v>4140000</v>
      </c>
      <c r="U16" s="42">
        <f t="shared" si="5"/>
        <v>29571.428571428572</v>
      </c>
      <c r="V16" s="13" t="s">
        <v>182</v>
      </c>
      <c r="W16" s="142">
        <v>18098</v>
      </c>
      <c r="X16" s="140">
        <v>28.7347379451598</v>
      </c>
      <c r="Y16" s="139">
        <v>62983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</row>
    <row r="17" spans="1:86" s="28" customFormat="1" ht="15" customHeight="1">
      <c r="A17" s="25" t="s">
        <v>266</v>
      </c>
      <c r="B17" s="243"/>
      <c r="C17" s="110" t="s">
        <v>245</v>
      </c>
      <c r="D17" s="110" t="s">
        <v>428</v>
      </c>
      <c r="E17" s="27" t="s">
        <v>188</v>
      </c>
      <c r="F17" s="25">
        <v>1</v>
      </c>
      <c r="G17" s="217">
        <v>2</v>
      </c>
      <c r="H17" s="25" t="s">
        <v>229</v>
      </c>
      <c r="I17" s="25" t="s">
        <v>190</v>
      </c>
      <c r="J17" s="25" t="s">
        <v>188</v>
      </c>
      <c r="K17" s="25">
        <v>10</v>
      </c>
      <c r="L17" s="217" t="s">
        <v>212</v>
      </c>
      <c r="M17" s="38" t="s">
        <v>248</v>
      </c>
      <c r="N17" s="218">
        <v>19652</v>
      </c>
      <c r="O17" s="88">
        <v>2300000</v>
      </c>
      <c r="P17" s="219">
        <f t="shared" si="0"/>
        <v>2070000</v>
      </c>
      <c r="Q17" s="220">
        <f t="shared" si="1"/>
        <v>14785.714285714286</v>
      </c>
      <c r="R17" s="219">
        <f t="shared" si="2"/>
        <v>2070000</v>
      </c>
      <c r="S17" s="219">
        <f t="shared" si="3"/>
        <v>2070000</v>
      </c>
      <c r="T17" s="221">
        <f t="shared" si="4"/>
        <v>4140000</v>
      </c>
      <c r="U17" s="222">
        <f t="shared" si="5"/>
        <v>29571.428571428572</v>
      </c>
      <c r="V17" s="223" t="s">
        <v>182</v>
      </c>
      <c r="W17" s="224">
        <v>20622</v>
      </c>
      <c r="X17" s="225">
        <v>32.742168521664503</v>
      </c>
      <c r="Y17" s="226">
        <v>62983</v>
      </c>
    </row>
    <row r="18" spans="1:86" s="28" customFormat="1" ht="15" customHeight="1">
      <c r="A18" s="25" t="s">
        <v>266</v>
      </c>
      <c r="B18" s="243"/>
      <c r="C18" s="110" t="s">
        <v>245</v>
      </c>
      <c r="D18" s="110" t="s">
        <v>429</v>
      </c>
      <c r="E18" s="27" t="s">
        <v>188</v>
      </c>
      <c r="F18" s="25">
        <v>1</v>
      </c>
      <c r="G18" s="43">
        <v>2</v>
      </c>
      <c r="H18" s="25" t="s">
        <v>229</v>
      </c>
      <c r="I18" s="25" t="s">
        <v>190</v>
      </c>
      <c r="J18" s="25" t="s">
        <v>188</v>
      </c>
      <c r="K18" s="25">
        <v>10</v>
      </c>
      <c r="L18" s="43" t="s">
        <v>212</v>
      </c>
      <c r="M18" s="38" t="s">
        <v>248</v>
      </c>
      <c r="N18" s="87">
        <v>8930</v>
      </c>
      <c r="O18" s="88">
        <v>2300000</v>
      </c>
      <c r="P18" s="24">
        <f t="shared" si="0"/>
        <v>2070000</v>
      </c>
      <c r="Q18" s="37">
        <f t="shared" si="1"/>
        <v>14785.714285714286</v>
      </c>
      <c r="R18" s="24">
        <f t="shared" si="2"/>
        <v>2070000</v>
      </c>
      <c r="S18" s="24">
        <f t="shared" si="3"/>
        <v>2070000</v>
      </c>
      <c r="T18" s="41">
        <f t="shared" si="4"/>
        <v>4140000</v>
      </c>
      <c r="U18" s="42">
        <f t="shared" si="5"/>
        <v>29571.428571428572</v>
      </c>
      <c r="V18" s="13" t="s">
        <v>182</v>
      </c>
      <c r="W18" s="142">
        <v>18141</v>
      </c>
      <c r="X18" s="140">
        <v>28.803010336122401</v>
      </c>
      <c r="Y18" s="139">
        <v>62983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</row>
    <row r="19" spans="1:86" s="28" customFormat="1" ht="15" customHeight="1">
      <c r="A19" s="25" t="s">
        <v>266</v>
      </c>
      <c r="B19" s="243"/>
      <c r="C19" s="110" t="s">
        <v>245</v>
      </c>
      <c r="D19" s="110" t="s">
        <v>496</v>
      </c>
      <c r="E19" s="27" t="s">
        <v>188</v>
      </c>
      <c r="F19" s="25">
        <v>1</v>
      </c>
      <c r="G19" s="43">
        <v>2</v>
      </c>
      <c r="H19" s="25" t="s">
        <v>229</v>
      </c>
      <c r="I19" s="25" t="s">
        <v>190</v>
      </c>
      <c r="J19" s="25" t="s">
        <v>188</v>
      </c>
      <c r="K19" s="25">
        <v>10</v>
      </c>
      <c r="L19" s="43" t="s">
        <v>212</v>
      </c>
      <c r="M19" s="38" t="s">
        <v>248</v>
      </c>
      <c r="N19" s="87">
        <v>10516</v>
      </c>
      <c r="O19" s="88">
        <v>2300000</v>
      </c>
      <c r="P19" s="24">
        <f t="shared" si="0"/>
        <v>2070000</v>
      </c>
      <c r="Q19" s="37">
        <f t="shared" si="1"/>
        <v>14785.714285714286</v>
      </c>
      <c r="R19" s="24">
        <f t="shared" si="2"/>
        <v>2070000</v>
      </c>
      <c r="S19" s="24">
        <f t="shared" si="3"/>
        <v>2070000</v>
      </c>
      <c r="T19" s="41">
        <f t="shared" si="4"/>
        <v>4140000</v>
      </c>
      <c r="U19" s="42">
        <f t="shared" si="5"/>
        <v>29571.428571428572</v>
      </c>
      <c r="V19" s="13" t="s">
        <v>182</v>
      </c>
      <c r="W19" s="142">
        <v>25056</v>
      </c>
      <c r="X19" s="140">
        <v>39.7821634409285</v>
      </c>
      <c r="Y19" s="139">
        <v>62983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</row>
    <row r="20" spans="1:86" s="28" customFormat="1" ht="15" customHeight="1">
      <c r="A20" s="25" t="s">
        <v>266</v>
      </c>
      <c r="B20" s="243"/>
      <c r="C20" s="110" t="s">
        <v>245</v>
      </c>
      <c r="D20" s="110" t="s">
        <v>497</v>
      </c>
      <c r="E20" s="27" t="s">
        <v>188</v>
      </c>
      <c r="F20" s="25">
        <v>1</v>
      </c>
      <c r="G20" s="43">
        <v>2</v>
      </c>
      <c r="H20" s="25" t="s">
        <v>229</v>
      </c>
      <c r="I20" s="25" t="s">
        <v>190</v>
      </c>
      <c r="J20" s="25" t="s">
        <v>188</v>
      </c>
      <c r="K20" s="25">
        <v>10</v>
      </c>
      <c r="L20" s="43" t="s">
        <v>212</v>
      </c>
      <c r="M20" s="38" t="s">
        <v>248</v>
      </c>
      <c r="N20" s="87">
        <v>19653</v>
      </c>
      <c r="O20" s="88">
        <v>2300000</v>
      </c>
      <c r="P20" s="24">
        <f t="shared" si="0"/>
        <v>2070000</v>
      </c>
      <c r="Q20" s="37">
        <f t="shared" si="1"/>
        <v>14785.714285714286</v>
      </c>
      <c r="R20" s="24">
        <f t="shared" si="2"/>
        <v>2070000</v>
      </c>
      <c r="S20" s="24">
        <f t="shared" si="3"/>
        <v>2070000</v>
      </c>
      <c r="T20" s="41">
        <f t="shared" si="4"/>
        <v>4140000</v>
      </c>
      <c r="U20" s="42">
        <f t="shared" si="5"/>
        <v>29571.428571428572</v>
      </c>
      <c r="V20" s="13" t="s">
        <v>182</v>
      </c>
      <c r="W20" s="142">
        <v>18816</v>
      </c>
      <c r="X20" s="140">
        <v>29.8747281012336</v>
      </c>
      <c r="Y20" s="139">
        <v>62983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</row>
    <row r="21" spans="1:86" s="5" customFormat="1" ht="15" customHeight="1" thickBot="1">
      <c r="A21" s="30"/>
      <c r="B21" s="31"/>
      <c r="C21" s="32"/>
      <c r="D21" s="33"/>
      <c r="E21" s="34"/>
      <c r="F21" s="34"/>
      <c r="G21" s="34"/>
      <c r="H21" s="66"/>
      <c r="I21" s="34"/>
      <c r="J21" s="34"/>
      <c r="K21" s="34"/>
      <c r="L21" s="34"/>
      <c r="M21" s="34"/>
      <c r="N21" s="34"/>
      <c r="O21" s="35">
        <f t="shared" ref="O21:U21" si="6">SUM(O9:O20)</f>
        <v>29000000</v>
      </c>
      <c r="P21" s="35">
        <f t="shared" si="6"/>
        <v>26100000</v>
      </c>
      <c r="Q21" s="61">
        <f t="shared" si="6"/>
        <v>186428.57142857142</v>
      </c>
      <c r="R21" s="35">
        <f>SUM(R9:R20)</f>
        <v>26100000</v>
      </c>
      <c r="S21" s="35">
        <f t="shared" si="6"/>
        <v>26100000</v>
      </c>
      <c r="T21" s="35">
        <f>SUM(T9:T20)</f>
        <v>52200000</v>
      </c>
      <c r="U21" s="60">
        <f t="shared" si="6"/>
        <v>372857.14285714284</v>
      </c>
      <c r="V21" s="36"/>
      <c r="W21" s="146"/>
      <c r="X21" s="147"/>
      <c r="Y21" s="148"/>
    </row>
    <row r="22" spans="1:86" s="5" customFormat="1" ht="1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O22" s="20"/>
      <c r="P22" s="20"/>
      <c r="Q22" s="20"/>
      <c r="R22" s="20"/>
      <c r="S22" s="20"/>
      <c r="T22" s="22"/>
      <c r="U22" s="22"/>
      <c r="V22" s="20"/>
    </row>
    <row r="23" spans="1:86" ht="1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O23" s="20"/>
      <c r="P23" s="20"/>
      <c r="Q23" s="20"/>
      <c r="R23" s="20"/>
      <c r="S23" s="20"/>
      <c r="T23" s="22"/>
      <c r="U23" s="22"/>
      <c r="V23" s="20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I9:I20" name="Диапазон1_1_3_1"/>
    <protectedRange algorithmName="SHA-512" hashValue="20tZejZtY/ZGRcGLZm0ZbWfCu51ejQGMqdRYwv0b9rb/5Q/ejFDHQOXySZDQbnMuPhvZC4Bfbq/BWdBxp9Ls4w==" saltValue="Q+V8rXhHsE4u/j5xUQJeAg==" spinCount="100000" sqref="F16:F20 H16:H20 H15 F15 F9:F14 H9:H14" name="Диапазон1_5_1_1"/>
    <protectedRange algorithmName="SHA-512" hashValue="20tZejZtY/ZGRcGLZm0ZbWfCu51ejQGMqdRYwv0b9rb/5Q/ejFDHQOXySZDQbnMuPhvZC4Bfbq/BWdBxp9Ls4w==" saltValue="Q+V8rXhHsE4u/j5xUQJeAg==" spinCount="100000" sqref="E10:E20" name="Диапазон1_2_2_2"/>
    <protectedRange algorithmName="SHA-512" hashValue="20tZejZtY/ZGRcGLZm0ZbWfCu51ejQGMqdRYwv0b9rb/5Q/ejFDHQOXySZDQbnMuPhvZC4Bfbq/BWdBxp9Ls4w==" saltValue="Q+V8rXhHsE4u/j5xUQJeAg==" spinCount="100000" sqref="B16:B20 B9 B15 B10:B14" name="Диапазон1_9_1_1_1_2"/>
    <protectedRange algorithmName="SHA-512" hashValue="20tZejZtY/ZGRcGLZm0ZbWfCu51ejQGMqdRYwv0b9rb/5Q/ejFDHQOXySZDQbnMuPhvZC4Bfbq/BWdBxp9Ls4w==" saltValue="Q+V8rXhHsE4u/j5xUQJeAg==" spinCount="100000" sqref="C9:C20" name="Диапазон1_1_1_2_1"/>
    <protectedRange sqref="W8:Y8" name="Range1"/>
    <protectedRange sqref="W9:Y20" name="Range1_1"/>
  </protectedRanges>
  <autoFilter ref="A8:V21" xr:uid="{BE85CF9D-56C6-49A4-9D20-1C978740FDBB}"/>
  <mergeCells count="1">
    <mergeCell ref="B9:B20"/>
  </mergeCells>
  <phoneticPr fontId="12" type="noConversion"/>
  <conditionalFormatting sqref="P2:P4">
    <cfRule type="duplicateValues" dxfId="3" priority="1"/>
  </conditionalFormatting>
  <hyperlinks>
    <hyperlink ref="B9:B11" r:id="rId1" display="Фото" xr:uid="{65293334-BB8A-4AFF-87DE-8BB3A3FE72AF}"/>
  </hyperlinks>
  <pageMargins left="0.7" right="0.7" top="0.75" bottom="0.75" header="0.3" footer="0.3"/>
  <pageSetup paperSize="9" orientation="portrait" verticalDpi="12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D177-2E23-41BD-BB1E-8AEB5FAFA06F}">
  <dimension ref="A1:CH149"/>
  <sheetViews>
    <sheetView topLeftCell="C5" zoomScale="68" zoomScaleNormal="110" workbookViewId="0">
      <selection activeCell="S20" sqref="S20"/>
    </sheetView>
  </sheetViews>
  <sheetFormatPr defaultColWidth="19.140625" defaultRowHeight="15.75"/>
  <cols>
    <col min="1" max="1" width="15.7109375" style="7" customWidth="1"/>
    <col min="2" max="2" width="18.42578125" style="7" customWidth="1"/>
    <col min="3" max="3" width="25.42578125" style="7" customWidth="1"/>
    <col min="4" max="4" width="58.42578125" style="7" customWidth="1"/>
    <col min="5" max="5" width="18.42578125" style="7" bestFit="1" customWidth="1"/>
    <col min="6" max="6" width="12.85546875" style="7" customWidth="1"/>
    <col min="7" max="8" width="15.140625" style="7" customWidth="1"/>
    <col min="9" max="9" width="21.140625" style="7" customWidth="1"/>
    <col min="10" max="10" width="22.85546875" style="7" customWidth="1"/>
    <col min="11" max="11" width="15.7109375" style="7" customWidth="1"/>
    <col min="12" max="12" width="0" style="4" hidden="1" customWidth="1"/>
    <col min="13" max="15" width="20" style="7" customWidth="1"/>
    <col min="16" max="18" width="25.7109375" style="7" customWidth="1"/>
    <col min="19" max="20" width="21.85546875" style="12" customWidth="1"/>
    <col min="21" max="16384" width="19.140625" style="4"/>
  </cols>
  <sheetData>
    <row r="1" spans="1:86">
      <c r="D1" s="9"/>
    </row>
    <row r="2" spans="1:86">
      <c r="A2" s="109"/>
      <c r="B2" s="109"/>
      <c r="C2" s="115" t="s">
        <v>176</v>
      </c>
      <c r="D2" s="116" t="s">
        <v>582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4"/>
      <c r="T2" s="4"/>
    </row>
    <row r="3" spans="1:86">
      <c r="A3" s="109"/>
      <c r="B3" s="109"/>
      <c r="C3" s="115" t="s">
        <v>177</v>
      </c>
      <c r="D3" s="116" t="s">
        <v>183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4"/>
      <c r="T3" s="4"/>
    </row>
    <row r="4" spans="1:86">
      <c r="A4" s="109"/>
      <c r="B4" s="109"/>
      <c r="C4" s="115" t="s">
        <v>179</v>
      </c>
      <c r="D4" s="52" t="s">
        <v>575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4"/>
      <c r="T4" s="4"/>
    </row>
    <row r="5" spans="1:86">
      <c r="C5" s="39"/>
      <c r="D5" s="40"/>
      <c r="F5" s="8"/>
    </row>
    <row r="7" spans="1:86" ht="16.5" thickBot="1"/>
    <row r="8" spans="1:86" s="6" customFormat="1" ht="65.45" customHeight="1">
      <c r="A8" s="71" t="s">
        <v>180</v>
      </c>
      <c r="B8" s="71" t="s">
        <v>171</v>
      </c>
      <c r="C8" s="71" t="s">
        <v>161</v>
      </c>
      <c r="D8" s="71" t="s">
        <v>172</v>
      </c>
      <c r="E8" s="71" t="s">
        <v>174</v>
      </c>
      <c r="F8" s="71" t="s">
        <v>162</v>
      </c>
      <c r="G8" s="71" t="s">
        <v>168</v>
      </c>
      <c r="H8" s="71" t="s">
        <v>577</v>
      </c>
      <c r="I8" s="71" t="s">
        <v>173</v>
      </c>
      <c r="J8" s="71" t="s">
        <v>158</v>
      </c>
      <c r="K8" s="71" t="s">
        <v>163</v>
      </c>
      <c r="L8" s="72" t="s">
        <v>292</v>
      </c>
      <c r="M8" s="76" t="s">
        <v>185</v>
      </c>
      <c r="N8" s="77" t="s">
        <v>236</v>
      </c>
      <c r="O8" s="77" t="s">
        <v>237</v>
      </c>
      <c r="P8" s="77" t="s">
        <v>254</v>
      </c>
      <c r="Q8" s="118" t="s">
        <v>479</v>
      </c>
      <c r="R8" s="118" t="s">
        <v>480</v>
      </c>
      <c r="S8" s="78" t="s">
        <v>169</v>
      </c>
      <c r="T8" s="78" t="s">
        <v>227</v>
      </c>
      <c r="U8" s="79" t="s">
        <v>181</v>
      </c>
      <c r="V8" s="149" t="s">
        <v>293</v>
      </c>
      <c r="W8" s="150" t="s">
        <v>294</v>
      </c>
      <c r="X8" s="151" t="s">
        <v>295</v>
      </c>
    </row>
    <row r="9" spans="1:86" s="28" customFormat="1" ht="15" customHeight="1">
      <c r="A9" s="26" t="s">
        <v>255</v>
      </c>
      <c r="B9" s="244"/>
      <c r="C9" s="16" t="s">
        <v>191</v>
      </c>
      <c r="D9" s="237" t="s">
        <v>498</v>
      </c>
      <c r="E9" s="27" t="s">
        <v>196</v>
      </c>
      <c r="F9" s="25">
        <v>1</v>
      </c>
      <c r="G9" s="16">
        <v>2</v>
      </c>
      <c r="H9" s="16">
        <v>2</v>
      </c>
      <c r="I9" s="25" t="s">
        <v>257</v>
      </c>
      <c r="J9" s="25" t="s">
        <v>258</v>
      </c>
      <c r="K9" s="23" t="s">
        <v>184</v>
      </c>
      <c r="L9" s="87"/>
      <c r="M9" s="88">
        <v>3000000</v>
      </c>
      <c r="N9" s="24">
        <v>2800000</v>
      </c>
      <c r="O9" s="37">
        <f>N9/140</f>
        <v>20000</v>
      </c>
      <c r="P9" s="19">
        <f>1500000*H9</f>
        <v>3000000</v>
      </c>
      <c r="Q9" s="19">
        <f>N9</f>
        <v>2800000</v>
      </c>
      <c r="R9" s="19">
        <f>N9</f>
        <v>2800000</v>
      </c>
      <c r="S9" s="41">
        <f>Q9+R9+P9</f>
        <v>8600000</v>
      </c>
      <c r="T9" s="42">
        <f t="shared" ref="T9:T63" si="0">S9/140</f>
        <v>61428.571428571428</v>
      </c>
      <c r="U9" s="13" t="s">
        <v>182</v>
      </c>
      <c r="V9" s="141"/>
      <c r="W9" s="138"/>
      <c r="X9" s="139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</row>
    <row r="10" spans="1:86" s="28" customFormat="1" ht="15" customHeight="1">
      <c r="A10" s="26" t="s">
        <v>255</v>
      </c>
      <c r="B10" s="245"/>
      <c r="C10" s="16" t="s">
        <v>191</v>
      </c>
      <c r="D10" s="233" t="s">
        <v>499</v>
      </c>
      <c r="E10" s="232" t="s">
        <v>196</v>
      </c>
      <c r="F10" s="25">
        <v>1</v>
      </c>
      <c r="G10" s="16">
        <v>2</v>
      </c>
      <c r="H10" s="16">
        <v>2</v>
      </c>
      <c r="I10" s="25" t="s">
        <v>257</v>
      </c>
      <c r="J10" s="25" t="s">
        <v>258</v>
      </c>
      <c r="K10" s="23" t="s">
        <v>184</v>
      </c>
      <c r="L10" s="87"/>
      <c r="M10" s="88">
        <v>3000000</v>
      </c>
      <c r="N10" s="24">
        <v>2800000</v>
      </c>
      <c r="O10" s="37">
        <f t="shared" ref="O10:O63" si="1">N10/140</f>
        <v>20000</v>
      </c>
      <c r="P10" s="19">
        <f t="shared" ref="P10:P73" si="2">1500000*H10</f>
        <v>3000000</v>
      </c>
      <c r="Q10" s="19">
        <f t="shared" ref="Q10:Q55" si="3">N10</f>
        <v>2800000</v>
      </c>
      <c r="R10" s="19">
        <f t="shared" ref="R10:R55" si="4">N10</f>
        <v>2800000</v>
      </c>
      <c r="S10" s="41">
        <f t="shared" ref="S10:S55" si="5">Q10+R10+P10</f>
        <v>8600000</v>
      </c>
      <c r="T10" s="42">
        <f t="shared" si="0"/>
        <v>61428.571428571428</v>
      </c>
      <c r="U10" s="13" t="s">
        <v>182</v>
      </c>
      <c r="V10" s="142"/>
      <c r="W10" s="140"/>
      <c r="X10" s="139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</row>
    <row r="11" spans="1:86" s="28" customFormat="1" ht="15" customHeight="1">
      <c r="A11" s="26" t="s">
        <v>255</v>
      </c>
      <c r="B11" s="245"/>
      <c r="C11" s="16" t="s">
        <v>191</v>
      </c>
      <c r="D11" s="233" t="s">
        <v>563</v>
      </c>
      <c r="E11" s="232" t="s">
        <v>196</v>
      </c>
      <c r="F11" s="25">
        <v>1</v>
      </c>
      <c r="G11" s="16">
        <v>2</v>
      </c>
      <c r="H11" s="16">
        <v>2</v>
      </c>
      <c r="I11" s="25" t="s">
        <v>257</v>
      </c>
      <c r="J11" s="25" t="s">
        <v>258</v>
      </c>
      <c r="K11" s="23" t="s">
        <v>184</v>
      </c>
      <c r="L11" s="87"/>
      <c r="M11" s="88">
        <v>3000000</v>
      </c>
      <c r="N11" s="24">
        <v>2800000</v>
      </c>
      <c r="O11" s="37">
        <f t="shared" si="1"/>
        <v>20000</v>
      </c>
      <c r="P11" s="19">
        <f t="shared" si="2"/>
        <v>3000000</v>
      </c>
      <c r="Q11" s="19">
        <f t="shared" si="3"/>
        <v>2800000</v>
      </c>
      <c r="R11" s="19">
        <f t="shared" si="4"/>
        <v>2800000</v>
      </c>
      <c r="S11" s="41">
        <f t="shared" si="5"/>
        <v>8600000</v>
      </c>
      <c r="T11" s="42">
        <f t="shared" si="0"/>
        <v>61428.571428571428</v>
      </c>
      <c r="U11" s="13" t="s">
        <v>182</v>
      </c>
      <c r="V11" s="142"/>
      <c r="W11" s="140"/>
      <c r="X11" s="139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</row>
    <row r="12" spans="1:86" s="28" customFormat="1" ht="15" customHeight="1">
      <c r="A12" s="26" t="s">
        <v>255</v>
      </c>
      <c r="B12" s="245"/>
      <c r="C12" s="16" t="s">
        <v>191</v>
      </c>
      <c r="D12" s="233" t="s">
        <v>500</v>
      </c>
      <c r="E12" s="232" t="s">
        <v>196</v>
      </c>
      <c r="F12" s="25">
        <v>1</v>
      </c>
      <c r="G12" s="16">
        <v>2</v>
      </c>
      <c r="H12" s="16">
        <v>2</v>
      </c>
      <c r="I12" s="25" t="s">
        <v>504</v>
      </c>
      <c r="J12" s="25" t="s">
        <v>258</v>
      </c>
      <c r="K12" s="23" t="s">
        <v>184</v>
      </c>
      <c r="L12" s="87"/>
      <c r="M12" s="88">
        <v>3000000</v>
      </c>
      <c r="N12" s="24">
        <v>2800000</v>
      </c>
      <c r="O12" s="37">
        <f t="shared" si="1"/>
        <v>20000</v>
      </c>
      <c r="P12" s="19">
        <f t="shared" si="2"/>
        <v>3000000</v>
      </c>
      <c r="Q12" s="19">
        <f t="shared" si="3"/>
        <v>2800000</v>
      </c>
      <c r="R12" s="19">
        <f t="shared" si="4"/>
        <v>2800000</v>
      </c>
      <c r="S12" s="41">
        <f t="shared" si="5"/>
        <v>8600000</v>
      </c>
      <c r="T12" s="42">
        <f t="shared" si="0"/>
        <v>61428.571428571428</v>
      </c>
      <c r="U12" s="13" t="s">
        <v>182</v>
      </c>
      <c r="V12" s="142"/>
      <c r="W12" s="140"/>
      <c r="X12" s="139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</row>
    <row r="13" spans="1:86" s="28" customFormat="1" ht="15" customHeight="1">
      <c r="A13" s="26" t="s">
        <v>255</v>
      </c>
      <c r="B13" s="245"/>
      <c r="C13" s="16" t="s">
        <v>191</v>
      </c>
      <c r="D13" s="233" t="s">
        <v>501</v>
      </c>
      <c r="E13" s="232" t="s">
        <v>196</v>
      </c>
      <c r="F13" s="25">
        <v>1</v>
      </c>
      <c r="G13" s="16">
        <v>2</v>
      </c>
      <c r="H13" s="16">
        <v>2</v>
      </c>
      <c r="I13" s="25" t="s">
        <v>257</v>
      </c>
      <c r="J13" s="25" t="s">
        <v>258</v>
      </c>
      <c r="K13" s="23" t="s">
        <v>184</v>
      </c>
      <c r="L13" s="87"/>
      <c r="M13" s="88">
        <v>3000000</v>
      </c>
      <c r="N13" s="24">
        <v>2800000</v>
      </c>
      <c r="O13" s="37">
        <f t="shared" si="1"/>
        <v>20000</v>
      </c>
      <c r="P13" s="19">
        <f t="shared" si="2"/>
        <v>3000000</v>
      </c>
      <c r="Q13" s="19">
        <f t="shared" si="3"/>
        <v>2800000</v>
      </c>
      <c r="R13" s="19">
        <f t="shared" si="4"/>
        <v>2800000</v>
      </c>
      <c r="S13" s="41">
        <f t="shared" si="5"/>
        <v>8600000</v>
      </c>
      <c r="T13" s="42">
        <f t="shared" si="0"/>
        <v>61428.571428571428</v>
      </c>
      <c r="U13" s="13" t="s">
        <v>182</v>
      </c>
      <c r="V13" s="142"/>
      <c r="W13" s="140"/>
      <c r="X13" s="139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</row>
    <row r="14" spans="1:86" s="28" customFormat="1" ht="15" customHeight="1">
      <c r="A14" s="26" t="s">
        <v>255</v>
      </c>
      <c r="B14" s="245"/>
      <c r="C14" s="16" t="s">
        <v>191</v>
      </c>
      <c r="D14" s="233" t="s">
        <v>502</v>
      </c>
      <c r="E14" s="232" t="s">
        <v>196</v>
      </c>
      <c r="F14" s="25">
        <v>1</v>
      </c>
      <c r="G14" s="16">
        <v>2</v>
      </c>
      <c r="H14" s="16">
        <v>2</v>
      </c>
      <c r="I14" s="25" t="s">
        <v>257</v>
      </c>
      <c r="J14" s="25" t="s">
        <v>258</v>
      </c>
      <c r="K14" s="23" t="s">
        <v>184</v>
      </c>
      <c r="L14" s="87"/>
      <c r="M14" s="88">
        <v>3000000</v>
      </c>
      <c r="N14" s="24">
        <v>2800000</v>
      </c>
      <c r="O14" s="37">
        <f t="shared" si="1"/>
        <v>20000</v>
      </c>
      <c r="P14" s="19">
        <f t="shared" si="2"/>
        <v>3000000</v>
      </c>
      <c r="Q14" s="19">
        <f t="shared" si="3"/>
        <v>2800000</v>
      </c>
      <c r="R14" s="19">
        <f t="shared" si="4"/>
        <v>2800000</v>
      </c>
      <c r="S14" s="41">
        <f t="shared" si="5"/>
        <v>8600000</v>
      </c>
      <c r="T14" s="42">
        <f t="shared" si="0"/>
        <v>61428.571428571428</v>
      </c>
      <c r="U14" s="13" t="s">
        <v>182</v>
      </c>
      <c r="V14" s="142"/>
      <c r="W14" s="140"/>
      <c r="X14" s="139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</row>
    <row r="15" spans="1:86" s="28" customFormat="1" ht="15" customHeight="1">
      <c r="A15" s="26" t="s">
        <v>255</v>
      </c>
      <c r="B15" s="245"/>
      <c r="C15" s="16" t="s">
        <v>191</v>
      </c>
      <c r="D15" s="233" t="s">
        <v>503</v>
      </c>
      <c r="E15" s="232" t="s">
        <v>196</v>
      </c>
      <c r="F15" s="25">
        <v>1</v>
      </c>
      <c r="G15" s="16">
        <v>2</v>
      </c>
      <c r="H15" s="16">
        <v>2</v>
      </c>
      <c r="I15" s="25" t="s">
        <v>257</v>
      </c>
      <c r="J15" s="25" t="s">
        <v>258</v>
      </c>
      <c r="K15" s="23" t="s">
        <v>184</v>
      </c>
      <c r="L15" s="87"/>
      <c r="M15" s="88">
        <v>3000000</v>
      </c>
      <c r="N15" s="24">
        <v>2800000</v>
      </c>
      <c r="O15" s="37">
        <f t="shared" si="1"/>
        <v>20000</v>
      </c>
      <c r="P15" s="19">
        <f t="shared" si="2"/>
        <v>3000000</v>
      </c>
      <c r="Q15" s="19">
        <f t="shared" si="3"/>
        <v>2800000</v>
      </c>
      <c r="R15" s="19">
        <f t="shared" si="4"/>
        <v>2800000</v>
      </c>
      <c r="S15" s="41">
        <f t="shared" si="5"/>
        <v>8600000</v>
      </c>
      <c r="T15" s="42">
        <f t="shared" si="0"/>
        <v>61428.571428571428</v>
      </c>
      <c r="U15" s="13" t="s">
        <v>182</v>
      </c>
      <c r="V15" s="142"/>
      <c r="W15" s="140"/>
      <c r="X15" s="139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</row>
    <row r="16" spans="1:86" s="28" customFormat="1" ht="15" customHeight="1">
      <c r="A16" s="26" t="s">
        <v>255</v>
      </c>
      <c r="B16" s="245"/>
      <c r="C16" s="16" t="s">
        <v>280</v>
      </c>
      <c r="D16" s="233" t="s">
        <v>505</v>
      </c>
      <c r="E16" s="232" t="s">
        <v>196</v>
      </c>
      <c r="F16" s="25">
        <v>1</v>
      </c>
      <c r="G16" s="16">
        <v>2</v>
      </c>
      <c r="H16" s="16">
        <v>2</v>
      </c>
      <c r="I16" s="25" t="s">
        <v>257</v>
      </c>
      <c r="J16" s="25" t="s">
        <v>258</v>
      </c>
      <c r="K16" s="23" t="s">
        <v>184</v>
      </c>
      <c r="L16" s="87">
        <v>8</v>
      </c>
      <c r="M16" s="88">
        <f>2800000*F16</f>
        <v>2800000</v>
      </c>
      <c r="N16" s="24">
        <f>M16*(1-30%)</f>
        <v>1959999.9999999998</v>
      </c>
      <c r="O16" s="37">
        <f t="shared" si="1"/>
        <v>13999.999999999998</v>
      </c>
      <c r="P16" s="19">
        <f t="shared" si="2"/>
        <v>3000000</v>
      </c>
      <c r="Q16" s="19">
        <f t="shared" si="3"/>
        <v>1959999.9999999998</v>
      </c>
      <c r="R16" s="19">
        <f t="shared" si="4"/>
        <v>1959999.9999999998</v>
      </c>
      <c r="S16" s="41">
        <f t="shared" si="5"/>
        <v>6920000</v>
      </c>
      <c r="T16" s="42">
        <f t="shared" si="0"/>
        <v>49428.571428571428</v>
      </c>
      <c r="U16" s="13" t="s">
        <v>182</v>
      </c>
      <c r="V16" s="142"/>
      <c r="W16" s="140"/>
      <c r="X16" s="139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</row>
    <row r="17" spans="1:86" s="28" customFormat="1" ht="15" customHeight="1">
      <c r="A17" s="26" t="s">
        <v>255</v>
      </c>
      <c r="B17" s="245"/>
      <c r="C17" s="16" t="s">
        <v>280</v>
      </c>
      <c r="D17" s="233" t="s">
        <v>506</v>
      </c>
      <c r="E17" s="232" t="s">
        <v>196</v>
      </c>
      <c r="F17" s="25">
        <v>1</v>
      </c>
      <c r="G17" s="16">
        <v>2</v>
      </c>
      <c r="H17" s="16">
        <v>2</v>
      </c>
      <c r="I17" s="25" t="s">
        <v>257</v>
      </c>
      <c r="J17" s="25" t="s">
        <v>258</v>
      </c>
      <c r="K17" s="23" t="s">
        <v>184</v>
      </c>
      <c r="L17" s="87">
        <v>5</v>
      </c>
      <c r="M17" s="88">
        <f t="shared" ref="M17:M23" si="6">2800000*F17</f>
        <v>2800000</v>
      </c>
      <c r="N17" s="24">
        <f>M17*(1-30%)</f>
        <v>1959999.9999999998</v>
      </c>
      <c r="O17" s="37">
        <f t="shared" si="1"/>
        <v>13999.999999999998</v>
      </c>
      <c r="P17" s="19">
        <f t="shared" si="2"/>
        <v>3000000</v>
      </c>
      <c r="Q17" s="19">
        <f t="shared" si="3"/>
        <v>1959999.9999999998</v>
      </c>
      <c r="R17" s="19">
        <f t="shared" si="4"/>
        <v>1959999.9999999998</v>
      </c>
      <c r="S17" s="41">
        <f t="shared" si="5"/>
        <v>6920000</v>
      </c>
      <c r="T17" s="42">
        <f t="shared" si="0"/>
        <v>49428.571428571428</v>
      </c>
      <c r="U17" s="13" t="s">
        <v>182</v>
      </c>
      <c r="V17" s="142"/>
      <c r="W17" s="140"/>
      <c r="X17" s="139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</row>
    <row r="18" spans="1:86" s="28" customFormat="1" ht="15" customHeight="1">
      <c r="A18" s="26" t="s">
        <v>255</v>
      </c>
      <c r="B18" s="245"/>
      <c r="C18" s="16" t="s">
        <v>280</v>
      </c>
      <c r="D18" s="233" t="s">
        <v>507</v>
      </c>
      <c r="E18" s="232" t="s">
        <v>196</v>
      </c>
      <c r="F18" s="25">
        <v>1</v>
      </c>
      <c r="G18" s="16">
        <v>2</v>
      </c>
      <c r="H18" s="16">
        <v>2</v>
      </c>
      <c r="I18" s="25" t="s">
        <v>257</v>
      </c>
      <c r="J18" s="25" t="s">
        <v>258</v>
      </c>
      <c r="K18" s="23" t="s">
        <v>184</v>
      </c>
      <c r="L18" s="87">
        <v>8</v>
      </c>
      <c r="M18" s="88">
        <f t="shared" si="6"/>
        <v>2800000</v>
      </c>
      <c r="N18" s="24">
        <f t="shared" ref="N18:N23" si="7">M18*(1-30%)</f>
        <v>1959999.9999999998</v>
      </c>
      <c r="O18" s="37">
        <f t="shared" si="1"/>
        <v>13999.999999999998</v>
      </c>
      <c r="P18" s="19">
        <f t="shared" si="2"/>
        <v>3000000</v>
      </c>
      <c r="Q18" s="19">
        <f t="shared" si="3"/>
        <v>1959999.9999999998</v>
      </c>
      <c r="R18" s="19">
        <f t="shared" si="4"/>
        <v>1959999.9999999998</v>
      </c>
      <c r="S18" s="41">
        <f t="shared" si="5"/>
        <v>6920000</v>
      </c>
      <c r="T18" s="42">
        <f t="shared" si="0"/>
        <v>49428.571428571428</v>
      </c>
      <c r="U18" s="13" t="s">
        <v>182</v>
      </c>
      <c r="V18" s="142"/>
      <c r="W18" s="140"/>
      <c r="X18" s="139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</row>
    <row r="19" spans="1:86" s="28" customFormat="1" ht="15" customHeight="1">
      <c r="A19" s="26" t="s">
        <v>255</v>
      </c>
      <c r="B19" s="245"/>
      <c r="C19" s="16" t="s">
        <v>280</v>
      </c>
      <c r="D19" s="233" t="s">
        <v>508</v>
      </c>
      <c r="E19" s="232" t="s">
        <v>196</v>
      </c>
      <c r="F19" s="25">
        <v>1</v>
      </c>
      <c r="G19" s="16">
        <v>2</v>
      </c>
      <c r="H19" s="16">
        <v>2</v>
      </c>
      <c r="I19" s="25" t="s">
        <v>257</v>
      </c>
      <c r="J19" s="25" t="s">
        <v>258</v>
      </c>
      <c r="K19" s="23" t="s">
        <v>184</v>
      </c>
      <c r="L19" s="87">
        <v>5</v>
      </c>
      <c r="M19" s="88">
        <f t="shared" si="6"/>
        <v>2800000</v>
      </c>
      <c r="N19" s="24">
        <f t="shared" si="7"/>
        <v>1959999.9999999998</v>
      </c>
      <c r="O19" s="37">
        <f t="shared" si="1"/>
        <v>13999.999999999998</v>
      </c>
      <c r="P19" s="19">
        <f t="shared" si="2"/>
        <v>3000000</v>
      </c>
      <c r="Q19" s="19">
        <f t="shared" si="3"/>
        <v>1959999.9999999998</v>
      </c>
      <c r="R19" s="19">
        <f t="shared" si="4"/>
        <v>1959999.9999999998</v>
      </c>
      <c r="S19" s="41">
        <f t="shared" si="5"/>
        <v>6920000</v>
      </c>
      <c r="T19" s="42">
        <f t="shared" si="0"/>
        <v>49428.571428571428</v>
      </c>
      <c r="U19" s="13" t="s">
        <v>182</v>
      </c>
      <c r="V19" s="142"/>
      <c r="W19" s="140"/>
      <c r="X19" s="139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</row>
    <row r="20" spans="1:86" s="28" customFormat="1" ht="15" customHeight="1">
      <c r="A20" s="26" t="s">
        <v>255</v>
      </c>
      <c r="B20" s="245"/>
      <c r="C20" s="16" t="s">
        <v>280</v>
      </c>
      <c r="D20" s="233" t="s">
        <v>509</v>
      </c>
      <c r="E20" s="232" t="s">
        <v>196</v>
      </c>
      <c r="F20" s="25">
        <v>1</v>
      </c>
      <c r="G20" s="16">
        <v>2</v>
      </c>
      <c r="H20" s="16">
        <v>2</v>
      </c>
      <c r="I20" s="25" t="s">
        <v>257</v>
      </c>
      <c r="J20" s="25" t="s">
        <v>258</v>
      </c>
      <c r="K20" s="23" t="s">
        <v>184</v>
      </c>
      <c r="L20" s="87">
        <v>5</v>
      </c>
      <c r="M20" s="88">
        <f t="shared" si="6"/>
        <v>2800000</v>
      </c>
      <c r="N20" s="24">
        <f t="shared" si="7"/>
        <v>1959999.9999999998</v>
      </c>
      <c r="O20" s="37">
        <f t="shared" si="1"/>
        <v>13999.999999999998</v>
      </c>
      <c r="P20" s="19">
        <f t="shared" si="2"/>
        <v>3000000</v>
      </c>
      <c r="Q20" s="19">
        <f t="shared" si="3"/>
        <v>1959999.9999999998</v>
      </c>
      <c r="R20" s="19">
        <f t="shared" si="4"/>
        <v>1959999.9999999998</v>
      </c>
      <c r="S20" s="41">
        <f t="shared" si="5"/>
        <v>6920000</v>
      </c>
      <c r="T20" s="42">
        <f t="shared" si="0"/>
        <v>49428.571428571428</v>
      </c>
      <c r="U20" s="13" t="s">
        <v>182</v>
      </c>
      <c r="V20" s="142"/>
      <c r="W20" s="140"/>
      <c r="X20" s="139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</row>
    <row r="21" spans="1:86" s="28" customFormat="1" ht="15" customHeight="1">
      <c r="A21" s="26" t="s">
        <v>255</v>
      </c>
      <c r="B21" s="245"/>
      <c r="C21" s="16" t="s">
        <v>280</v>
      </c>
      <c r="D21" s="233" t="s">
        <v>510</v>
      </c>
      <c r="E21" s="232" t="s">
        <v>196</v>
      </c>
      <c r="F21" s="25">
        <v>1</v>
      </c>
      <c r="G21" s="16">
        <v>2</v>
      </c>
      <c r="H21" s="16">
        <v>2</v>
      </c>
      <c r="I21" s="25" t="s">
        <v>257</v>
      </c>
      <c r="J21" s="25" t="s">
        <v>258</v>
      </c>
      <c r="K21" s="23" t="s">
        <v>184</v>
      </c>
      <c r="L21" s="87">
        <v>5</v>
      </c>
      <c r="M21" s="88">
        <f t="shared" si="6"/>
        <v>2800000</v>
      </c>
      <c r="N21" s="24">
        <f t="shared" si="7"/>
        <v>1959999.9999999998</v>
      </c>
      <c r="O21" s="37">
        <f t="shared" si="1"/>
        <v>13999.999999999998</v>
      </c>
      <c r="P21" s="19">
        <f t="shared" si="2"/>
        <v>3000000</v>
      </c>
      <c r="Q21" s="19">
        <f t="shared" si="3"/>
        <v>1959999.9999999998</v>
      </c>
      <c r="R21" s="19">
        <f t="shared" si="4"/>
        <v>1959999.9999999998</v>
      </c>
      <c r="S21" s="41">
        <f t="shared" si="5"/>
        <v>6920000</v>
      </c>
      <c r="T21" s="42">
        <f t="shared" si="0"/>
        <v>49428.571428571428</v>
      </c>
      <c r="U21" s="13" t="s">
        <v>182</v>
      </c>
      <c r="V21" s="142"/>
      <c r="W21" s="140"/>
      <c r="X21" s="139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</row>
    <row r="22" spans="1:86" s="28" customFormat="1" ht="15" customHeight="1">
      <c r="A22" s="26" t="s">
        <v>255</v>
      </c>
      <c r="B22" s="245"/>
      <c r="C22" s="16" t="s">
        <v>280</v>
      </c>
      <c r="D22" s="233" t="s">
        <v>511</v>
      </c>
      <c r="E22" s="232" t="s">
        <v>196</v>
      </c>
      <c r="F22" s="25">
        <v>1</v>
      </c>
      <c r="G22" s="16">
        <v>2</v>
      </c>
      <c r="H22" s="16">
        <v>2</v>
      </c>
      <c r="I22" s="25" t="s">
        <v>257</v>
      </c>
      <c r="J22" s="25" t="s">
        <v>258</v>
      </c>
      <c r="K22" s="23" t="s">
        <v>184</v>
      </c>
      <c r="L22" s="87">
        <v>5</v>
      </c>
      <c r="M22" s="88">
        <f t="shared" si="6"/>
        <v>2800000</v>
      </c>
      <c r="N22" s="24">
        <f t="shared" si="7"/>
        <v>1959999.9999999998</v>
      </c>
      <c r="O22" s="37">
        <f t="shared" si="1"/>
        <v>13999.999999999998</v>
      </c>
      <c r="P22" s="19">
        <f t="shared" si="2"/>
        <v>3000000</v>
      </c>
      <c r="Q22" s="19">
        <f t="shared" si="3"/>
        <v>1959999.9999999998</v>
      </c>
      <c r="R22" s="19">
        <f t="shared" si="4"/>
        <v>1959999.9999999998</v>
      </c>
      <c r="S22" s="41">
        <f t="shared" si="5"/>
        <v>6920000</v>
      </c>
      <c r="T22" s="42">
        <f t="shared" si="0"/>
        <v>49428.571428571428</v>
      </c>
      <c r="U22" s="13" t="s">
        <v>182</v>
      </c>
      <c r="V22" s="142"/>
      <c r="W22" s="140"/>
      <c r="X22" s="139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</row>
    <row r="23" spans="1:86" s="28" customFormat="1" ht="15" customHeight="1">
      <c r="A23" s="26" t="s">
        <v>255</v>
      </c>
      <c r="B23" s="245"/>
      <c r="C23" s="16" t="s">
        <v>280</v>
      </c>
      <c r="D23" s="233" t="s">
        <v>512</v>
      </c>
      <c r="E23" s="232" t="s">
        <v>196</v>
      </c>
      <c r="F23" s="25">
        <v>1</v>
      </c>
      <c r="G23" s="16">
        <v>2</v>
      </c>
      <c r="H23" s="16">
        <v>2</v>
      </c>
      <c r="I23" s="25" t="s">
        <v>257</v>
      </c>
      <c r="J23" s="25" t="s">
        <v>258</v>
      </c>
      <c r="K23" s="23" t="s">
        <v>184</v>
      </c>
      <c r="L23" s="87">
        <v>6</v>
      </c>
      <c r="M23" s="88">
        <f t="shared" si="6"/>
        <v>2800000</v>
      </c>
      <c r="N23" s="24">
        <f t="shared" si="7"/>
        <v>1959999.9999999998</v>
      </c>
      <c r="O23" s="37">
        <f t="shared" si="1"/>
        <v>13999.999999999998</v>
      </c>
      <c r="P23" s="19">
        <f t="shared" si="2"/>
        <v>3000000</v>
      </c>
      <c r="Q23" s="19">
        <f t="shared" si="3"/>
        <v>1959999.9999999998</v>
      </c>
      <c r="R23" s="19">
        <f t="shared" si="4"/>
        <v>1959999.9999999998</v>
      </c>
      <c r="S23" s="41">
        <f t="shared" si="5"/>
        <v>6920000</v>
      </c>
      <c r="T23" s="42">
        <f t="shared" si="0"/>
        <v>49428.571428571428</v>
      </c>
      <c r="U23" s="13" t="s">
        <v>182</v>
      </c>
      <c r="V23" s="142"/>
      <c r="W23" s="140"/>
      <c r="X23" s="139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</row>
    <row r="24" spans="1:86" s="28" customFormat="1" ht="15" customHeight="1">
      <c r="A24" s="26" t="s">
        <v>255</v>
      </c>
      <c r="B24" s="245"/>
      <c r="C24" s="16" t="s">
        <v>243</v>
      </c>
      <c r="D24" s="233" t="s">
        <v>564</v>
      </c>
      <c r="E24" s="232" t="s">
        <v>196</v>
      </c>
      <c r="F24" s="25">
        <v>1</v>
      </c>
      <c r="G24" s="16">
        <v>2</v>
      </c>
      <c r="H24" s="16">
        <v>2</v>
      </c>
      <c r="I24" s="25" t="s">
        <v>257</v>
      </c>
      <c r="J24" s="25" t="s">
        <v>258</v>
      </c>
      <c r="K24" s="23" t="s">
        <v>184</v>
      </c>
      <c r="L24" s="87">
        <v>8</v>
      </c>
      <c r="M24" s="88">
        <f>2800000*F24</f>
        <v>2800000</v>
      </c>
      <c r="N24" s="24">
        <f>M24*(1-30%)</f>
        <v>1959999.9999999998</v>
      </c>
      <c r="O24" s="37">
        <f t="shared" si="1"/>
        <v>13999.999999999998</v>
      </c>
      <c r="P24" s="19">
        <f t="shared" si="2"/>
        <v>3000000</v>
      </c>
      <c r="Q24" s="19">
        <f t="shared" si="3"/>
        <v>1959999.9999999998</v>
      </c>
      <c r="R24" s="19">
        <f t="shared" si="4"/>
        <v>1959999.9999999998</v>
      </c>
      <c r="S24" s="41">
        <f>Q24+R24+P24</f>
        <v>6920000</v>
      </c>
      <c r="T24" s="42">
        <f t="shared" si="0"/>
        <v>49428.571428571428</v>
      </c>
      <c r="U24" s="13" t="s">
        <v>182</v>
      </c>
      <c r="V24" s="142"/>
      <c r="W24" s="140"/>
      <c r="X24" s="139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</row>
    <row r="25" spans="1:86" s="28" customFormat="1" ht="15" customHeight="1">
      <c r="A25" s="26" t="s">
        <v>255</v>
      </c>
      <c r="B25" s="245"/>
      <c r="C25" s="16" t="s">
        <v>243</v>
      </c>
      <c r="D25" s="233" t="s">
        <v>513</v>
      </c>
      <c r="E25" s="232" t="s">
        <v>196</v>
      </c>
      <c r="F25" s="25">
        <v>1</v>
      </c>
      <c r="G25" s="16">
        <v>2</v>
      </c>
      <c r="H25" s="16">
        <v>2</v>
      </c>
      <c r="I25" s="25" t="s">
        <v>257</v>
      </c>
      <c r="J25" s="25" t="s">
        <v>258</v>
      </c>
      <c r="K25" s="23" t="s">
        <v>184</v>
      </c>
      <c r="L25" s="87">
        <v>5</v>
      </c>
      <c r="M25" s="88">
        <f t="shared" ref="M25:M31" si="8">2800000*F25</f>
        <v>2800000</v>
      </c>
      <c r="N25" s="24">
        <f>M25*(1-30%)</f>
        <v>1959999.9999999998</v>
      </c>
      <c r="O25" s="37">
        <f t="shared" si="1"/>
        <v>13999.999999999998</v>
      </c>
      <c r="P25" s="19">
        <f t="shared" si="2"/>
        <v>3000000</v>
      </c>
      <c r="Q25" s="19">
        <f t="shared" si="3"/>
        <v>1959999.9999999998</v>
      </c>
      <c r="R25" s="19">
        <f t="shared" si="4"/>
        <v>1959999.9999999998</v>
      </c>
      <c r="S25" s="41">
        <f t="shared" si="5"/>
        <v>6920000</v>
      </c>
      <c r="T25" s="42">
        <f t="shared" si="0"/>
        <v>49428.571428571428</v>
      </c>
      <c r="U25" s="13" t="s">
        <v>182</v>
      </c>
      <c r="V25" s="142"/>
      <c r="W25" s="140"/>
      <c r="X25" s="139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</row>
    <row r="26" spans="1:86" s="28" customFormat="1" ht="15" customHeight="1">
      <c r="A26" s="26" t="s">
        <v>255</v>
      </c>
      <c r="B26" s="245"/>
      <c r="C26" s="16" t="s">
        <v>243</v>
      </c>
      <c r="D26" s="233" t="s">
        <v>514</v>
      </c>
      <c r="E26" s="232" t="s">
        <v>196</v>
      </c>
      <c r="F26" s="25">
        <v>1</v>
      </c>
      <c r="G26" s="16">
        <v>2</v>
      </c>
      <c r="H26" s="16">
        <v>2</v>
      </c>
      <c r="I26" s="25" t="s">
        <v>257</v>
      </c>
      <c r="J26" s="25" t="s">
        <v>258</v>
      </c>
      <c r="K26" s="23" t="s">
        <v>184</v>
      </c>
      <c r="L26" s="87">
        <v>5</v>
      </c>
      <c r="M26" s="88">
        <f t="shared" si="8"/>
        <v>2800000</v>
      </c>
      <c r="N26" s="24">
        <f t="shared" ref="N26:N31" si="9">M26*(1-30%)</f>
        <v>1959999.9999999998</v>
      </c>
      <c r="O26" s="37">
        <f t="shared" si="1"/>
        <v>13999.999999999998</v>
      </c>
      <c r="P26" s="19">
        <f t="shared" si="2"/>
        <v>3000000</v>
      </c>
      <c r="Q26" s="19">
        <f t="shared" si="3"/>
        <v>1959999.9999999998</v>
      </c>
      <c r="R26" s="19">
        <f t="shared" si="4"/>
        <v>1959999.9999999998</v>
      </c>
      <c r="S26" s="41">
        <f t="shared" si="5"/>
        <v>6920000</v>
      </c>
      <c r="T26" s="42">
        <f t="shared" si="0"/>
        <v>49428.571428571428</v>
      </c>
      <c r="U26" s="13" t="s">
        <v>182</v>
      </c>
      <c r="V26" s="142"/>
      <c r="W26" s="140"/>
      <c r="X26" s="139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</row>
    <row r="27" spans="1:86" s="28" customFormat="1" ht="15" customHeight="1">
      <c r="A27" s="26" t="s">
        <v>255</v>
      </c>
      <c r="B27" s="245"/>
      <c r="C27" s="16" t="s">
        <v>243</v>
      </c>
      <c r="D27" s="233" t="s">
        <v>565</v>
      </c>
      <c r="E27" s="232" t="s">
        <v>196</v>
      </c>
      <c r="F27" s="25">
        <v>1</v>
      </c>
      <c r="G27" s="16">
        <v>2</v>
      </c>
      <c r="H27" s="16">
        <v>2</v>
      </c>
      <c r="I27" s="25" t="s">
        <v>257</v>
      </c>
      <c r="J27" s="25" t="s">
        <v>258</v>
      </c>
      <c r="K27" s="23" t="s">
        <v>184</v>
      </c>
      <c r="L27" s="87">
        <v>5</v>
      </c>
      <c r="M27" s="88">
        <f t="shared" si="8"/>
        <v>2800000</v>
      </c>
      <c r="N27" s="24">
        <f t="shared" si="9"/>
        <v>1959999.9999999998</v>
      </c>
      <c r="O27" s="37">
        <f t="shared" si="1"/>
        <v>13999.999999999998</v>
      </c>
      <c r="P27" s="19">
        <f t="shared" si="2"/>
        <v>3000000</v>
      </c>
      <c r="Q27" s="19">
        <f t="shared" si="3"/>
        <v>1959999.9999999998</v>
      </c>
      <c r="R27" s="19">
        <f t="shared" si="4"/>
        <v>1959999.9999999998</v>
      </c>
      <c r="S27" s="41">
        <f t="shared" si="5"/>
        <v>6920000</v>
      </c>
      <c r="T27" s="42">
        <f t="shared" si="0"/>
        <v>49428.571428571428</v>
      </c>
      <c r="U27" s="13" t="s">
        <v>182</v>
      </c>
      <c r="V27" s="142"/>
      <c r="W27" s="140"/>
      <c r="X27" s="139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</row>
    <row r="28" spans="1:86" s="28" customFormat="1" ht="15" customHeight="1">
      <c r="A28" s="26" t="s">
        <v>255</v>
      </c>
      <c r="B28" s="245"/>
      <c r="C28" s="16" t="s">
        <v>243</v>
      </c>
      <c r="D28" s="233" t="s">
        <v>566</v>
      </c>
      <c r="E28" s="232" t="s">
        <v>196</v>
      </c>
      <c r="F28" s="25">
        <v>1</v>
      </c>
      <c r="G28" s="16">
        <v>2</v>
      </c>
      <c r="H28" s="16">
        <v>2</v>
      </c>
      <c r="I28" s="25" t="s">
        <v>257</v>
      </c>
      <c r="J28" s="25" t="s">
        <v>258</v>
      </c>
      <c r="K28" s="23" t="s">
        <v>184</v>
      </c>
      <c r="L28" s="87">
        <v>5</v>
      </c>
      <c r="M28" s="88">
        <f t="shared" si="8"/>
        <v>2800000</v>
      </c>
      <c r="N28" s="24">
        <f t="shared" si="9"/>
        <v>1959999.9999999998</v>
      </c>
      <c r="O28" s="37">
        <f t="shared" si="1"/>
        <v>13999.999999999998</v>
      </c>
      <c r="P28" s="19">
        <f t="shared" si="2"/>
        <v>3000000</v>
      </c>
      <c r="Q28" s="19">
        <f t="shared" si="3"/>
        <v>1959999.9999999998</v>
      </c>
      <c r="R28" s="19">
        <f t="shared" si="4"/>
        <v>1959999.9999999998</v>
      </c>
      <c r="S28" s="41">
        <f t="shared" si="5"/>
        <v>6920000</v>
      </c>
      <c r="T28" s="42">
        <f t="shared" si="0"/>
        <v>49428.571428571428</v>
      </c>
      <c r="U28" s="13" t="s">
        <v>182</v>
      </c>
      <c r="V28" s="142"/>
      <c r="W28" s="140"/>
      <c r="X28" s="139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</row>
    <row r="29" spans="1:86" s="28" customFormat="1" ht="15" customHeight="1">
      <c r="A29" s="26" t="s">
        <v>255</v>
      </c>
      <c r="B29" s="245"/>
      <c r="C29" s="16" t="s">
        <v>243</v>
      </c>
      <c r="D29" s="233" t="s">
        <v>515</v>
      </c>
      <c r="E29" s="232" t="s">
        <v>196</v>
      </c>
      <c r="F29" s="25">
        <v>1</v>
      </c>
      <c r="G29" s="16">
        <v>2</v>
      </c>
      <c r="H29" s="16">
        <v>2</v>
      </c>
      <c r="I29" s="25" t="s">
        <v>257</v>
      </c>
      <c r="J29" s="25" t="s">
        <v>258</v>
      </c>
      <c r="K29" s="23" t="s">
        <v>184</v>
      </c>
      <c r="L29" s="87">
        <v>6</v>
      </c>
      <c r="M29" s="88">
        <f t="shared" si="8"/>
        <v>2800000</v>
      </c>
      <c r="N29" s="24">
        <f t="shared" si="9"/>
        <v>1959999.9999999998</v>
      </c>
      <c r="O29" s="37">
        <f t="shared" si="1"/>
        <v>13999.999999999998</v>
      </c>
      <c r="P29" s="19">
        <f t="shared" si="2"/>
        <v>3000000</v>
      </c>
      <c r="Q29" s="19">
        <f t="shared" si="3"/>
        <v>1959999.9999999998</v>
      </c>
      <c r="R29" s="19">
        <f t="shared" si="4"/>
        <v>1959999.9999999998</v>
      </c>
      <c r="S29" s="41">
        <f t="shared" si="5"/>
        <v>6920000</v>
      </c>
      <c r="T29" s="42">
        <f t="shared" si="0"/>
        <v>49428.571428571428</v>
      </c>
      <c r="U29" s="13" t="s">
        <v>182</v>
      </c>
      <c r="V29" s="142"/>
      <c r="W29" s="140"/>
      <c r="X29" s="139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</row>
    <row r="30" spans="1:86" s="28" customFormat="1" ht="15" customHeight="1">
      <c r="A30" s="26" t="s">
        <v>255</v>
      </c>
      <c r="B30" s="245"/>
      <c r="C30" s="16" t="s">
        <v>243</v>
      </c>
      <c r="D30" s="233" t="s">
        <v>516</v>
      </c>
      <c r="E30" s="232" t="s">
        <v>196</v>
      </c>
      <c r="F30" s="25">
        <v>1</v>
      </c>
      <c r="G30" s="16">
        <v>2</v>
      </c>
      <c r="H30" s="16">
        <v>2</v>
      </c>
      <c r="I30" s="25" t="s">
        <v>257</v>
      </c>
      <c r="J30" s="25" t="s">
        <v>258</v>
      </c>
      <c r="K30" s="23" t="s">
        <v>184</v>
      </c>
      <c r="L30" s="87">
        <v>6</v>
      </c>
      <c r="M30" s="88">
        <f t="shared" si="8"/>
        <v>2800000</v>
      </c>
      <c r="N30" s="24">
        <f t="shared" si="9"/>
        <v>1959999.9999999998</v>
      </c>
      <c r="O30" s="37">
        <f t="shared" si="1"/>
        <v>13999.999999999998</v>
      </c>
      <c r="P30" s="19">
        <f t="shared" si="2"/>
        <v>3000000</v>
      </c>
      <c r="Q30" s="19">
        <f t="shared" si="3"/>
        <v>1959999.9999999998</v>
      </c>
      <c r="R30" s="19">
        <f t="shared" si="4"/>
        <v>1959999.9999999998</v>
      </c>
      <c r="S30" s="41">
        <f t="shared" si="5"/>
        <v>6920000</v>
      </c>
      <c r="T30" s="42">
        <f t="shared" si="0"/>
        <v>49428.571428571428</v>
      </c>
      <c r="U30" s="13" t="s">
        <v>182</v>
      </c>
      <c r="V30" s="142"/>
      <c r="W30" s="140"/>
      <c r="X30" s="139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</row>
    <row r="31" spans="1:86" s="28" customFormat="1" ht="15" customHeight="1">
      <c r="A31" s="26" t="s">
        <v>255</v>
      </c>
      <c r="B31" s="245"/>
      <c r="C31" s="16" t="s">
        <v>243</v>
      </c>
      <c r="D31" s="234" t="s">
        <v>517</v>
      </c>
      <c r="E31" s="232" t="s">
        <v>196</v>
      </c>
      <c r="F31" s="25">
        <v>1</v>
      </c>
      <c r="G31" s="16">
        <v>2</v>
      </c>
      <c r="H31" s="16">
        <v>2</v>
      </c>
      <c r="I31" s="25" t="s">
        <v>257</v>
      </c>
      <c r="J31" s="25" t="s">
        <v>258</v>
      </c>
      <c r="K31" s="23" t="s">
        <v>184</v>
      </c>
      <c r="L31" s="87">
        <v>5</v>
      </c>
      <c r="M31" s="88">
        <f t="shared" si="8"/>
        <v>2800000</v>
      </c>
      <c r="N31" s="24">
        <f t="shared" si="9"/>
        <v>1959999.9999999998</v>
      </c>
      <c r="O31" s="37">
        <f t="shared" si="1"/>
        <v>13999.999999999998</v>
      </c>
      <c r="P31" s="19">
        <f t="shared" si="2"/>
        <v>3000000</v>
      </c>
      <c r="Q31" s="19">
        <f t="shared" si="3"/>
        <v>1959999.9999999998</v>
      </c>
      <c r="R31" s="19">
        <f t="shared" si="4"/>
        <v>1959999.9999999998</v>
      </c>
      <c r="S31" s="41">
        <f t="shared" si="5"/>
        <v>6920000</v>
      </c>
      <c r="T31" s="42">
        <f t="shared" si="0"/>
        <v>49428.571428571428</v>
      </c>
      <c r="U31" s="13" t="s">
        <v>182</v>
      </c>
      <c r="V31" s="142"/>
      <c r="W31" s="140"/>
      <c r="X31" s="139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</row>
    <row r="32" spans="1:86" s="28" customFormat="1" ht="15" customHeight="1">
      <c r="A32" s="26" t="s">
        <v>255</v>
      </c>
      <c r="B32" s="245"/>
      <c r="C32" s="16" t="s">
        <v>243</v>
      </c>
      <c r="D32" s="233" t="s">
        <v>518</v>
      </c>
      <c r="E32" s="232" t="s">
        <v>196</v>
      </c>
      <c r="F32" s="25">
        <v>1</v>
      </c>
      <c r="G32" s="16">
        <v>2</v>
      </c>
      <c r="H32" s="16">
        <v>2</v>
      </c>
      <c r="I32" s="25" t="s">
        <v>257</v>
      </c>
      <c r="J32" s="25" t="s">
        <v>258</v>
      </c>
      <c r="K32" s="23" t="s">
        <v>184</v>
      </c>
      <c r="L32" s="87">
        <v>8</v>
      </c>
      <c r="M32" s="88">
        <f>2800000*F32</f>
        <v>2800000</v>
      </c>
      <c r="N32" s="24">
        <f>M32*(1-30%)</f>
        <v>1959999.9999999998</v>
      </c>
      <c r="O32" s="37">
        <f t="shared" si="1"/>
        <v>13999.999999999998</v>
      </c>
      <c r="P32" s="19">
        <f t="shared" si="2"/>
        <v>3000000</v>
      </c>
      <c r="Q32" s="19">
        <f t="shared" si="3"/>
        <v>1959999.9999999998</v>
      </c>
      <c r="R32" s="19">
        <f t="shared" si="4"/>
        <v>1959999.9999999998</v>
      </c>
      <c r="S32" s="41">
        <f t="shared" si="5"/>
        <v>6920000</v>
      </c>
      <c r="T32" s="42">
        <f t="shared" si="0"/>
        <v>49428.571428571428</v>
      </c>
      <c r="U32" s="13" t="s">
        <v>182</v>
      </c>
      <c r="V32" s="142"/>
      <c r="W32" s="140"/>
      <c r="X32" s="139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</row>
    <row r="33" spans="1:86" s="28" customFormat="1" ht="15" customHeight="1">
      <c r="A33" s="26" t="s">
        <v>255</v>
      </c>
      <c r="B33" s="245"/>
      <c r="C33" s="16" t="s">
        <v>243</v>
      </c>
      <c r="D33" s="233" t="s">
        <v>519</v>
      </c>
      <c r="E33" s="232" t="s">
        <v>196</v>
      </c>
      <c r="F33" s="25">
        <v>1</v>
      </c>
      <c r="G33" s="16">
        <v>2</v>
      </c>
      <c r="H33" s="16">
        <v>2</v>
      </c>
      <c r="I33" s="25" t="s">
        <v>257</v>
      </c>
      <c r="J33" s="25" t="s">
        <v>258</v>
      </c>
      <c r="K33" s="23" t="s">
        <v>184</v>
      </c>
      <c r="L33" s="87">
        <v>5</v>
      </c>
      <c r="M33" s="88">
        <f t="shared" ref="M33:M38" si="10">2800000*F33</f>
        <v>2800000</v>
      </c>
      <c r="N33" s="24">
        <f>M33*(1-30%)</f>
        <v>1959999.9999999998</v>
      </c>
      <c r="O33" s="37">
        <f t="shared" si="1"/>
        <v>13999.999999999998</v>
      </c>
      <c r="P33" s="19">
        <f t="shared" si="2"/>
        <v>3000000</v>
      </c>
      <c r="Q33" s="19">
        <f t="shared" si="3"/>
        <v>1959999.9999999998</v>
      </c>
      <c r="R33" s="19">
        <f t="shared" si="4"/>
        <v>1959999.9999999998</v>
      </c>
      <c r="S33" s="41">
        <f t="shared" si="5"/>
        <v>6920000</v>
      </c>
      <c r="T33" s="42">
        <f t="shared" si="0"/>
        <v>49428.571428571428</v>
      </c>
      <c r="U33" s="13" t="s">
        <v>182</v>
      </c>
      <c r="V33" s="142"/>
      <c r="W33" s="140"/>
      <c r="X33" s="139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</row>
    <row r="34" spans="1:86" s="28" customFormat="1" ht="15" customHeight="1">
      <c r="A34" s="26" t="s">
        <v>255</v>
      </c>
      <c r="B34" s="245"/>
      <c r="C34" s="16" t="s">
        <v>243</v>
      </c>
      <c r="D34" s="233" t="s">
        <v>520</v>
      </c>
      <c r="E34" s="232" t="s">
        <v>196</v>
      </c>
      <c r="F34" s="25">
        <v>1</v>
      </c>
      <c r="G34" s="16">
        <v>2</v>
      </c>
      <c r="H34" s="16">
        <v>2</v>
      </c>
      <c r="I34" s="25" t="s">
        <v>257</v>
      </c>
      <c r="J34" s="25" t="s">
        <v>258</v>
      </c>
      <c r="K34" s="23" t="s">
        <v>184</v>
      </c>
      <c r="L34" s="87">
        <v>8</v>
      </c>
      <c r="M34" s="88">
        <f t="shared" si="10"/>
        <v>2800000</v>
      </c>
      <c r="N34" s="24">
        <f t="shared" ref="N34:N38" si="11">M34*(1-30%)</f>
        <v>1959999.9999999998</v>
      </c>
      <c r="O34" s="37">
        <f t="shared" si="1"/>
        <v>13999.999999999998</v>
      </c>
      <c r="P34" s="19">
        <f t="shared" si="2"/>
        <v>3000000</v>
      </c>
      <c r="Q34" s="19">
        <f t="shared" si="3"/>
        <v>1959999.9999999998</v>
      </c>
      <c r="R34" s="19">
        <f t="shared" si="4"/>
        <v>1959999.9999999998</v>
      </c>
      <c r="S34" s="41">
        <f t="shared" si="5"/>
        <v>6920000</v>
      </c>
      <c r="T34" s="42">
        <f t="shared" si="0"/>
        <v>49428.571428571428</v>
      </c>
      <c r="U34" s="13" t="s">
        <v>182</v>
      </c>
      <c r="V34" s="142"/>
      <c r="W34" s="140"/>
      <c r="X34" s="139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</row>
    <row r="35" spans="1:86" s="28" customFormat="1" ht="15" customHeight="1">
      <c r="A35" s="26" t="s">
        <v>255</v>
      </c>
      <c r="B35" s="245"/>
      <c r="C35" s="16" t="s">
        <v>243</v>
      </c>
      <c r="D35" s="233" t="s">
        <v>521</v>
      </c>
      <c r="E35" s="232" t="s">
        <v>196</v>
      </c>
      <c r="F35" s="25">
        <v>1</v>
      </c>
      <c r="G35" s="16">
        <v>2</v>
      </c>
      <c r="H35" s="16">
        <v>2</v>
      </c>
      <c r="I35" s="25" t="s">
        <v>257</v>
      </c>
      <c r="J35" s="25" t="s">
        <v>258</v>
      </c>
      <c r="K35" s="23" t="s">
        <v>184</v>
      </c>
      <c r="L35" s="87">
        <v>5</v>
      </c>
      <c r="M35" s="88">
        <f t="shared" si="10"/>
        <v>2800000</v>
      </c>
      <c r="N35" s="24">
        <f t="shared" si="11"/>
        <v>1959999.9999999998</v>
      </c>
      <c r="O35" s="37">
        <f t="shared" si="1"/>
        <v>13999.999999999998</v>
      </c>
      <c r="P35" s="19">
        <f t="shared" si="2"/>
        <v>3000000</v>
      </c>
      <c r="Q35" s="19">
        <f t="shared" si="3"/>
        <v>1959999.9999999998</v>
      </c>
      <c r="R35" s="19">
        <f t="shared" si="4"/>
        <v>1959999.9999999998</v>
      </c>
      <c r="S35" s="41">
        <f t="shared" si="5"/>
        <v>6920000</v>
      </c>
      <c r="T35" s="42">
        <f t="shared" si="0"/>
        <v>49428.571428571428</v>
      </c>
      <c r="U35" s="13" t="s">
        <v>182</v>
      </c>
      <c r="V35" s="142"/>
      <c r="W35" s="140"/>
      <c r="X35" s="139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</row>
    <row r="36" spans="1:86" s="28" customFormat="1" ht="15" customHeight="1">
      <c r="A36" s="26" t="s">
        <v>255</v>
      </c>
      <c r="B36" s="245"/>
      <c r="C36" s="16" t="s">
        <v>256</v>
      </c>
      <c r="D36" s="233" t="s">
        <v>567</v>
      </c>
      <c r="E36" s="232" t="s">
        <v>196</v>
      </c>
      <c r="F36" s="25">
        <v>1</v>
      </c>
      <c r="G36" s="16">
        <v>2</v>
      </c>
      <c r="H36" s="16">
        <v>2</v>
      </c>
      <c r="I36" s="25" t="s">
        <v>257</v>
      </c>
      <c r="J36" s="25" t="s">
        <v>258</v>
      </c>
      <c r="K36" s="23" t="s">
        <v>184</v>
      </c>
      <c r="L36" s="87">
        <v>5</v>
      </c>
      <c r="M36" s="88">
        <f t="shared" si="10"/>
        <v>2800000</v>
      </c>
      <c r="N36" s="24">
        <f t="shared" si="11"/>
        <v>1959999.9999999998</v>
      </c>
      <c r="O36" s="37">
        <f t="shared" si="1"/>
        <v>13999.999999999998</v>
      </c>
      <c r="P36" s="19">
        <f t="shared" si="2"/>
        <v>3000000</v>
      </c>
      <c r="Q36" s="19">
        <f t="shared" si="3"/>
        <v>1959999.9999999998</v>
      </c>
      <c r="R36" s="19">
        <f t="shared" si="4"/>
        <v>1959999.9999999998</v>
      </c>
      <c r="S36" s="41">
        <f t="shared" si="5"/>
        <v>6920000</v>
      </c>
      <c r="T36" s="42">
        <f t="shared" si="0"/>
        <v>49428.571428571428</v>
      </c>
      <c r="U36" s="13" t="s">
        <v>182</v>
      </c>
      <c r="V36" s="142"/>
      <c r="W36" s="140"/>
      <c r="X36" s="139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</row>
    <row r="37" spans="1:86" s="28" customFormat="1" ht="15" customHeight="1">
      <c r="A37" s="26" t="s">
        <v>255</v>
      </c>
      <c r="B37" s="245"/>
      <c r="C37" s="16" t="s">
        <v>256</v>
      </c>
      <c r="D37" s="233" t="s">
        <v>522</v>
      </c>
      <c r="E37" s="232" t="s">
        <v>196</v>
      </c>
      <c r="F37" s="25">
        <v>1</v>
      </c>
      <c r="G37" s="16">
        <v>2</v>
      </c>
      <c r="H37" s="16">
        <v>2</v>
      </c>
      <c r="I37" s="25" t="s">
        <v>257</v>
      </c>
      <c r="J37" s="25" t="s">
        <v>258</v>
      </c>
      <c r="K37" s="23" t="s">
        <v>184</v>
      </c>
      <c r="L37" s="87">
        <v>6</v>
      </c>
      <c r="M37" s="88">
        <f t="shared" si="10"/>
        <v>2800000</v>
      </c>
      <c r="N37" s="24">
        <f t="shared" si="11"/>
        <v>1959999.9999999998</v>
      </c>
      <c r="O37" s="37">
        <f t="shared" si="1"/>
        <v>13999.999999999998</v>
      </c>
      <c r="P37" s="19">
        <f t="shared" si="2"/>
        <v>3000000</v>
      </c>
      <c r="Q37" s="19">
        <f t="shared" si="3"/>
        <v>1959999.9999999998</v>
      </c>
      <c r="R37" s="19">
        <f t="shared" si="4"/>
        <v>1959999.9999999998</v>
      </c>
      <c r="S37" s="41">
        <f t="shared" si="5"/>
        <v>6920000</v>
      </c>
      <c r="T37" s="42">
        <f t="shared" si="0"/>
        <v>49428.571428571428</v>
      </c>
      <c r="U37" s="13" t="s">
        <v>182</v>
      </c>
      <c r="V37" s="142"/>
      <c r="W37" s="140"/>
      <c r="X37" s="139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</row>
    <row r="38" spans="1:86" s="28" customFormat="1" ht="15" customHeight="1">
      <c r="A38" s="26" t="s">
        <v>255</v>
      </c>
      <c r="B38" s="245"/>
      <c r="C38" s="16" t="s">
        <v>256</v>
      </c>
      <c r="D38" s="233" t="s">
        <v>523</v>
      </c>
      <c r="E38" s="232" t="s">
        <v>196</v>
      </c>
      <c r="F38" s="25">
        <v>1</v>
      </c>
      <c r="G38" s="16">
        <v>2</v>
      </c>
      <c r="H38" s="16">
        <v>2</v>
      </c>
      <c r="I38" s="25" t="s">
        <v>257</v>
      </c>
      <c r="J38" s="25" t="s">
        <v>258</v>
      </c>
      <c r="K38" s="23" t="s">
        <v>184</v>
      </c>
      <c r="L38" s="87">
        <v>5</v>
      </c>
      <c r="M38" s="88">
        <f t="shared" si="10"/>
        <v>2800000</v>
      </c>
      <c r="N38" s="24">
        <f t="shared" si="11"/>
        <v>1959999.9999999998</v>
      </c>
      <c r="O38" s="37">
        <f t="shared" si="1"/>
        <v>13999.999999999998</v>
      </c>
      <c r="P38" s="19">
        <f t="shared" si="2"/>
        <v>3000000</v>
      </c>
      <c r="Q38" s="19">
        <f t="shared" si="3"/>
        <v>1959999.9999999998</v>
      </c>
      <c r="R38" s="19">
        <f t="shared" si="4"/>
        <v>1959999.9999999998</v>
      </c>
      <c r="S38" s="41">
        <f t="shared" si="5"/>
        <v>6920000</v>
      </c>
      <c r="T38" s="42">
        <f t="shared" si="0"/>
        <v>49428.571428571428</v>
      </c>
      <c r="U38" s="13" t="s">
        <v>182</v>
      </c>
      <c r="V38" s="142"/>
      <c r="W38" s="140"/>
      <c r="X38" s="139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</row>
    <row r="39" spans="1:86" s="28" customFormat="1" ht="15" customHeight="1">
      <c r="A39" s="26" t="s">
        <v>255</v>
      </c>
      <c r="B39" s="245"/>
      <c r="C39" s="16" t="s">
        <v>256</v>
      </c>
      <c r="D39" s="233" t="s">
        <v>524</v>
      </c>
      <c r="E39" s="232" t="s">
        <v>196</v>
      </c>
      <c r="F39" s="25">
        <v>1</v>
      </c>
      <c r="G39" s="16">
        <v>2</v>
      </c>
      <c r="H39" s="16">
        <v>2</v>
      </c>
      <c r="I39" s="25" t="s">
        <v>257</v>
      </c>
      <c r="J39" s="25" t="s">
        <v>258</v>
      </c>
      <c r="K39" s="23" t="s">
        <v>184</v>
      </c>
      <c r="L39" s="87">
        <v>8</v>
      </c>
      <c r="M39" s="88">
        <f>2800000*F39</f>
        <v>2800000</v>
      </c>
      <c r="N39" s="24">
        <f>M39*(1-30%)</f>
        <v>1959999.9999999998</v>
      </c>
      <c r="O39" s="37">
        <f t="shared" si="1"/>
        <v>13999.999999999998</v>
      </c>
      <c r="P39" s="19">
        <f t="shared" si="2"/>
        <v>3000000</v>
      </c>
      <c r="Q39" s="19">
        <f t="shared" si="3"/>
        <v>1959999.9999999998</v>
      </c>
      <c r="R39" s="19">
        <f t="shared" si="4"/>
        <v>1959999.9999999998</v>
      </c>
      <c r="S39" s="41">
        <f t="shared" si="5"/>
        <v>6920000</v>
      </c>
      <c r="T39" s="42">
        <f t="shared" si="0"/>
        <v>49428.571428571428</v>
      </c>
      <c r="U39" s="13" t="s">
        <v>182</v>
      </c>
      <c r="V39" s="142"/>
      <c r="W39" s="140"/>
      <c r="X39" s="139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</row>
    <row r="40" spans="1:86" s="28" customFormat="1" ht="15" customHeight="1">
      <c r="A40" s="26" t="s">
        <v>255</v>
      </c>
      <c r="B40" s="245"/>
      <c r="C40" s="16" t="s">
        <v>256</v>
      </c>
      <c r="D40" s="233" t="s">
        <v>525</v>
      </c>
      <c r="E40" s="232" t="s">
        <v>196</v>
      </c>
      <c r="F40" s="25">
        <v>1</v>
      </c>
      <c r="G40" s="16">
        <v>2</v>
      </c>
      <c r="H40" s="16">
        <v>2</v>
      </c>
      <c r="I40" s="25" t="s">
        <v>257</v>
      </c>
      <c r="J40" s="25" t="s">
        <v>258</v>
      </c>
      <c r="K40" s="23" t="s">
        <v>184</v>
      </c>
      <c r="L40" s="87">
        <v>5</v>
      </c>
      <c r="M40" s="88">
        <f t="shared" ref="M40:M45" si="12">2800000*F40</f>
        <v>2800000</v>
      </c>
      <c r="N40" s="24">
        <f>M40*(1-30%)</f>
        <v>1959999.9999999998</v>
      </c>
      <c r="O40" s="37">
        <f t="shared" si="1"/>
        <v>13999.999999999998</v>
      </c>
      <c r="P40" s="19">
        <f t="shared" si="2"/>
        <v>3000000</v>
      </c>
      <c r="Q40" s="19">
        <f t="shared" si="3"/>
        <v>1959999.9999999998</v>
      </c>
      <c r="R40" s="19">
        <f t="shared" si="4"/>
        <v>1959999.9999999998</v>
      </c>
      <c r="S40" s="41">
        <f t="shared" si="5"/>
        <v>6920000</v>
      </c>
      <c r="T40" s="42">
        <f t="shared" si="0"/>
        <v>49428.571428571428</v>
      </c>
      <c r="U40" s="13" t="s">
        <v>182</v>
      </c>
      <c r="V40" s="142"/>
      <c r="W40" s="140"/>
      <c r="X40" s="139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</row>
    <row r="41" spans="1:86" s="28" customFormat="1" ht="15" customHeight="1">
      <c r="A41" s="26" t="s">
        <v>255</v>
      </c>
      <c r="B41" s="245"/>
      <c r="C41" s="16" t="s">
        <v>256</v>
      </c>
      <c r="D41" s="233" t="s">
        <v>527</v>
      </c>
      <c r="E41" s="232" t="s">
        <v>526</v>
      </c>
      <c r="F41" s="25">
        <v>1</v>
      </c>
      <c r="G41" s="16">
        <v>2</v>
      </c>
      <c r="H41" s="16">
        <v>2</v>
      </c>
      <c r="I41" s="25" t="s">
        <v>257</v>
      </c>
      <c r="J41" s="25" t="s">
        <v>258</v>
      </c>
      <c r="K41" s="23" t="s">
        <v>184</v>
      </c>
      <c r="L41" s="87">
        <v>5</v>
      </c>
      <c r="M41" s="88">
        <f t="shared" si="12"/>
        <v>2800000</v>
      </c>
      <c r="N41" s="24">
        <f t="shared" ref="N41:N45" si="13">M41*(1-30%)</f>
        <v>1959999.9999999998</v>
      </c>
      <c r="O41" s="37">
        <f t="shared" si="1"/>
        <v>13999.999999999998</v>
      </c>
      <c r="P41" s="19">
        <f t="shared" si="2"/>
        <v>3000000</v>
      </c>
      <c r="Q41" s="19">
        <f t="shared" si="3"/>
        <v>1959999.9999999998</v>
      </c>
      <c r="R41" s="19">
        <f t="shared" si="4"/>
        <v>1959999.9999999998</v>
      </c>
      <c r="S41" s="41">
        <f t="shared" si="5"/>
        <v>6920000</v>
      </c>
      <c r="T41" s="42">
        <f t="shared" si="0"/>
        <v>49428.571428571428</v>
      </c>
      <c r="U41" s="13" t="s">
        <v>182</v>
      </c>
      <c r="V41" s="142"/>
      <c r="W41" s="140"/>
      <c r="X41" s="139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</row>
    <row r="42" spans="1:86" s="28" customFormat="1" ht="15" customHeight="1">
      <c r="A42" s="26" t="s">
        <v>255</v>
      </c>
      <c r="B42" s="245"/>
      <c r="C42" s="16" t="s">
        <v>242</v>
      </c>
      <c r="D42" s="233" t="s">
        <v>528</v>
      </c>
      <c r="E42" s="232" t="s">
        <v>196</v>
      </c>
      <c r="F42" s="25">
        <v>1</v>
      </c>
      <c r="G42" s="16">
        <v>2</v>
      </c>
      <c r="H42" s="16">
        <v>2</v>
      </c>
      <c r="I42" s="25" t="s">
        <v>257</v>
      </c>
      <c r="J42" s="25" t="s">
        <v>258</v>
      </c>
      <c r="K42" s="23" t="s">
        <v>184</v>
      </c>
      <c r="L42" s="87">
        <v>5</v>
      </c>
      <c r="M42" s="88">
        <f t="shared" si="12"/>
        <v>2800000</v>
      </c>
      <c r="N42" s="24">
        <f t="shared" si="13"/>
        <v>1959999.9999999998</v>
      </c>
      <c r="O42" s="37">
        <f t="shared" si="1"/>
        <v>13999.999999999998</v>
      </c>
      <c r="P42" s="19">
        <f t="shared" si="2"/>
        <v>3000000</v>
      </c>
      <c r="Q42" s="19">
        <f t="shared" si="3"/>
        <v>1959999.9999999998</v>
      </c>
      <c r="R42" s="19">
        <f t="shared" si="4"/>
        <v>1959999.9999999998</v>
      </c>
      <c r="S42" s="41">
        <f t="shared" si="5"/>
        <v>6920000</v>
      </c>
      <c r="T42" s="42">
        <f t="shared" si="0"/>
        <v>49428.571428571428</v>
      </c>
      <c r="U42" s="13" t="s">
        <v>182</v>
      </c>
      <c r="V42" s="142"/>
      <c r="W42" s="140"/>
      <c r="X42" s="139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</row>
    <row r="43" spans="1:86" s="28" customFormat="1" ht="15" customHeight="1">
      <c r="A43" s="26" t="s">
        <v>255</v>
      </c>
      <c r="B43" s="245"/>
      <c r="C43" s="16" t="s">
        <v>242</v>
      </c>
      <c r="D43" s="233" t="s">
        <v>529</v>
      </c>
      <c r="E43" s="232" t="s">
        <v>196</v>
      </c>
      <c r="F43" s="25">
        <v>1</v>
      </c>
      <c r="G43" s="16">
        <v>2</v>
      </c>
      <c r="H43" s="16">
        <v>2</v>
      </c>
      <c r="I43" s="25" t="s">
        <v>257</v>
      </c>
      <c r="J43" s="25" t="s">
        <v>258</v>
      </c>
      <c r="K43" s="23" t="s">
        <v>184</v>
      </c>
      <c r="L43" s="87">
        <v>5</v>
      </c>
      <c r="M43" s="88">
        <f t="shared" si="12"/>
        <v>2800000</v>
      </c>
      <c r="N43" s="24">
        <f t="shared" si="13"/>
        <v>1959999.9999999998</v>
      </c>
      <c r="O43" s="37">
        <f t="shared" si="1"/>
        <v>13999.999999999998</v>
      </c>
      <c r="P43" s="19">
        <f t="shared" si="2"/>
        <v>3000000</v>
      </c>
      <c r="Q43" s="19">
        <f t="shared" si="3"/>
        <v>1959999.9999999998</v>
      </c>
      <c r="R43" s="19">
        <f t="shared" si="4"/>
        <v>1959999.9999999998</v>
      </c>
      <c r="S43" s="41">
        <f t="shared" si="5"/>
        <v>6920000</v>
      </c>
      <c r="T43" s="42">
        <f t="shared" si="0"/>
        <v>49428.571428571428</v>
      </c>
      <c r="U43" s="13" t="s">
        <v>182</v>
      </c>
      <c r="V43" s="142"/>
      <c r="W43" s="140"/>
      <c r="X43" s="139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</row>
    <row r="44" spans="1:86" s="28" customFormat="1" ht="15" customHeight="1">
      <c r="A44" s="26" t="s">
        <v>255</v>
      </c>
      <c r="B44" s="245"/>
      <c r="C44" s="16" t="s">
        <v>242</v>
      </c>
      <c r="D44" s="233" t="s">
        <v>530</v>
      </c>
      <c r="E44" s="232" t="s">
        <v>196</v>
      </c>
      <c r="F44" s="25">
        <v>1</v>
      </c>
      <c r="G44" s="16">
        <v>2</v>
      </c>
      <c r="H44" s="16">
        <v>2</v>
      </c>
      <c r="I44" s="25" t="s">
        <v>257</v>
      </c>
      <c r="J44" s="25" t="s">
        <v>258</v>
      </c>
      <c r="K44" s="23" t="s">
        <v>184</v>
      </c>
      <c r="L44" s="87">
        <v>6</v>
      </c>
      <c r="M44" s="88">
        <f t="shared" si="12"/>
        <v>2800000</v>
      </c>
      <c r="N44" s="24">
        <f t="shared" si="13"/>
        <v>1959999.9999999998</v>
      </c>
      <c r="O44" s="37">
        <f t="shared" si="1"/>
        <v>13999.999999999998</v>
      </c>
      <c r="P44" s="19">
        <f t="shared" si="2"/>
        <v>3000000</v>
      </c>
      <c r="Q44" s="19">
        <f t="shared" si="3"/>
        <v>1959999.9999999998</v>
      </c>
      <c r="R44" s="19">
        <f t="shared" si="4"/>
        <v>1959999.9999999998</v>
      </c>
      <c r="S44" s="41">
        <f t="shared" si="5"/>
        <v>6920000</v>
      </c>
      <c r="T44" s="42">
        <f t="shared" si="0"/>
        <v>49428.571428571428</v>
      </c>
      <c r="U44" s="13" t="s">
        <v>182</v>
      </c>
      <c r="V44" s="142"/>
      <c r="W44" s="140"/>
      <c r="X44" s="139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</row>
    <row r="45" spans="1:86" s="28" customFormat="1" ht="15" customHeight="1">
      <c r="A45" s="26" t="s">
        <v>255</v>
      </c>
      <c r="B45" s="245"/>
      <c r="C45" s="16" t="s">
        <v>242</v>
      </c>
      <c r="D45" s="233" t="s">
        <v>531</v>
      </c>
      <c r="E45" s="232" t="s">
        <v>196</v>
      </c>
      <c r="F45" s="25">
        <v>1</v>
      </c>
      <c r="G45" s="16">
        <v>2</v>
      </c>
      <c r="H45" s="16">
        <v>2</v>
      </c>
      <c r="I45" s="25" t="s">
        <v>257</v>
      </c>
      <c r="J45" s="25" t="s">
        <v>258</v>
      </c>
      <c r="K45" s="23" t="s">
        <v>184</v>
      </c>
      <c r="L45" s="87">
        <v>6</v>
      </c>
      <c r="M45" s="88">
        <f t="shared" si="12"/>
        <v>2800000</v>
      </c>
      <c r="N45" s="24">
        <f t="shared" si="13"/>
        <v>1959999.9999999998</v>
      </c>
      <c r="O45" s="37">
        <f t="shared" si="1"/>
        <v>13999.999999999998</v>
      </c>
      <c r="P45" s="19">
        <f t="shared" si="2"/>
        <v>3000000</v>
      </c>
      <c r="Q45" s="19">
        <f t="shared" si="3"/>
        <v>1959999.9999999998</v>
      </c>
      <c r="R45" s="19">
        <f t="shared" si="4"/>
        <v>1959999.9999999998</v>
      </c>
      <c r="S45" s="41">
        <f t="shared" si="5"/>
        <v>6920000</v>
      </c>
      <c r="T45" s="42">
        <f t="shared" si="0"/>
        <v>49428.571428571428</v>
      </c>
      <c r="U45" s="13" t="s">
        <v>182</v>
      </c>
      <c r="V45" s="142"/>
      <c r="W45" s="140"/>
      <c r="X45" s="139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</row>
    <row r="46" spans="1:86" s="28" customFormat="1" ht="15" customHeight="1">
      <c r="A46" s="26" t="s">
        <v>255</v>
      </c>
      <c r="B46" s="245"/>
      <c r="C46" s="16" t="s">
        <v>242</v>
      </c>
      <c r="D46" s="233" t="s">
        <v>532</v>
      </c>
      <c r="E46" s="232" t="s">
        <v>196</v>
      </c>
      <c r="F46" s="25">
        <v>1</v>
      </c>
      <c r="G46" s="16">
        <v>2</v>
      </c>
      <c r="H46" s="16">
        <v>2</v>
      </c>
      <c r="I46" s="25" t="s">
        <v>257</v>
      </c>
      <c r="J46" s="25" t="s">
        <v>258</v>
      </c>
      <c r="K46" s="23" t="s">
        <v>184</v>
      </c>
      <c r="L46" s="87">
        <v>8</v>
      </c>
      <c r="M46" s="88">
        <f>2800000*F46</f>
        <v>2800000</v>
      </c>
      <c r="N46" s="24">
        <f>M46*(1-30%)</f>
        <v>1959999.9999999998</v>
      </c>
      <c r="O46" s="37">
        <f t="shared" si="1"/>
        <v>13999.999999999998</v>
      </c>
      <c r="P46" s="19">
        <f t="shared" si="2"/>
        <v>3000000</v>
      </c>
      <c r="Q46" s="19">
        <f t="shared" si="3"/>
        <v>1959999.9999999998</v>
      </c>
      <c r="R46" s="19">
        <f t="shared" si="4"/>
        <v>1959999.9999999998</v>
      </c>
      <c r="S46" s="41">
        <f t="shared" si="5"/>
        <v>6920000</v>
      </c>
      <c r="T46" s="42">
        <f t="shared" si="0"/>
        <v>49428.571428571428</v>
      </c>
      <c r="U46" s="13" t="s">
        <v>182</v>
      </c>
      <c r="V46" s="142"/>
      <c r="W46" s="140"/>
      <c r="X46" s="139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</row>
    <row r="47" spans="1:86" s="28" customFormat="1" ht="15" customHeight="1">
      <c r="A47" s="26" t="s">
        <v>255</v>
      </c>
      <c r="B47" s="245"/>
      <c r="C47" s="16" t="s">
        <v>242</v>
      </c>
      <c r="D47" s="233" t="s">
        <v>533</v>
      </c>
      <c r="E47" s="232" t="s">
        <v>196</v>
      </c>
      <c r="F47" s="25">
        <v>1</v>
      </c>
      <c r="G47" s="16">
        <v>2</v>
      </c>
      <c r="H47" s="16">
        <v>2</v>
      </c>
      <c r="I47" s="25" t="s">
        <v>257</v>
      </c>
      <c r="J47" s="25" t="s">
        <v>258</v>
      </c>
      <c r="K47" s="23" t="s">
        <v>184</v>
      </c>
      <c r="L47" s="87">
        <v>5</v>
      </c>
      <c r="M47" s="88">
        <f t="shared" ref="M47:M51" si="14">2800000*F47</f>
        <v>2800000</v>
      </c>
      <c r="N47" s="24">
        <f>M47*(1-30%)</f>
        <v>1959999.9999999998</v>
      </c>
      <c r="O47" s="37">
        <f t="shared" si="1"/>
        <v>13999.999999999998</v>
      </c>
      <c r="P47" s="19">
        <f t="shared" si="2"/>
        <v>3000000</v>
      </c>
      <c r="Q47" s="19">
        <f t="shared" si="3"/>
        <v>1959999.9999999998</v>
      </c>
      <c r="R47" s="19">
        <f t="shared" si="4"/>
        <v>1959999.9999999998</v>
      </c>
      <c r="S47" s="41">
        <f t="shared" si="5"/>
        <v>6920000</v>
      </c>
      <c r="T47" s="42">
        <f t="shared" si="0"/>
        <v>49428.571428571428</v>
      </c>
      <c r="U47" s="13" t="s">
        <v>182</v>
      </c>
      <c r="V47" s="142"/>
      <c r="W47" s="140"/>
      <c r="X47" s="139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</row>
    <row r="48" spans="1:86" s="28" customFormat="1" ht="15" customHeight="1">
      <c r="A48" s="26" t="s">
        <v>255</v>
      </c>
      <c r="B48" s="245"/>
      <c r="C48" s="16" t="s">
        <v>242</v>
      </c>
      <c r="D48" s="233" t="s">
        <v>534</v>
      </c>
      <c r="E48" s="232" t="s">
        <v>196</v>
      </c>
      <c r="F48" s="25">
        <v>1</v>
      </c>
      <c r="G48" s="16">
        <v>2</v>
      </c>
      <c r="H48" s="16">
        <v>2</v>
      </c>
      <c r="I48" s="25" t="s">
        <v>257</v>
      </c>
      <c r="J48" s="25" t="s">
        <v>258</v>
      </c>
      <c r="K48" s="23" t="s">
        <v>184</v>
      </c>
      <c r="L48" s="87">
        <v>5</v>
      </c>
      <c r="M48" s="88">
        <f t="shared" si="14"/>
        <v>2800000</v>
      </c>
      <c r="N48" s="24">
        <f t="shared" ref="N48:N51" si="15">M48*(1-30%)</f>
        <v>1959999.9999999998</v>
      </c>
      <c r="O48" s="37">
        <f t="shared" si="1"/>
        <v>13999.999999999998</v>
      </c>
      <c r="P48" s="19">
        <f t="shared" si="2"/>
        <v>3000000</v>
      </c>
      <c r="Q48" s="19">
        <f t="shared" si="3"/>
        <v>1959999.9999999998</v>
      </c>
      <c r="R48" s="19">
        <f t="shared" si="4"/>
        <v>1959999.9999999998</v>
      </c>
      <c r="S48" s="41">
        <f t="shared" si="5"/>
        <v>6920000</v>
      </c>
      <c r="T48" s="42">
        <f t="shared" si="0"/>
        <v>49428.571428571428</v>
      </c>
      <c r="U48" s="13" t="s">
        <v>182</v>
      </c>
      <c r="V48" s="142"/>
      <c r="W48" s="140"/>
      <c r="X48" s="139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</row>
    <row r="49" spans="1:86" s="28" customFormat="1" ht="15" customHeight="1">
      <c r="A49" s="26" t="s">
        <v>255</v>
      </c>
      <c r="B49" s="245"/>
      <c r="C49" s="16" t="s">
        <v>242</v>
      </c>
      <c r="D49" s="233" t="s">
        <v>568</v>
      </c>
      <c r="E49" s="232" t="s">
        <v>196</v>
      </c>
      <c r="F49" s="25">
        <v>1</v>
      </c>
      <c r="G49" s="16">
        <v>2</v>
      </c>
      <c r="H49" s="16">
        <v>2</v>
      </c>
      <c r="I49" s="25" t="s">
        <v>257</v>
      </c>
      <c r="J49" s="25" t="s">
        <v>258</v>
      </c>
      <c r="K49" s="23" t="s">
        <v>184</v>
      </c>
      <c r="L49" s="87">
        <v>5</v>
      </c>
      <c r="M49" s="88">
        <f t="shared" si="14"/>
        <v>2800000</v>
      </c>
      <c r="N49" s="24">
        <f t="shared" si="15"/>
        <v>1959999.9999999998</v>
      </c>
      <c r="O49" s="37">
        <f t="shared" si="1"/>
        <v>13999.999999999998</v>
      </c>
      <c r="P49" s="19">
        <f t="shared" si="2"/>
        <v>3000000</v>
      </c>
      <c r="Q49" s="19">
        <f t="shared" si="3"/>
        <v>1959999.9999999998</v>
      </c>
      <c r="R49" s="19">
        <f t="shared" si="4"/>
        <v>1959999.9999999998</v>
      </c>
      <c r="S49" s="41">
        <f t="shared" si="5"/>
        <v>6920000</v>
      </c>
      <c r="T49" s="42">
        <f t="shared" si="0"/>
        <v>49428.571428571428</v>
      </c>
      <c r="U49" s="13" t="s">
        <v>182</v>
      </c>
      <c r="V49" s="142"/>
      <c r="W49" s="140"/>
      <c r="X49" s="139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</row>
    <row r="50" spans="1:86" s="28" customFormat="1" ht="15" customHeight="1">
      <c r="A50" s="26" t="s">
        <v>255</v>
      </c>
      <c r="B50" s="245"/>
      <c r="C50" s="16" t="s">
        <v>242</v>
      </c>
      <c r="D50" s="233" t="s">
        <v>569</v>
      </c>
      <c r="E50" s="232" t="s">
        <v>196</v>
      </c>
      <c r="F50" s="25">
        <v>1</v>
      </c>
      <c r="G50" s="16">
        <v>2</v>
      </c>
      <c r="H50" s="16">
        <v>2</v>
      </c>
      <c r="I50" s="25" t="s">
        <v>257</v>
      </c>
      <c r="J50" s="25" t="s">
        <v>258</v>
      </c>
      <c r="K50" s="23" t="s">
        <v>184</v>
      </c>
      <c r="L50" s="87">
        <v>5</v>
      </c>
      <c r="M50" s="88">
        <f t="shared" si="14"/>
        <v>2800000</v>
      </c>
      <c r="N50" s="24">
        <f t="shared" si="15"/>
        <v>1959999.9999999998</v>
      </c>
      <c r="O50" s="37">
        <f t="shared" si="1"/>
        <v>13999.999999999998</v>
      </c>
      <c r="P50" s="19">
        <f t="shared" si="2"/>
        <v>3000000</v>
      </c>
      <c r="Q50" s="19">
        <f t="shared" si="3"/>
        <v>1959999.9999999998</v>
      </c>
      <c r="R50" s="19">
        <f t="shared" si="4"/>
        <v>1959999.9999999998</v>
      </c>
      <c r="S50" s="41">
        <f t="shared" si="5"/>
        <v>6920000</v>
      </c>
      <c r="T50" s="42">
        <f t="shared" si="0"/>
        <v>49428.571428571428</v>
      </c>
      <c r="U50" s="13" t="s">
        <v>182</v>
      </c>
      <c r="V50" s="142"/>
      <c r="W50" s="140"/>
      <c r="X50" s="139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</row>
    <row r="51" spans="1:86" s="28" customFormat="1" ht="15" customHeight="1">
      <c r="A51" s="26" t="s">
        <v>255</v>
      </c>
      <c r="B51" s="245"/>
      <c r="C51" s="16" t="s">
        <v>242</v>
      </c>
      <c r="D51" s="235" t="s">
        <v>570</v>
      </c>
      <c r="E51" s="232" t="s">
        <v>196</v>
      </c>
      <c r="F51" s="25">
        <v>1</v>
      </c>
      <c r="G51" s="16">
        <v>2</v>
      </c>
      <c r="H51" s="16">
        <v>2</v>
      </c>
      <c r="I51" s="25" t="s">
        <v>257</v>
      </c>
      <c r="J51" s="25" t="s">
        <v>258</v>
      </c>
      <c r="K51" s="23" t="s">
        <v>184</v>
      </c>
      <c r="L51" s="87">
        <v>6</v>
      </c>
      <c r="M51" s="88">
        <f t="shared" si="14"/>
        <v>2800000</v>
      </c>
      <c r="N51" s="24">
        <f t="shared" si="15"/>
        <v>1959999.9999999998</v>
      </c>
      <c r="O51" s="37">
        <f t="shared" si="1"/>
        <v>13999.999999999998</v>
      </c>
      <c r="P51" s="19">
        <f t="shared" si="2"/>
        <v>3000000</v>
      </c>
      <c r="Q51" s="19">
        <f t="shared" si="3"/>
        <v>1959999.9999999998</v>
      </c>
      <c r="R51" s="19">
        <f t="shared" si="4"/>
        <v>1959999.9999999998</v>
      </c>
      <c r="S51" s="41">
        <f t="shared" si="5"/>
        <v>6920000</v>
      </c>
      <c r="T51" s="42">
        <f t="shared" si="0"/>
        <v>49428.571428571428</v>
      </c>
      <c r="U51" s="13" t="s">
        <v>182</v>
      </c>
      <c r="V51" s="142"/>
      <c r="W51" s="140"/>
      <c r="X51" s="139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</row>
    <row r="52" spans="1:86" s="28" customFormat="1" ht="15" customHeight="1">
      <c r="A52" s="26" t="s">
        <v>255</v>
      </c>
      <c r="B52" s="245"/>
      <c r="C52" s="16" t="s">
        <v>249</v>
      </c>
      <c r="D52" s="233" t="s">
        <v>537</v>
      </c>
      <c r="E52" s="232" t="s">
        <v>196</v>
      </c>
      <c r="F52" s="25">
        <v>1</v>
      </c>
      <c r="G52" s="16">
        <v>2</v>
      </c>
      <c r="H52" s="16">
        <v>2</v>
      </c>
      <c r="I52" s="25" t="s">
        <v>257</v>
      </c>
      <c r="J52" s="25" t="s">
        <v>258</v>
      </c>
      <c r="K52" s="23" t="s">
        <v>184</v>
      </c>
      <c r="L52" s="87">
        <v>8</v>
      </c>
      <c r="M52" s="88">
        <f>2800000*F52</f>
        <v>2800000</v>
      </c>
      <c r="N52" s="24">
        <f>M52*(1-30%)</f>
        <v>1959999.9999999998</v>
      </c>
      <c r="O52" s="37">
        <f t="shared" si="1"/>
        <v>13999.999999999998</v>
      </c>
      <c r="P52" s="19">
        <f t="shared" si="2"/>
        <v>3000000</v>
      </c>
      <c r="Q52" s="19">
        <f t="shared" si="3"/>
        <v>1959999.9999999998</v>
      </c>
      <c r="R52" s="19">
        <f t="shared" si="4"/>
        <v>1959999.9999999998</v>
      </c>
      <c r="S52" s="41">
        <f t="shared" si="5"/>
        <v>6920000</v>
      </c>
      <c r="T52" s="42">
        <f t="shared" si="0"/>
        <v>49428.571428571428</v>
      </c>
      <c r="U52" s="13" t="s">
        <v>182</v>
      </c>
      <c r="V52" s="142"/>
      <c r="W52" s="140"/>
      <c r="X52" s="139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</row>
    <row r="53" spans="1:86" s="28" customFormat="1" ht="15" customHeight="1">
      <c r="A53" s="26" t="s">
        <v>255</v>
      </c>
      <c r="B53" s="245"/>
      <c r="C53" s="16" t="s">
        <v>249</v>
      </c>
      <c r="D53" s="236" t="s">
        <v>535</v>
      </c>
      <c r="E53" s="232" t="s">
        <v>196</v>
      </c>
      <c r="F53" s="25">
        <v>1</v>
      </c>
      <c r="G53" s="16">
        <v>2</v>
      </c>
      <c r="H53" s="16">
        <v>2</v>
      </c>
      <c r="I53" s="25" t="s">
        <v>257</v>
      </c>
      <c r="J53" s="25" t="s">
        <v>258</v>
      </c>
      <c r="K53" s="23" t="s">
        <v>184</v>
      </c>
      <c r="L53" s="87">
        <v>5</v>
      </c>
      <c r="M53" s="88">
        <f t="shared" ref="M53:M57" si="16">2800000*F53</f>
        <v>2800000</v>
      </c>
      <c r="N53" s="24">
        <f>M53*(1-30%)</f>
        <v>1959999.9999999998</v>
      </c>
      <c r="O53" s="37">
        <f t="shared" si="1"/>
        <v>13999.999999999998</v>
      </c>
      <c r="P53" s="19">
        <f t="shared" si="2"/>
        <v>3000000</v>
      </c>
      <c r="Q53" s="19">
        <f t="shared" si="3"/>
        <v>1959999.9999999998</v>
      </c>
      <c r="R53" s="19">
        <f t="shared" si="4"/>
        <v>1959999.9999999998</v>
      </c>
      <c r="S53" s="41">
        <f t="shared" si="5"/>
        <v>6920000</v>
      </c>
      <c r="T53" s="42">
        <f t="shared" si="0"/>
        <v>49428.571428571428</v>
      </c>
      <c r="U53" s="13" t="s">
        <v>182</v>
      </c>
      <c r="V53" s="142"/>
      <c r="W53" s="140"/>
      <c r="X53" s="139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</row>
    <row r="54" spans="1:86" s="28" customFormat="1" ht="15" customHeight="1">
      <c r="A54" s="26" t="s">
        <v>255</v>
      </c>
      <c r="B54" s="245"/>
      <c r="C54" s="16" t="s">
        <v>249</v>
      </c>
      <c r="D54" s="17" t="s">
        <v>536</v>
      </c>
      <c r="E54" s="232" t="s">
        <v>196</v>
      </c>
      <c r="F54" s="25">
        <v>1</v>
      </c>
      <c r="G54" s="16">
        <v>2</v>
      </c>
      <c r="H54" s="16">
        <v>2</v>
      </c>
      <c r="I54" s="25" t="s">
        <v>257</v>
      </c>
      <c r="J54" s="25" t="s">
        <v>258</v>
      </c>
      <c r="K54" s="23" t="s">
        <v>184</v>
      </c>
      <c r="L54" s="87">
        <v>8</v>
      </c>
      <c r="M54" s="88">
        <f t="shared" si="16"/>
        <v>2800000</v>
      </c>
      <c r="N54" s="24">
        <f t="shared" ref="N54:N57" si="17">M54*(1-30%)</f>
        <v>1959999.9999999998</v>
      </c>
      <c r="O54" s="37">
        <f t="shared" si="1"/>
        <v>13999.999999999998</v>
      </c>
      <c r="P54" s="19">
        <f t="shared" si="2"/>
        <v>3000000</v>
      </c>
      <c r="Q54" s="19">
        <f t="shared" si="3"/>
        <v>1959999.9999999998</v>
      </c>
      <c r="R54" s="19">
        <f t="shared" si="4"/>
        <v>1959999.9999999998</v>
      </c>
      <c r="S54" s="41">
        <f t="shared" si="5"/>
        <v>6920000</v>
      </c>
      <c r="T54" s="42">
        <f t="shared" si="0"/>
        <v>49428.571428571428</v>
      </c>
      <c r="U54" s="13" t="s">
        <v>182</v>
      </c>
      <c r="V54" s="142"/>
      <c r="W54" s="140"/>
      <c r="X54" s="139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</row>
    <row r="55" spans="1:86" s="28" customFormat="1" ht="15" customHeight="1">
      <c r="A55" s="26" t="s">
        <v>255</v>
      </c>
      <c r="B55" s="245"/>
      <c r="C55" s="16" t="s">
        <v>249</v>
      </c>
      <c r="D55" s="17" t="s">
        <v>538</v>
      </c>
      <c r="E55" s="232" t="s">
        <v>196</v>
      </c>
      <c r="F55" s="25">
        <v>1</v>
      </c>
      <c r="G55" s="16">
        <v>2</v>
      </c>
      <c r="H55" s="16">
        <v>2</v>
      </c>
      <c r="I55" s="25" t="s">
        <v>257</v>
      </c>
      <c r="J55" s="25" t="s">
        <v>258</v>
      </c>
      <c r="K55" s="23" t="s">
        <v>184</v>
      </c>
      <c r="L55" s="87">
        <v>5</v>
      </c>
      <c r="M55" s="88">
        <f t="shared" si="16"/>
        <v>2800000</v>
      </c>
      <c r="N55" s="24">
        <f t="shared" si="17"/>
        <v>1959999.9999999998</v>
      </c>
      <c r="O55" s="37">
        <f t="shared" si="1"/>
        <v>13999.999999999998</v>
      </c>
      <c r="P55" s="19">
        <f t="shared" si="2"/>
        <v>3000000</v>
      </c>
      <c r="Q55" s="19">
        <f t="shared" si="3"/>
        <v>1959999.9999999998</v>
      </c>
      <c r="R55" s="19">
        <f t="shared" si="4"/>
        <v>1959999.9999999998</v>
      </c>
      <c r="S55" s="41">
        <f t="shared" si="5"/>
        <v>6920000</v>
      </c>
      <c r="T55" s="42">
        <f t="shared" si="0"/>
        <v>49428.571428571428</v>
      </c>
      <c r="U55" s="13" t="s">
        <v>182</v>
      </c>
      <c r="V55" s="142"/>
      <c r="W55" s="140"/>
      <c r="X55" s="139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</row>
    <row r="56" spans="1:86" s="28" customFormat="1" ht="15" customHeight="1">
      <c r="A56" s="26" t="s">
        <v>255</v>
      </c>
      <c r="B56" s="245"/>
      <c r="C56" s="16" t="s">
        <v>249</v>
      </c>
      <c r="D56" s="233" t="s">
        <v>539</v>
      </c>
      <c r="E56" s="232" t="s">
        <v>196</v>
      </c>
      <c r="F56" s="25">
        <v>1</v>
      </c>
      <c r="G56" s="16">
        <v>2</v>
      </c>
      <c r="H56" s="16">
        <v>2</v>
      </c>
      <c r="I56" s="25" t="s">
        <v>257</v>
      </c>
      <c r="J56" s="25" t="s">
        <v>258</v>
      </c>
      <c r="K56" s="23" t="s">
        <v>184</v>
      </c>
      <c r="L56" s="87">
        <v>5</v>
      </c>
      <c r="M56" s="88">
        <f t="shared" si="16"/>
        <v>2800000</v>
      </c>
      <c r="N56" s="24">
        <f t="shared" si="17"/>
        <v>1959999.9999999998</v>
      </c>
      <c r="O56" s="37">
        <f t="shared" si="1"/>
        <v>13999.999999999998</v>
      </c>
      <c r="P56" s="19">
        <f t="shared" si="2"/>
        <v>3000000</v>
      </c>
      <c r="Q56" s="19">
        <f t="shared" ref="Q56:Q82" si="18">N56</f>
        <v>1959999.9999999998</v>
      </c>
      <c r="R56" s="19">
        <f t="shared" ref="R56:R82" si="19">N56</f>
        <v>1959999.9999999998</v>
      </c>
      <c r="S56" s="41">
        <f t="shared" ref="S56:S82" si="20">Q56+R56+P56</f>
        <v>6920000</v>
      </c>
      <c r="T56" s="42">
        <f t="shared" si="0"/>
        <v>49428.571428571428</v>
      </c>
      <c r="U56" s="13" t="s">
        <v>182</v>
      </c>
      <c r="V56" s="142"/>
      <c r="W56" s="140"/>
      <c r="X56" s="139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</row>
    <row r="57" spans="1:86" s="28" customFormat="1" ht="15" customHeight="1">
      <c r="A57" s="26" t="s">
        <v>255</v>
      </c>
      <c r="B57" s="245"/>
      <c r="C57" s="16" t="s">
        <v>249</v>
      </c>
      <c r="D57" s="233" t="s">
        <v>540</v>
      </c>
      <c r="E57" s="232" t="s">
        <v>196</v>
      </c>
      <c r="F57" s="25">
        <v>1</v>
      </c>
      <c r="G57" s="16">
        <v>2</v>
      </c>
      <c r="H57" s="16">
        <v>2</v>
      </c>
      <c r="I57" s="25" t="s">
        <v>257</v>
      </c>
      <c r="J57" s="25" t="s">
        <v>258</v>
      </c>
      <c r="K57" s="23" t="s">
        <v>184</v>
      </c>
      <c r="L57" s="87">
        <v>6</v>
      </c>
      <c r="M57" s="88">
        <f t="shared" si="16"/>
        <v>2800000</v>
      </c>
      <c r="N57" s="24">
        <f t="shared" si="17"/>
        <v>1959999.9999999998</v>
      </c>
      <c r="O57" s="37">
        <f t="shared" si="1"/>
        <v>13999.999999999998</v>
      </c>
      <c r="P57" s="19">
        <f t="shared" si="2"/>
        <v>3000000</v>
      </c>
      <c r="Q57" s="19">
        <f t="shared" si="18"/>
        <v>1959999.9999999998</v>
      </c>
      <c r="R57" s="19">
        <f t="shared" si="19"/>
        <v>1959999.9999999998</v>
      </c>
      <c r="S57" s="41">
        <f t="shared" si="20"/>
        <v>6920000</v>
      </c>
      <c r="T57" s="42">
        <f t="shared" si="0"/>
        <v>49428.571428571428</v>
      </c>
      <c r="U57" s="13" t="s">
        <v>182</v>
      </c>
      <c r="V57" s="142"/>
      <c r="W57" s="140"/>
      <c r="X57" s="139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</row>
    <row r="58" spans="1:86" s="28" customFormat="1" ht="15" customHeight="1">
      <c r="A58" s="26" t="s">
        <v>255</v>
      </c>
      <c r="B58" s="245"/>
      <c r="C58" s="16" t="s">
        <v>249</v>
      </c>
      <c r="D58" s="233" t="s">
        <v>541</v>
      </c>
      <c r="E58" s="232" t="s">
        <v>196</v>
      </c>
      <c r="F58" s="25">
        <v>1</v>
      </c>
      <c r="G58" s="16">
        <v>2</v>
      </c>
      <c r="H58" s="16">
        <v>2</v>
      </c>
      <c r="I58" s="25" t="s">
        <v>257</v>
      </c>
      <c r="J58" s="25" t="s">
        <v>258</v>
      </c>
      <c r="K58" s="23" t="s">
        <v>184</v>
      </c>
      <c r="L58" s="87">
        <v>5</v>
      </c>
      <c r="M58" s="88">
        <f t="shared" ref="M58:M63" si="21">2800000*F58</f>
        <v>2800000</v>
      </c>
      <c r="N58" s="24">
        <f>M58*(1-30%)</f>
        <v>1959999.9999999998</v>
      </c>
      <c r="O58" s="37">
        <f t="shared" si="1"/>
        <v>13999.999999999998</v>
      </c>
      <c r="P58" s="19">
        <f t="shared" si="2"/>
        <v>3000000</v>
      </c>
      <c r="Q58" s="19">
        <f t="shared" si="18"/>
        <v>1959999.9999999998</v>
      </c>
      <c r="R58" s="19">
        <f t="shared" si="19"/>
        <v>1959999.9999999998</v>
      </c>
      <c r="S58" s="41">
        <f t="shared" si="20"/>
        <v>6920000</v>
      </c>
      <c r="T58" s="42">
        <f t="shared" si="0"/>
        <v>49428.571428571428</v>
      </c>
      <c r="U58" s="13" t="s">
        <v>182</v>
      </c>
      <c r="V58" s="142"/>
      <c r="W58" s="140"/>
      <c r="X58" s="139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</row>
    <row r="59" spans="1:86" s="28" customFormat="1" ht="15" customHeight="1">
      <c r="A59" s="26" t="s">
        <v>255</v>
      </c>
      <c r="B59" s="245"/>
      <c r="C59" s="16" t="s">
        <v>249</v>
      </c>
      <c r="D59" s="233" t="s">
        <v>542</v>
      </c>
      <c r="E59" s="232" t="s">
        <v>196</v>
      </c>
      <c r="F59" s="25">
        <v>1</v>
      </c>
      <c r="G59" s="16">
        <v>2</v>
      </c>
      <c r="H59" s="16">
        <v>2</v>
      </c>
      <c r="I59" s="25" t="s">
        <v>257</v>
      </c>
      <c r="J59" s="25" t="s">
        <v>258</v>
      </c>
      <c r="K59" s="23" t="s">
        <v>184</v>
      </c>
      <c r="L59" s="87">
        <v>8</v>
      </c>
      <c r="M59" s="88">
        <f t="shared" si="21"/>
        <v>2800000</v>
      </c>
      <c r="N59" s="24">
        <f t="shared" ref="N59:N63" si="22">M59*(1-30%)</f>
        <v>1959999.9999999998</v>
      </c>
      <c r="O59" s="37">
        <f t="shared" si="1"/>
        <v>13999.999999999998</v>
      </c>
      <c r="P59" s="19">
        <f t="shared" si="2"/>
        <v>3000000</v>
      </c>
      <c r="Q59" s="19">
        <f t="shared" si="18"/>
        <v>1959999.9999999998</v>
      </c>
      <c r="R59" s="19">
        <f t="shared" si="19"/>
        <v>1959999.9999999998</v>
      </c>
      <c r="S59" s="41">
        <f t="shared" si="20"/>
        <v>6920000</v>
      </c>
      <c r="T59" s="42">
        <f t="shared" si="0"/>
        <v>49428.571428571428</v>
      </c>
      <c r="U59" s="13" t="s">
        <v>182</v>
      </c>
      <c r="V59" s="142"/>
      <c r="W59" s="140"/>
      <c r="X59" s="139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</row>
    <row r="60" spans="1:86" s="28" customFormat="1" ht="15" customHeight="1">
      <c r="A60" s="26" t="s">
        <v>255</v>
      </c>
      <c r="B60" s="245"/>
      <c r="C60" s="16" t="s">
        <v>239</v>
      </c>
      <c r="D60" s="233" t="s">
        <v>543</v>
      </c>
      <c r="E60" s="232" t="s">
        <v>526</v>
      </c>
      <c r="F60" s="25">
        <v>1</v>
      </c>
      <c r="G60" s="16">
        <v>2</v>
      </c>
      <c r="H60" s="16">
        <v>2</v>
      </c>
      <c r="I60" s="25" t="s">
        <v>257</v>
      </c>
      <c r="J60" s="25" t="s">
        <v>258</v>
      </c>
      <c r="K60" s="23" t="s">
        <v>184</v>
      </c>
      <c r="L60" s="87">
        <v>5</v>
      </c>
      <c r="M60" s="88">
        <f t="shared" si="21"/>
        <v>2800000</v>
      </c>
      <c r="N60" s="24">
        <f t="shared" si="22"/>
        <v>1959999.9999999998</v>
      </c>
      <c r="O60" s="37">
        <f t="shared" si="1"/>
        <v>13999.999999999998</v>
      </c>
      <c r="P60" s="19">
        <f t="shared" si="2"/>
        <v>3000000</v>
      </c>
      <c r="Q60" s="19">
        <f t="shared" si="18"/>
        <v>1959999.9999999998</v>
      </c>
      <c r="R60" s="19">
        <f t="shared" si="19"/>
        <v>1959999.9999999998</v>
      </c>
      <c r="S60" s="41">
        <f t="shared" si="20"/>
        <v>6920000</v>
      </c>
      <c r="T60" s="42">
        <f t="shared" si="0"/>
        <v>49428.571428571428</v>
      </c>
      <c r="U60" s="13" t="s">
        <v>182</v>
      </c>
      <c r="V60" s="142"/>
      <c r="W60" s="140"/>
      <c r="X60" s="139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</row>
    <row r="61" spans="1:86" s="28" customFormat="1" ht="15" customHeight="1">
      <c r="A61" s="26" t="s">
        <v>255</v>
      </c>
      <c r="B61" s="245"/>
      <c r="C61" s="16" t="s">
        <v>239</v>
      </c>
      <c r="D61" s="233" t="s">
        <v>544</v>
      </c>
      <c r="E61" s="232" t="s">
        <v>526</v>
      </c>
      <c r="F61" s="25">
        <v>1</v>
      </c>
      <c r="G61" s="16">
        <v>2</v>
      </c>
      <c r="H61" s="16">
        <v>2</v>
      </c>
      <c r="I61" s="25" t="s">
        <v>257</v>
      </c>
      <c r="J61" s="25" t="s">
        <v>258</v>
      </c>
      <c r="K61" s="23" t="s">
        <v>184</v>
      </c>
      <c r="L61" s="87">
        <v>5</v>
      </c>
      <c r="M61" s="88">
        <f t="shared" si="21"/>
        <v>2800000</v>
      </c>
      <c r="N61" s="24">
        <f t="shared" si="22"/>
        <v>1959999.9999999998</v>
      </c>
      <c r="O61" s="37">
        <f t="shared" si="1"/>
        <v>13999.999999999998</v>
      </c>
      <c r="P61" s="19">
        <f t="shared" si="2"/>
        <v>3000000</v>
      </c>
      <c r="Q61" s="19">
        <f t="shared" si="18"/>
        <v>1959999.9999999998</v>
      </c>
      <c r="R61" s="19">
        <f t="shared" si="19"/>
        <v>1959999.9999999998</v>
      </c>
      <c r="S61" s="41">
        <f t="shared" si="20"/>
        <v>6920000</v>
      </c>
      <c r="T61" s="42">
        <f t="shared" si="0"/>
        <v>49428.571428571428</v>
      </c>
      <c r="U61" s="13" t="s">
        <v>182</v>
      </c>
      <c r="V61" s="142"/>
      <c r="W61" s="140"/>
      <c r="X61" s="139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</row>
    <row r="62" spans="1:86" s="28" customFormat="1" ht="15" customHeight="1">
      <c r="A62" s="26" t="s">
        <v>255</v>
      </c>
      <c r="B62" s="245"/>
      <c r="C62" s="16" t="s">
        <v>239</v>
      </c>
      <c r="D62" s="233" t="s">
        <v>545</v>
      </c>
      <c r="E62" s="232" t="s">
        <v>196</v>
      </c>
      <c r="F62" s="25">
        <v>1</v>
      </c>
      <c r="G62" s="16">
        <v>2</v>
      </c>
      <c r="H62" s="16">
        <v>2</v>
      </c>
      <c r="I62" s="25" t="s">
        <v>257</v>
      </c>
      <c r="J62" s="25" t="s">
        <v>258</v>
      </c>
      <c r="K62" s="23" t="s">
        <v>184</v>
      </c>
      <c r="L62" s="87">
        <v>6</v>
      </c>
      <c r="M62" s="88">
        <f t="shared" si="21"/>
        <v>2800000</v>
      </c>
      <c r="N62" s="24">
        <f t="shared" si="22"/>
        <v>1959999.9999999998</v>
      </c>
      <c r="O62" s="37">
        <f t="shared" si="1"/>
        <v>13999.999999999998</v>
      </c>
      <c r="P62" s="19">
        <f t="shared" si="2"/>
        <v>3000000</v>
      </c>
      <c r="Q62" s="19">
        <f t="shared" si="18"/>
        <v>1959999.9999999998</v>
      </c>
      <c r="R62" s="19">
        <f t="shared" si="19"/>
        <v>1959999.9999999998</v>
      </c>
      <c r="S62" s="41">
        <f t="shared" si="20"/>
        <v>6920000</v>
      </c>
      <c r="T62" s="42">
        <f t="shared" si="0"/>
        <v>49428.571428571428</v>
      </c>
      <c r="U62" s="13" t="s">
        <v>182</v>
      </c>
      <c r="V62" s="142"/>
      <c r="W62" s="140"/>
      <c r="X62" s="139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</row>
    <row r="63" spans="1:86" s="28" customFormat="1" ht="15" customHeight="1">
      <c r="A63" s="26" t="s">
        <v>255</v>
      </c>
      <c r="B63" s="245"/>
      <c r="C63" s="16" t="s">
        <v>239</v>
      </c>
      <c r="D63" s="233" t="s">
        <v>546</v>
      </c>
      <c r="E63" s="232" t="s">
        <v>526</v>
      </c>
      <c r="F63" s="25">
        <v>1</v>
      </c>
      <c r="G63" s="16">
        <v>2</v>
      </c>
      <c r="H63" s="16">
        <v>2</v>
      </c>
      <c r="I63" s="25" t="s">
        <v>257</v>
      </c>
      <c r="J63" s="25" t="s">
        <v>258</v>
      </c>
      <c r="K63" s="23" t="s">
        <v>184</v>
      </c>
      <c r="L63" s="87">
        <v>5</v>
      </c>
      <c r="M63" s="88">
        <f t="shared" si="21"/>
        <v>2800000</v>
      </c>
      <c r="N63" s="24">
        <f t="shared" si="22"/>
        <v>1959999.9999999998</v>
      </c>
      <c r="O63" s="37">
        <f t="shared" si="1"/>
        <v>13999.999999999998</v>
      </c>
      <c r="P63" s="19">
        <f t="shared" si="2"/>
        <v>3000000</v>
      </c>
      <c r="Q63" s="19">
        <f t="shared" si="18"/>
        <v>1959999.9999999998</v>
      </c>
      <c r="R63" s="19">
        <f t="shared" si="19"/>
        <v>1959999.9999999998</v>
      </c>
      <c r="S63" s="41">
        <f t="shared" si="20"/>
        <v>6920000</v>
      </c>
      <c r="T63" s="42">
        <f t="shared" si="0"/>
        <v>49428.571428571428</v>
      </c>
      <c r="U63" s="13" t="s">
        <v>182</v>
      </c>
      <c r="V63" s="142"/>
      <c r="W63" s="140"/>
      <c r="X63" s="139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</row>
    <row r="64" spans="1:86" s="28" customFormat="1" ht="15" customHeight="1">
      <c r="A64" s="26" t="s">
        <v>255</v>
      </c>
      <c r="B64" s="245"/>
      <c r="C64" s="16" t="s">
        <v>239</v>
      </c>
      <c r="D64" s="233" t="s">
        <v>547</v>
      </c>
      <c r="E64" s="232" t="s">
        <v>526</v>
      </c>
      <c r="F64" s="25">
        <v>1</v>
      </c>
      <c r="G64" s="16">
        <v>2</v>
      </c>
      <c r="H64" s="16">
        <v>2</v>
      </c>
      <c r="I64" s="25" t="s">
        <v>257</v>
      </c>
      <c r="J64" s="25" t="s">
        <v>258</v>
      </c>
      <c r="K64" s="23" t="s">
        <v>184</v>
      </c>
      <c r="L64" s="87">
        <v>8</v>
      </c>
      <c r="M64" s="88">
        <f>2800000*F64</f>
        <v>2800000</v>
      </c>
      <c r="N64" s="24">
        <f>M64*(1-30%)</f>
        <v>1959999.9999999998</v>
      </c>
      <c r="O64" s="37">
        <f t="shared" ref="O64:O81" si="23">N64/140</f>
        <v>13999.999999999998</v>
      </c>
      <c r="P64" s="19">
        <f t="shared" si="2"/>
        <v>3000000</v>
      </c>
      <c r="Q64" s="19">
        <f t="shared" si="18"/>
        <v>1959999.9999999998</v>
      </c>
      <c r="R64" s="19">
        <f t="shared" si="19"/>
        <v>1959999.9999999998</v>
      </c>
      <c r="S64" s="41">
        <f t="shared" si="20"/>
        <v>6920000</v>
      </c>
      <c r="T64" s="42">
        <f t="shared" ref="T64:T81" si="24">S64/140</f>
        <v>49428.571428571428</v>
      </c>
      <c r="U64" s="13" t="s">
        <v>182</v>
      </c>
      <c r="V64" s="142"/>
      <c r="W64" s="140"/>
      <c r="X64" s="139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</row>
    <row r="65" spans="1:86" s="28" customFormat="1" ht="15" customHeight="1">
      <c r="A65" s="26" t="s">
        <v>255</v>
      </c>
      <c r="B65" s="245"/>
      <c r="C65" s="16" t="s">
        <v>239</v>
      </c>
      <c r="D65" s="233" t="s">
        <v>548</v>
      </c>
      <c r="E65" s="232" t="s">
        <v>526</v>
      </c>
      <c r="F65" s="25">
        <v>1</v>
      </c>
      <c r="G65" s="16">
        <v>2</v>
      </c>
      <c r="H65" s="16">
        <v>2</v>
      </c>
      <c r="I65" s="25" t="s">
        <v>257</v>
      </c>
      <c r="J65" s="25" t="s">
        <v>258</v>
      </c>
      <c r="K65" s="23" t="s">
        <v>184</v>
      </c>
      <c r="L65" s="87">
        <v>5</v>
      </c>
      <c r="M65" s="88">
        <f t="shared" ref="M65:M81" si="25">2800000*F65</f>
        <v>2800000</v>
      </c>
      <c r="N65" s="24">
        <f>M65*(1-30%)</f>
        <v>1959999.9999999998</v>
      </c>
      <c r="O65" s="37">
        <f t="shared" si="23"/>
        <v>13999.999999999998</v>
      </c>
      <c r="P65" s="19">
        <f t="shared" si="2"/>
        <v>3000000</v>
      </c>
      <c r="Q65" s="19">
        <f t="shared" si="18"/>
        <v>1959999.9999999998</v>
      </c>
      <c r="R65" s="19">
        <f t="shared" si="19"/>
        <v>1959999.9999999998</v>
      </c>
      <c r="S65" s="41">
        <f t="shared" si="20"/>
        <v>6920000</v>
      </c>
      <c r="T65" s="42">
        <f t="shared" si="24"/>
        <v>49428.571428571428</v>
      </c>
      <c r="U65" s="13" t="s">
        <v>182</v>
      </c>
      <c r="V65" s="142"/>
      <c r="W65" s="140"/>
      <c r="X65" s="139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</row>
    <row r="66" spans="1:86" s="28" customFormat="1" ht="15" customHeight="1">
      <c r="A66" s="26" t="s">
        <v>255</v>
      </c>
      <c r="B66" s="245"/>
      <c r="C66" s="16" t="s">
        <v>239</v>
      </c>
      <c r="D66" s="233" t="s">
        <v>549</v>
      </c>
      <c r="E66" s="232" t="s">
        <v>196</v>
      </c>
      <c r="F66" s="25">
        <v>1</v>
      </c>
      <c r="G66" s="16">
        <v>2</v>
      </c>
      <c r="H66" s="16">
        <v>2</v>
      </c>
      <c r="I66" s="25" t="s">
        <v>257</v>
      </c>
      <c r="J66" s="25" t="s">
        <v>258</v>
      </c>
      <c r="K66" s="23" t="s">
        <v>184</v>
      </c>
      <c r="L66" s="87">
        <v>5</v>
      </c>
      <c r="M66" s="88">
        <f t="shared" si="25"/>
        <v>2800000</v>
      </c>
      <c r="N66" s="24">
        <f t="shared" ref="N66:N69" si="26">M66*(1-30%)</f>
        <v>1959999.9999999998</v>
      </c>
      <c r="O66" s="37">
        <f t="shared" si="23"/>
        <v>13999.999999999998</v>
      </c>
      <c r="P66" s="19">
        <f t="shared" si="2"/>
        <v>3000000</v>
      </c>
      <c r="Q66" s="19">
        <f t="shared" si="18"/>
        <v>1959999.9999999998</v>
      </c>
      <c r="R66" s="19">
        <f t="shared" si="19"/>
        <v>1959999.9999999998</v>
      </c>
      <c r="S66" s="41">
        <f t="shared" si="20"/>
        <v>6920000</v>
      </c>
      <c r="T66" s="42">
        <f t="shared" si="24"/>
        <v>49428.571428571428</v>
      </c>
      <c r="U66" s="13" t="s">
        <v>182</v>
      </c>
      <c r="V66" s="142"/>
      <c r="W66" s="140"/>
      <c r="X66" s="139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</row>
    <row r="67" spans="1:86" s="28" customFormat="1" ht="15" customHeight="1">
      <c r="A67" s="26" t="s">
        <v>255</v>
      </c>
      <c r="B67" s="245"/>
      <c r="C67" s="16" t="s">
        <v>239</v>
      </c>
      <c r="D67" s="233" t="s">
        <v>550</v>
      </c>
      <c r="E67" s="232" t="s">
        <v>196</v>
      </c>
      <c r="F67" s="25">
        <v>1</v>
      </c>
      <c r="G67" s="16">
        <v>2</v>
      </c>
      <c r="H67" s="16">
        <v>2</v>
      </c>
      <c r="I67" s="25" t="s">
        <v>257</v>
      </c>
      <c r="J67" s="25" t="s">
        <v>258</v>
      </c>
      <c r="K67" s="23" t="s">
        <v>184</v>
      </c>
      <c r="L67" s="87">
        <v>5</v>
      </c>
      <c r="M67" s="88">
        <f t="shared" si="25"/>
        <v>2800000</v>
      </c>
      <c r="N67" s="24">
        <f t="shared" si="26"/>
        <v>1959999.9999999998</v>
      </c>
      <c r="O67" s="37">
        <f t="shared" si="23"/>
        <v>13999.999999999998</v>
      </c>
      <c r="P67" s="19">
        <f t="shared" si="2"/>
        <v>3000000</v>
      </c>
      <c r="Q67" s="19">
        <f t="shared" si="18"/>
        <v>1959999.9999999998</v>
      </c>
      <c r="R67" s="19">
        <f t="shared" si="19"/>
        <v>1959999.9999999998</v>
      </c>
      <c r="S67" s="41">
        <f t="shared" si="20"/>
        <v>6920000</v>
      </c>
      <c r="T67" s="42">
        <f t="shared" si="24"/>
        <v>49428.571428571428</v>
      </c>
      <c r="U67" s="13" t="s">
        <v>182</v>
      </c>
      <c r="V67" s="142"/>
      <c r="W67" s="140"/>
      <c r="X67" s="139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</row>
    <row r="68" spans="1:86" s="28" customFormat="1" ht="15" customHeight="1">
      <c r="A68" s="26" t="s">
        <v>255</v>
      </c>
      <c r="B68" s="245"/>
      <c r="C68" s="16" t="s">
        <v>239</v>
      </c>
      <c r="D68" s="233" t="s">
        <v>551</v>
      </c>
      <c r="E68" s="232" t="s">
        <v>526</v>
      </c>
      <c r="F68" s="25">
        <v>1</v>
      </c>
      <c r="G68" s="16">
        <v>2</v>
      </c>
      <c r="H68" s="16">
        <v>2</v>
      </c>
      <c r="I68" s="25" t="s">
        <v>257</v>
      </c>
      <c r="J68" s="25" t="s">
        <v>258</v>
      </c>
      <c r="K68" s="23" t="s">
        <v>184</v>
      </c>
      <c r="L68" s="87">
        <v>5</v>
      </c>
      <c r="M68" s="88">
        <f t="shared" si="25"/>
        <v>2800000</v>
      </c>
      <c r="N68" s="24">
        <f t="shared" si="26"/>
        <v>1959999.9999999998</v>
      </c>
      <c r="O68" s="37">
        <f t="shared" si="23"/>
        <v>13999.999999999998</v>
      </c>
      <c r="P68" s="19">
        <f t="shared" si="2"/>
        <v>3000000</v>
      </c>
      <c r="Q68" s="19">
        <f t="shared" si="18"/>
        <v>1959999.9999999998</v>
      </c>
      <c r="R68" s="19">
        <f t="shared" si="19"/>
        <v>1959999.9999999998</v>
      </c>
      <c r="S68" s="41">
        <f t="shared" si="20"/>
        <v>6920000</v>
      </c>
      <c r="T68" s="42">
        <f t="shared" si="24"/>
        <v>49428.571428571428</v>
      </c>
      <c r="U68" s="13" t="s">
        <v>182</v>
      </c>
      <c r="V68" s="142"/>
      <c r="W68" s="140"/>
      <c r="X68" s="139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</row>
    <row r="69" spans="1:86" s="28" customFormat="1" ht="15" customHeight="1">
      <c r="A69" s="26" t="s">
        <v>255</v>
      </c>
      <c r="B69" s="245"/>
      <c r="C69" s="16" t="s">
        <v>239</v>
      </c>
      <c r="D69" s="233" t="s">
        <v>552</v>
      </c>
      <c r="E69" s="232" t="s">
        <v>526</v>
      </c>
      <c r="F69" s="25">
        <v>1</v>
      </c>
      <c r="G69" s="16">
        <v>2</v>
      </c>
      <c r="H69" s="16">
        <v>2</v>
      </c>
      <c r="I69" s="25" t="s">
        <v>257</v>
      </c>
      <c r="J69" s="25" t="s">
        <v>258</v>
      </c>
      <c r="K69" s="23" t="s">
        <v>184</v>
      </c>
      <c r="L69" s="87">
        <v>5</v>
      </c>
      <c r="M69" s="88">
        <f t="shared" si="25"/>
        <v>2800000</v>
      </c>
      <c r="N69" s="24">
        <f t="shared" si="26"/>
        <v>1959999.9999999998</v>
      </c>
      <c r="O69" s="37">
        <f t="shared" si="23"/>
        <v>13999.999999999998</v>
      </c>
      <c r="P69" s="19">
        <f t="shared" si="2"/>
        <v>3000000</v>
      </c>
      <c r="Q69" s="19">
        <f t="shared" si="18"/>
        <v>1959999.9999999998</v>
      </c>
      <c r="R69" s="19">
        <f t="shared" si="19"/>
        <v>1959999.9999999998</v>
      </c>
      <c r="S69" s="41">
        <f t="shared" si="20"/>
        <v>6920000</v>
      </c>
      <c r="T69" s="42">
        <f t="shared" si="24"/>
        <v>49428.571428571428</v>
      </c>
      <c r="U69" s="13" t="s">
        <v>182</v>
      </c>
      <c r="V69" s="142"/>
      <c r="W69" s="140"/>
      <c r="X69" s="139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</row>
    <row r="70" spans="1:86" s="28" customFormat="1" ht="15" customHeight="1">
      <c r="A70" s="26" t="s">
        <v>255</v>
      </c>
      <c r="B70" s="245"/>
      <c r="C70" s="16" t="s">
        <v>239</v>
      </c>
      <c r="D70" s="233" t="s">
        <v>553</v>
      </c>
      <c r="E70" s="232" t="s">
        <v>196</v>
      </c>
      <c r="F70" s="25">
        <v>1</v>
      </c>
      <c r="G70" s="16">
        <v>2</v>
      </c>
      <c r="H70" s="16">
        <v>2</v>
      </c>
      <c r="I70" s="25" t="s">
        <v>257</v>
      </c>
      <c r="J70" s="25" t="s">
        <v>258</v>
      </c>
      <c r="K70" s="23" t="s">
        <v>184</v>
      </c>
      <c r="L70" s="87">
        <v>6</v>
      </c>
      <c r="M70" s="88">
        <f t="shared" si="25"/>
        <v>2800000</v>
      </c>
      <c r="N70" s="24">
        <f t="shared" ref="N70:N81" si="27">M70*(1-30%)</f>
        <v>1959999.9999999998</v>
      </c>
      <c r="O70" s="37">
        <f t="shared" si="23"/>
        <v>13999.999999999998</v>
      </c>
      <c r="P70" s="19">
        <f t="shared" si="2"/>
        <v>3000000</v>
      </c>
      <c r="Q70" s="19">
        <f t="shared" si="18"/>
        <v>1959999.9999999998</v>
      </c>
      <c r="R70" s="19">
        <f t="shared" si="19"/>
        <v>1959999.9999999998</v>
      </c>
      <c r="S70" s="41">
        <f t="shared" si="20"/>
        <v>6920000</v>
      </c>
      <c r="T70" s="42">
        <f t="shared" si="24"/>
        <v>49428.571428571428</v>
      </c>
      <c r="U70" s="13" t="s">
        <v>182</v>
      </c>
      <c r="V70" s="142"/>
      <c r="W70" s="140"/>
      <c r="X70" s="139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</row>
    <row r="71" spans="1:86" s="28" customFormat="1" ht="15" customHeight="1">
      <c r="A71" s="26" t="s">
        <v>255</v>
      </c>
      <c r="B71" s="245"/>
      <c r="C71" s="16" t="s">
        <v>239</v>
      </c>
      <c r="D71" s="233" t="s">
        <v>554</v>
      </c>
      <c r="E71" s="232" t="s">
        <v>196</v>
      </c>
      <c r="F71" s="25">
        <v>1</v>
      </c>
      <c r="G71" s="16">
        <v>2</v>
      </c>
      <c r="H71" s="16">
        <v>2</v>
      </c>
      <c r="I71" s="25" t="s">
        <v>257</v>
      </c>
      <c r="J71" s="25" t="s">
        <v>258</v>
      </c>
      <c r="K71" s="23" t="s">
        <v>184</v>
      </c>
      <c r="L71" s="87">
        <v>5</v>
      </c>
      <c r="M71" s="88">
        <f t="shared" si="25"/>
        <v>2800000</v>
      </c>
      <c r="N71" s="24">
        <f t="shared" si="27"/>
        <v>1959999.9999999998</v>
      </c>
      <c r="O71" s="37">
        <f t="shared" si="23"/>
        <v>13999.999999999998</v>
      </c>
      <c r="P71" s="19">
        <f t="shared" si="2"/>
        <v>3000000</v>
      </c>
      <c r="Q71" s="19">
        <f t="shared" si="18"/>
        <v>1959999.9999999998</v>
      </c>
      <c r="R71" s="19">
        <f t="shared" si="19"/>
        <v>1959999.9999999998</v>
      </c>
      <c r="S71" s="41">
        <f t="shared" si="20"/>
        <v>6920000</v>
      </c>
      <c r="T71" s="42">
        <f t="shared" si="24"/>
        <v>49428.571428571428</v>
      </c>
      <c r="U71" s="13" t="s">
        <v>182</v>
      </c>
      <c r="V71" s="142"/>
      <c r="W71" s="140"/>
      <c r="X71" s="139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</row>
    <row r="72" spans="1:86" s="28" customFormat="1" ht="15" customHeight="1">
      <c r="A72" s="26" t="s">
        <v>255</v>
      </c>
      <c r="B72" s="245"/>
      <c r="C72" s="16" t="s">
        <v>296</v>
      </c>
      <c r="D72" s="233" t="s">
        <v>555</v>
      </c>
      <c r="E72" s="232" t="s">
        <v>196</v>
      </c>
      <c r="F72" s="25">
        <v>1</v>
      </c>
      <c r="G72" s="16">
        <v>2</v>
      </c>
      <c r="H72" s="16">
        <v>2</v>
      </c>
      <c r="I72" s="25" t="s">
        <v>257</v>
      </c>
      <c r="J72" s="25" t="s">
        <v>258</v>
      </c>
      <c r="K72" s="23" t="s">
        <v>184</v>
      </c>
      <c r="L72" s="87">
        <v>6</v>
      </c>
      <c r="M72" s="88">
        <f t="shared" si="25"/>
        <v>2800000</v>
      </c>
      <c r="N72" s="24">
        <f t="shared" si="27"/>
        <v>1959999.9999999998</v>
      </c>
      <c r="O72" s="37">
        <f t="shared" si="23"/>
        <v>13999.999999999998</v>
      </c>
      <c r="P72" s="19">
        <f t="shared" si="2"/>
        <v>3000000</v>
      </c>
      <c r="Q72" s="19">
        <f t="shared" si="18"/>
        <v>1959999.9999999998</v>
      </c>
      <c r="R72" s="19">
        <f t="shared" si="19"/>
        <v>1959999.9999999998</v>
      </c>
      <c r="S72" s="41">
        <f t="shared" si="20"/>
        <v>6920000</v>
      </c>
      <c r="T72" s="42">
        <f t="shared" si="24"/>
        <v>49428.571428571428</v>
      </c>
      <c r="U72" s="13" t="s">
        <v>182</v>
      </c>
      <c r="V72" s="142"/>
      <c r="W72" s="140"/>
      <c r="X72" s="139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</row>
    <row r="73" spans="1:86" s="28" customFormat="1" ht="15" customHeight="1">
      <c r="A73" s="26" t="s">
        <v>255</v>
      </c>
      <c r="B73" s="245"/>
      <c r="C73" s="16" t="s">
        <v>296</v>
      </c>
      <c r="D73" s="233" t="s">
        <v>571</v>
      </c>
      <c r="E73" s="232" t="s">
        <v>196</v>
      </c>
      <c r="F73" s="25">
        <v>1</v>
      </c>
      <c r="G73" s="16">
        <v>2</v>
      </c>
      <c r="H73" s="16">
        <v>2</v>
      </c>
      <c r="I73" s="25" t="s">
        <v>257</v>
      </c>
      <c r="J73" s="25" t="s">
        <v>258</v>
      </c>
      <c r="K73" s="23" t="s">
        <v>184</v>
      </c>
      <c r="L73" s="87">
        <v>5</v>
      </c>
      <c r="M73" s="88">
        <f t="shared" si="25"/>
        <v>2800000</v>
      </c>
      <c r="N73" s="24">
        <f t="shared" si="27"/>
        <v>1959999.9999999998</v>
      </c>
      <c r="O73" s="37">
        <f t="shared" si="23"/>
        <v>13999.999999999998</v>
      </c>
      <c r="P73" s="19">
        <f t="shared" si="2"/>
        <v>3000000</v>
      </c>
      <c r="Q73" s="19">
        <f t="shared" si="18"/>
        <v>1959999.9999999998</v>
      </c>
      <c r="R73" s="19">
        <f t="shared" si="19"/>
        <v>1959999.9999999998</v>
      </c>
      <c r="S73" s="41">
        <f t="shared" si="20"/>
        <v>6920000</v>
      </c>
      <c r="T73" s="42">
        <f t="shared" si="24"/>
        <v>49428.571428571428</v>
      </c>
      <c r="U73" s="13" t="s">
        <v>182</v>
      </c>
      <c r="V73" s="142"/>
      <c r="W73" s="140"/>
      <c r="X73" s="139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</row>
    <row r="74" spans="1:86" s="28" customFormat="1" ht="15" customHeight="1">
      <c r="A74" s="26" t="s">
        <v>255</v>
      </c>
      <c r="B74" s="245"/>
      <c r="C74" s="16" t="s">
        <v>296</v>
      </c>
      <c r="D74" s="233" t="s">
        <v>556</v>
      </c>
      <c r="E74" s="232" t="s">
        <v>196</v>
      </c>
      <c r="F74" s="25">
        <v>1</v>
      </c>
      <c r="G74" s="16">
        <v>2</v>
      </c>
      <c r="H74" s="16">
        <v>2</v>
      </c>
      <c r="I74" s="25" t="s">
        <v>257</v>
      </c>
      <c r="J74" s="25" t="s">
        <v>258</v>
      </c>
      <c r="K74" s="23" t="s">
        <v>184</v>
      </c>
      <c r="L74" s="87">
        <v>5</v>
      </c>
      <c r="M74" s="88">
        <f t="shared" si="25"/>
        <v>2800000</v>
      </c>
      <c r="N74" s="24">
        <f t="shared" si="27"/>
        <v>1959999.9999999998</v>
      </c>
      <c r="O74" s="37">
        <f t="shared" si="23"/>
        <v>13999.999999999998</v>
      </c>
      <c r="P74" s="19">
        <f t="shared" ref="P74:P82" si="28">1500000*H74</f>
        <v>3000000</v>
      </c>
      <c r="Q74" s="19">
        <f t="shared" si="18"/>
        <v>1959999.9999999998</v>
      </c>
      <c r="R74" s="19">
        <f t="shared" si="19"/>
        <v>1959999.9999999998</v>
      </c>
      <c r="S74" s="41">
        <f t="shared" si="20"/>
        <v>6920000</v>
      </c>
      <c r="T74" s="42">
        <f t="shared" si="24"/>
        <v>49428.571428571428</v>
      </c>
      <c r="U74" s="13" t="s">
        <v>182</v>
      </c>
      <c r="V74" s="142"/>
      <c r="W74" s="140"/>
      <c r="X74" s="139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</row>
    <row r="75" spans="1:86" s="28" customFormat="1" ht="15" customHeight="1">
      <c r="A75" s="26" t="s">
        <v>255</v>
      </c>
      <c r="B75" s="245"/>
      <c r="C75" s="16" t="s">
        <v>296</v>
      </c>
      <c r="D75" s="233" t="s">
        <v>572</v>
      </c>
      <c r="E75" s="232" t="s">
        <v>196</v>
      </c>
      <c r="F75" s="25">
        <v>1</v>
      </c>
      <c r="G75" s="16">
        <v>2</v>
      </c>
      <c r="H75" s="16">
        <v>2</v>
      </c>
      <c r="I75" s="25" t="s">
        <v>257</v>
      </c>
      <c r="J75" s="25" t="s">
        <v>258</v>
      </c>
      <c r="K75" s="23" t="s">
        <v>184</v>
      </c>
      <c r="L75" s="87">
        <v>5</v>
      </c>
      <c r="M75" s="88">
        <f t="shared" si="25"/>
        <v>2800000</v>
      </c>
      <c r="N75" s="24">
        <f t="shared" si="27"/>
        <v>1959999.9999999998</v>
      </c>
      <c r="O75" s="37">
        <f t="shared" si="23"/>
        <v>13999.999999999998</v>
      </c>
      <c r="P75" s="19">
        <f t="shared" si="28"/>
        <v>3000000</v>
      </c>
      <c r="Q75" s="19">
        <f t="shared" si="18"/>
        <v>1959999.9999999998</v>
      </c>
      <c r="R75" s="19">
        <f t="shared" si="19"/>
        <v>1959999.9999999998</v>
      </c>
      <c r="S75" s="41">
        <f t="shared" si="20"/>
        <v>6920000</v>
      </c>
      <c r="T75" s="42">
        <f t="shared" si="24"/>
        <v>49428.571428571428</v>
      </c>
      <c r="U75" s="13" t="s">
        <v>182</v>
      </c>
      <c r="V75" s="142"/>
      <c r="W75" s="140"/>
      <c r="X75" s="139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</row>
    <row r="76" spans="1:86" s="28" customFormat="1" ht="15" customHeight="1">
      <c r="A76" s="26" t="s">
        <v>255</v>
      </c>
      <c r="B76" s="245"/>
      <c r="C76" s="16" t="s">
        <v>296</v>
      </c>
      <c r="D76" s="233" t="s">
        <v>573</v>
      </c>
      <c r="E76" s="232" t="s">
        <v>196</v>
      </c>
      <c r="F76" s="25">
        <v>1</v>
      </c>
      <c r="G76" s="16">
        <v>2</v>
      </c>
      <c r="H76" s="16">
        <v>2</v>
      </c>
      <c r="I76" s="25" t="s">
        <v>257</v>
      </c>
      <c r="J76" s="25" t="s">
        <v>258</v>
      </c>
      <c r="K76" s="23" t="s">
        <v>184</v>
      </c>
      <c r="L76" s="87">
        <v>6</v>
      </c>
      <c r="M76" s="88">
        <f t="shared" ref="M76:M78" si="29">2800000*F76</f>
        <v>2800000</v>
      </c>
      <c r="N76" s="24">
        <f t="shared" ref="N76:N78" si="30">M76*(1-30%)</f>
        <v>1959999.9999999998</v>
      </c>
      <c r="O76" s="37">
        <f t="shared" ref="O76:O78" si="31">N76/140</f>
        <v>13999.999999999998</v>
      </c>
      <c r="P76" s="19">
        <f t="shared" si="28"/>
        <v>3000000</v>
      </c>
      <c r="Q76" s="19">
        <f t="shared" si="18"/>
        <v>1959999.9999999998</v>
      </c>
      <c r="R76" s="19">
        <f t="shared" si="19"/>
        <v>1959999.9999999998</v>
      </c>
      <c r="S76" s="41">
        <f t="shared" si="20"/>
        <v>6920000</v>
      </c>
      <c r="T76" s="42">
        <f t="shared" ref="T76:T78" si="32">S76/140</f>
        <v>49428.571428571428</v>
      </c>
      <c r="U76" s="13" t="s">
        <v>182</v>
      </c>
      <c r="V76" s="142"/>
      <c r="W76" s="140"/>
      <c r="X76" s="139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</row>
    <row r="77" spans="1:86" s="28" customFormat="1" ht="15" customHeight="1">
      <c r="A77" s="26" t="s">
        <v>255</v>
      </c>
      <c r="B77" s="245"/>
      <c r="C77" s="16" t="s">
        <v>296</v>
      </c>
      <c r="D77" s="233" t="s">
        <v>557</v>
      </c>
      <c r="E77" s="232" t="s">
        <v>196</v>
      </c>
      <c r="F77" s="25">
        <v>1</v>
      </c>
      <c r="G77" s="16">
        <v>2</v>
      </c>
      <c r="H77" s="16">
        <v>2</v>
      </c>
      <c r="I77" s="25" t="s">
        <v>257</v>
      </c>
      <c r="J77" s="25" t="s">
        <v>258</v>
      </c>
      <c r="K77" s="23" t="s">
        <v>184</v>
      </c>
      <c r="L77" s="87">
        <v>5</v>
      </c>
      <c r="M77" s="88">
        <f t="shared" si="29"/>
        <v>2800000</v>
      </c>
      <c r="N77" s="24">
        <f t="shared" si="30"/>
        <v>1959999.9999999998</v>
      </c>
      <c r="O77" s="37">
        <f t="shared" si="31"/>
        <v>13999.999999999998</v>
      </c>
      <c r="P77" s="19">
        <f t="shared" si="28"/>
        <v>3000000</v>
      </c>
      <c r="Q77" s="19">
        <f t="shared" si="18"/>
        <v>1959999.9999999998</v>
      </c>
      <c r="R77" s="19">
        <f t="shared" si="19"/>
        <v>1959999.9999999998</v>
      </c>
      <c r="S77" s="41">
        <f t="shared" si="20"/>
        <v>6920000</v>
      </c>
      <c r="T77" s="42">
        <f t="shared" si="32"/>
        <v>49428.571428571428</v>
      </c>
      <c r="U77" s="13" t="s">
        <v>182</v>
      </c>
      <c r="V77" s="142"/>
      <c r="W77" s="140"/>
      <c r="X77" s="139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</row>
    <row r="78" spans="1:86" s="28" customFormat="1" ht="15" customHeight="1">
      <c r="A78" s="26" t="s">
        <v>255</v>
      </c>
      <c r="B78" s="245"/>
      <c r="C78" s="16" t="s">
        <v>558</v>
      </c>
      <c r="D78" s="233" t="s">
        <v>574</v>
      </c>
      <c r="E78" s="232" t="s">
        <v>196</v>
      </c>
      <c r="F78" s="25">
        <v>1</v>
      </c>
      <c r="G78" s="16">
        <v>2</v>
      </c>
      <c r="H78" s="16">
        <v>2</v>
      </c>
      <c r="I78" s="25" t="s">
        <v>257</v>
      </c>
      <c r="J78" s="25" t="s">
        <v>258</v>
      </c>
      <c r="K78" s="23" t="s">
        <v>184</v>
      </c>
      <c r="L78" s="87">
        <v>6</v>
      </c>
      <c r="M78" s="88">
        <f t="shared" si="29"/>
        <v>2800000</v>
      </c>
      <c r="N78" s="24">
        <f t="shared" si="30"/>
        <v>1959999.9999999998</v>
      </c>
      <c r="O78" s="37">
        <f t="shared" si="31"/>
        <v>13999.999999999998</v>
      </c>
      <c r="P78" s="19">
        <f t="shared" si="28"/>
        <v>3000000</v>
      </c>
      <c r="Q78" s="19">
        <f t="shared" si="18"/>
        <v>1959999.9999999998</v>
      </c>
      <c r="R78" s="19">
        <f t="shared" si="19"/>
        <v>1959999.9999999998</v>
      </c>
      <c r="S78" s="41">
        <f t="shared" si="20"/>
        <v>6920000</v>
      </c>
      <c r="T78" s="42">
        <f t="shared" si="32"/>
        <v>49428.571428571428</v>
      </c>
      <c r="U78" s="13" t="s">
        <v>182</v>
      </c>
      <c r="V78" s="142"/>
      <c r="W78" s="140"/>
      <c r="X78" s="139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</row>
    <row r="79" spans="1:86" s="28" customFormat="1" ht="15" customHeight="1">
      <c r="A79" s="26" t="s">
        <v>255</v>
      </c>
      <c r="B79" s="245"/>
      <c r="C79" s="16" t="s">
        <v>238</v>
      </c>
      <c r="D79" s="233" t="s">
        <v>559</v>
      </c>
      <c r="E79" s="232" t="s">
        <v>196</v>
      </c>
      <c r="F79" s="25">
        <v>1</v>
      </c>
      <c r="G79" s="16">
        <v>2</v>
      </c>
      <c r="H79" s="16">
        <v>2</v>
      </c>
      <c r="I79" s="25" t="s">
        <v>257</v>
      </c>
      <c r="J79" s="25" t="s">
        <v>258</v>
      </c>
      <c r="K79" s="23" t="s">
        <v>184</v>
      </c>
      <c r="L79" s="87">
        <v>5</v>
      </c>
      <c r="M79" s="88">
        <f t="shared" ref="M79" si="33">2800000*F79</f>
        <v>2800000</v>
      </c>
      <c r="N79" s="24">
        <f t="shared" ref="N79" si="34">M79*(1-30%)</f>
        <v>1959999.9999999998</v>
      </c>
      <c r="O79" s="37">
        <f t="shared" ref="O79" si="35">N79/140</f>
        <v>13999.999999999998</v>
      </c>
      <c r="P79" s="19">
        <f t="shared" si="28"/>
        <v>3000000</v>
      </c>
      <c r="Q79" s="19">
        <f t="shared" si="18"/>
        <v>1959999.9999999998</v>
      </c>
      <c r="R79" s="19">
        <f t="shared" si="19"/>
        <v>1959999.9999999998</v>
      </c>
      <c r="S79" s="41">
        <f t="shared" si="20"/>
        <v>6920000</v>
      </c>
      <c r="T79" s="42">
        <f t="shared" ref="T79" si="36">S79/140</f>
        <v>49428.571428571428</v>
      </c>
      <c r="U79" s="13" t="s">
        <v>182</v>
      </c>
      <c r="V79" s="142"/>
      <c r="W79" s="140"/>
      <c r="X79" s="139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</row>
    <row r="80" spans="1:86" s="28" customFormat="1" ht="15" customHeight="1">
      <c r="A80" s="26" t="s">
        <v>255</v>
      </c>
      <c r="B80" s="245"/>
      <c r="C80" s="16" t="s">
        <v>238</v>
      </c>
      <c r="D80" s="233" t="s">
        <v>560</v>
      </c>
      <c r="E80" s="232" t="s">
        <v>196</v>
      </c>
      <c r="F80" s="25">
        <v>1</v>
      </c>
      <c r="G80" s="16">
        <v>2</v>
      </c>
      <c r="H80" s="16">
        <v>2</v>
      </c>
      <c r="I80" s="25" t="s">
        <v>257</v>
      </c>
      <c r="J80" s="25" t="s">
        <v>258</v>
      </c>
      <c r="K80" s="23" t="s">
        <v>184</v>
      </c>
      <c r="L80" s="87">
        <v>6</v>
      </c>
      <c r="M80" s="88">
        <f t="shared" si="25"/>
        <v>2800000</v>
      </c>
      <c r="N80" s="24">
        <f t="shared" si="27"/>
        <v>1959999.9999999998</v>
      </c>
      <c r="O80" s="37">
        <f t="shared" si="23"/>
        <v>13999.999999999998</v>
      </c>
      <c r="P80" s="19">
        <f t="shared" si="28"/>
        <v>3000000</v>
      </c>
      <c r="Q80" s="19">
        <f t="shared" si="18"/>
        <v>1959999.9999999998</v>
      </c>
      <c r="R80" s="19">
        <f t="shared" si="19"/>
        <v>1959999.9999999998</v>
      </c>
      <c r="S80" s="41">
        <f t="shared" si="20"/>
        <v>6920000</v>
      </c>
      <c r="T80" s="42">
        <f t="shared" si="24"/>
        <v>49428.571428571428</v>
      </c>
      <c r="U80" s="13" t="s">
        <v>182</v>
      </c>
      <c r="V80" s="142"/>
      <c r="W80" s="140"/>
      <c r="X80" s="139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</row>
    <row r="81" spans="1:86" s="28" customFormat="1" ht="15" customHeight="1">
      <c r="A81" s="26" t="s">
        <v>255</v>
      </c>
      <c r="B81" s="245"/>
      <c r="C81" s="16" t="s">
        <v>238</v>
      </c>
      <c r="D81" s="233" t="s">
        <v>561</v>
      </c>
      <c r="E81" s="232" t="s">
        <v>196</v>
      </c>
      <c r="F81" s="25">
        <v>1</v>
      </c>
      <c r="G81" s="16">
        <v>2</v>
      </c>
      <c r="H81" s="16">
        <v>2</v>
      </c>
      <c r="I81" s="25" t="s">
        <v>257</v>
      </c>
      <c r="J81" s="25" t="s">
        <v>258</v>
      </c>
      <c r="K81" s="23" t="s">
        <v>184</v>
      </c>
      <c r="L81" s="87">
        <v>5</v>
      </c>
      <c r="M81" s="88">
        <f t="shared" si="25"/>
        <v>2800000</v>
      </c>
      <c r="N81" s="24">
        <f t="shared" si="27"/>
        <v>1959999.9999999998</v>
      </c>
      <c r="O81" s="37">
        <f t="shared" si="23"/>
        <v>13999.999999999998</v>
      </c>
      <c r="P81" s="19">
        <f t="shared" si="28"/>
        <v>3000000</v>
      </c>
      <c r="Q81" s="19">
        <f t="shared" si="18"/>
        <v>1959999.9999999998</v>
      </c>
      <c r="R81" s="19">
        <f t="shared" si="19"/>
        <v>1959999.9999999998</v>
      </c>
      <c r="S81" s="41">
        <f t="shared" si="20"/>
        <v>6920000</v>
      </c>
      <c r="T81" s="42">
        <f t="shared" si="24"/>
        <v>49428.571428571428</v>
      </c>
      <c r="U81" s="13" t="s">
        <v>182</v>
      </c>
      <c r="V81" s="142"/>
      <c r="W81" s="140"/>
      <c r="X81" s="139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</row>
    <row r="82" spans="1:86" s="28" customFormat="1" ht="15" customHeight="1">
      <c r="A82" s="26" t="s">
        <v>255</v>
      </c>
      <c r="B82" s="246"/>
      <c r="C82" s="16" t="s">
        <v>238</v>
      </c>
      <c r="D82" s="233" t="s">
        <v>562</v>
      </c>
      <c r="E82" s="232" t="s">
        <v>196</v>
      </c>
      <c r="F82" s="25">
        <v>1</v>
      </c>
      <c r="G82" s="16">
        <v>2</v>
      </c>
      <c r="H82" s="16">
        <v>2</v>
      </c>
      <c r="I82" s="25" t="s">
        <v>257</v>
      </c>
      <c r="J82" s="25" t="s">
        <v>258</v>
      </c>
      <c r="K82" s="23" t="s">
        <v>184</v>
      </c>
      <c r="L82" s="87">
        <v>6</v>
      </c>
      <c r="M82" s="88">
        <f t="shared" ref="M82" si="37">2800000*F82</f>
        <v>2800000</v>
      </c>
      <c r="N82" s="24">
        <f t="shared" ref="N82" si="38">M82*(1-30%)</f>
        <v>1959999.9999999998</v>
      </c>
      <c r="O82" s="37">
        <f t="shared" ref="O82" si="39">N82/140</f>
        <v>13999.999999999998</v>
      </c>
      <c r="P82" s="19">
        <f t="shared" si="28"/>
        <v>3000000</v>
      </c>
      <c r="Q82" s="19">
        <f t="shared" si="18"/>
        <v>1959999.9999999998</v>
      </c>
      <c r="R82" s="19">
        <f t="shared" si="19"/>
        <v>1959999.9999999998</v>
      </c>
      <c r="S82" s="41">
        <f t="shared" si="20"/>
        <v>6920000</v>
      </c>
      <c r="T82" s="42">
        <f t="shared" ref="T82" si="40">S82/140</f>
        <v>49428.571428571428</v>
      </c>
      <c r="U82" s="13" t="s">
        <v>182</v>
      </c>
      <c r="V82" s="142"/>
      <c r="W82" s="140"/>
      <c r="X82" s="139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</row>
    <row r="83" spans="1:86" s="5" customFormat="1" ht="15" customHeight="1" thickBot="1">
      <c r="A83" s="80"/>
      <c r="B83" s="81"/>
      <c r="C83" s="82"/>
      <c r="D83" s="83"/>
      <c r="E83" s="84"/>
      <c r="F83" s="84"/>
      <c r="G83" s="84"/>
      <c r="H83" s="84"/>
      <c r="I83" s="84"/>
      <c r="J83" s="84"/>
      <c r="K83" s="84"/>
      <c r="L83" s="73"/>
      <c r="M83" s="85">
        <f>SUM(M9:M82)</f>
        <v>208600000</v>
      </c>
      <c r="N83" s="85">
        <f>SUM(N9:N82)</f>
        <v>150920000</v>
      </c>
      <c r="O83" s="61">
        <f t="shared" ref="O83:T83" si="41">SUM(O9:O82)</f>
        <v>1078000</v>
      </c>
      <c r="P83" s="85">
        <f>SUM(P9:P82)</f>
        <v>222000000</v>
      </c>
      <c r="Q83" s="85">
        <f>SUM(Q9:Q82)</f>
        <v>150920000</v>
      </c>
      <c r="R83" s="85">
        <f>SUM(R9:R82)</f>
        <v>150920000</v>
      </c>
      <c r="S83" s="85">
        <f>SUM(S9:S82)</f>
        <v>523840000</v>
      </c>
      <c r="T83" s="61">
        <f t="shared" si="41"/>
        <v>3741714.2857142827</v>
      </c>
      <c r="U83" s="86"/>
      <c r="V83" s="146"/>
      <c r="W83" s="147"/>
      <c r="X83" s="148"/>
    </row>
    <row r="84" spans="1:86" s="5" customFormat="1" ht="1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M84" s="20"/>
      <c r="N84" s="20"/>
      <c r="O84" s="20"/>
      <c r="P84" s="20"/>
      <c r="Q84" s="20"/>
      <c r="R84" s="20"/>
      <c r="S84" s="22"/>
      <c r="T84" s="22"/>
    </row>
    <row r="85" spans="1:86" ht="15" customHeight="1">
      <c r="A85" s="20"/>
      <c r="B85" s="20"/>
      <c r="C85" s="20"/>
      <c r="D85" s="20"/>
      <c r="E85" s="20"/>
      <c r="F85" s="20"/>
      <c r="G85" s="20"/>
      <c r="H85" s="20"/>
      <c r="I85" s="20"/>
      <c r="J85" s="5"/>
      <c r="K85" s="5"/>
      <c r="L85" s="5"/>
      <c r="M85" s="20"/>
      <c r="N85" s="20"/>
      <c r="O85" s="20"/>
      <c r="P85" s="20"/>
      <c r="Q85" s="20"/>
      <c r="R85" s="20"/>
      <c r="S85" s="22"/>
      <c r="T85" s="22"/>
    </row>
    <row r="86" spans="1:86" ht="15">
      <c r="A86" s="20"/>
      <c r="B86" s="20"/>
      <c r="C86" s="20"/>
      <c r="D86" s="20"/>
      <c r="E86" s="20"/>
      <c r="F86" s="20"/>
      <c r="G86" s="20"/>
      <c r="H86" s="20"/>
      <c r="I86" s="20"/>
      <c r="J86" s="5"/>
      <c r="K86" s="5"/>
      <c r="L86" s="5"/>
      <c r="M86" s="20"/>
      <c r="N86" s="20"/>
      <c r="O86" s="20"/>
      <c r="P86" s="20"/>
      <c r="Q86" s="20"/>
      <c r="R86" s="20"/>
      <c r="S86" s="22"/>
      <c r="T86" s="22"/>
    </row>
    <row r="87" spans="1:86" ht="15">
      <c r="A87" s="20"/>
      <c r="B87" s="20"/>
      <c r="C87" s="20"/>
      <c r="D87" s="20"/>
      <c r="E87" s="20"/>
      <c r="F87" s="20"/>
      <c r="G87" s="20"/>
      <c r="H87" s="20"/>
      <c r="I87" s="20"/>
      <c r="J87" s="5"/>
      <c r="K87" s="5"/>
      <c r="L87" s="5"/>
      <c r="M87" s="20"/>
      <c r="N87" s="20"/>
      <c r="O87" s="20"/>
      <c r="P87" s="20"/>
      <c r="Q87" s="20"/>
      <c r="R87" s="20"/>
      <c r="S87" s="22"/>
      <c r="T87" s="22"/>
    </row>
    <row r="88" spans="1:86" ht="15">
      <c r="A88" s="20"/>
      <c r="B88" s="20"/>
      <c r="C88" s="20"/>
      <c r="D88" s="20"/>
      <c r="E88" s="20"/>
      <c r="F88" s="20"/>
      <c r="G88" s="20"/>
      <c r="H88" s="20"/>
      <c r="I88" s="20"/>
      <c r="J88" s="5"/>
      <c r="K88" s="5"/>
      <c r="L88" s="5"/>
      <c r="M88" s="20"/>
      <c r="N88" s="20"/>
      <c r="O88" s="20"/>
      <c r="P88" s="20"/>
      <c r="Q88" s="20"/>
      <c r="R88" s="20"/>
      <c r="S88" s="22"/>
      <c r="T88" s="22"/>
    </row>
    <row r="89" spans="1:86" ht="15">
      <c r="A89" s="20"/>
      <c r="B89" s="20"/>
      <c r="C89" s="20"/>
      <c r="D89" s="20"/>
      <c r="E89" s="20"/>
      <c r="F89" s="20"/>
      <c r="G89" s="20"/>
      <c r="H89" s="20"/>
      <c r="I89" s="20"/>
      <c r="J89" s="5"/>
      <c r="K89" s="5"/>
      <c r="L89" s="5"/>
      <c r="M89" s="20"/>
      <c r="N89" s="20"/>
      <c r="O89" s="20"/>
      <c r="P89" s="20"/>
      <c r="Q89" s="20"/>
      <c r="R89" s="20"/>
      <c r="S89" s="22"/>
      <c r="T89" s="22"/>
    </row>
    <row r="90" spans="1:86">
      <c r="J90" s="5"/>
      <c r="K90" s="5"/>
      <c r="L90" s="5"/>
    </row>
    <row r="91" spans="1:86">
      <c r="J91" s="5"/>
      <c r="K91" s="5"/>
      <c r="L91" s="5"/>
    </row>
    <row r="92" spans="1:86">
      <c r="J92" s="5"/>
      <c r="K92" s="5"/>
      <c r="L92" s="5"/>
    </row>
    <row r="93" spans="1:86">
      <c r="J93" s="5"/>
      <c r="K93" s="5"/>
      <c r="L93" s="5"/>
    </row>
    <row r="94" spans="1:86">
      <c r="J94" s="5"/>
      <c r="K94" s="5"/>
      <c r="L94" s="5"/>
    </row>
    <row r="95" spans="1:86">
      <c r="J95" s="5"/>
      <c r="K95" s="5"/>
      <c r="L95" s="5"/>
    </row>
    <row r="96" spans="1:86">
      <c r="J96" s="5"/>
      <c r="K96" s="5"/>
      <c r="L96" s="5"/>
    </row>
    <row r="97" spans="10:12">
      <c r="J97" s="5"/>
      <c r="K97" s="5"/>
      <c r="L97" s="5"/>
    </row>
    <row r="98" spans="10:12">
      <c r="J98" s="5"/>
      <c r="K98" s="5"/>
      <c r="L98" s="5"/>
    </row>
    <row r="99" spans="10:12">
      <c r="J99" s="5"/>
      <c r="K99" s="5"/>
      <c r="L99" s="5"/>
    </row>
    <row r="100" spans="10:12">
      <c r="J100" s="5"/>
      <c r="K100" s="5"/>
      <c r="L100" s="5"/>
    </row>
    <row r="101" spans="10:12">
      <c r="J101" s="5"/>
      <c r="K101" s="5"/>
      <c r="L101" s="5"/>
    </row>
    <row r="102" spans="10:12">
      <c r="J102" s="5"/>
      <c r="K102" s="5"/>
      <c r="L102" s="5"/>
    </row>
    <row r="103" spans="10:12">
      <c r="J103" s="5"/>
      <c r="K103" s="5"/>
      <c r="L103" s="5"/>
    </row>
    <row r="104" spans="10:12">
      <c r="J104" s="5"/>
      <c r="K104" s="5"/>
      <c r="L104" s="5"/>
    </row>
    <row r="105" spans="10:12">
      <c r="J105" s="5"/>
      <c r="K105" s="5"/>
      <c r="L105" s="5"/>
    </row>
    <row r="106" spans="10:12">
      <c r="J106" s="5"/>
      <c r="K106" s="5"/>
      <c r="L106" s="5"/>
    </row>
    <row r="107" spans="10:12">
      <c r="J107" s="5"/>
      <c r="K107" s="5"/>
      <c r="L107" s="5"/>
    </row>
    <row r="108" spans="10:12">
      <c r="J108" s="5"/>
      <c r="K108" s="5"/>
      <c r="L108" s="5"/>
    </row>
    <row r="109" spans="10:12">
      <c r="J109" s="5"/>
      <c r="K109" s="5"/>
      <c r="L109" s="5"/>
    </row>
    <row r="110" spans="10:12">
      <c r="J110" s="5"/>
      <c r="K110" s="5"/>
      <c r="L110" s="5"/>
    </row>
    <row r="111" spans="10:12">
      <c r="J111" s="5"/>
      <c r="K111" s="5"/>
      <c r="L111" s="5"/>
    </row>
    <row r="112" spans="10:12">
      <c r="J112" s="5"/>
      <c r="K112" s="5"/>
      <c r="L112" s="5"/>
    </row>
    <row r="113" spans="10:12">
      <c r="J113" s="5"/>
      <c r="K113" s="5"/>
      <c r="L113" s="5"/>
    </row>
    <row r="114" spans="10:12">
      <c r="J114" s="5"/>
      <c r="K114" s="5"/>
      <c r="L114" s="5"/>
    </row>
    <row r="115" spans="10:12">
      <c r="J115" s="5"/>
      <c r="K115" s="5"/>
      <c r="L115" s="5"/>
    </row>
    <row r="116" spans="10:12">
      <c r="J116" s="5"/>
      <c r="K116" s="5"/>
      <c r="L116" s="5"/>
    </row>
    <row r="117" spans="10:12">
      <c r="J117" s="5"/>
      <c r="K117" s="5"/>
      <c r="L117" s="5"/>
    </row>
    <row r="118" spans="10:12">
      <c r="J118" s="5"/>
      <c r="K118" s="5"/>
      <c r="L118" s="5"/>
    </row>
    <row r="119" spans="10:12">
      <c r="J119" s="5"/>
      <c r="K119" s="5"/>
      <c r="L119" s="5"/>
    </row>
    <row r="120" spans="10:12">
      <c r="J120" s="5"/>
      <c r="K120" s="5"/>
      <c r="L120" s="5"/>
    </row>
    <row r="121" spans="10:12">
      <c r="J121" s="5"/>
      <c r="K121" s="5"/>
      <c r="L121" s="5"/>
    </row>
    <row r="122" spans="10:12">
      <c r="J122" s="5"/>
      <c r="K122" s="5"/>
      <c r="L122" s="5"/>
    </row>
    <row r="123" spans="10:12">
      <c r="J123" s="5"/>
      <c r="K123" s="5"/>
      <c r="L123" s="5"/>
    </row>
    <row r="124" spans="10:12">
      <c r="J124" s="5"/>
      <c r="K124" s="5"/>
      <c r="L124" s="5"/>
    </row>
    <row r="125" spans="10:12">
      <c r="J125" s="5"/>
      <c r="K125" s="5"/>
      <c r="L125" s="5"/>
    </row>
    <row r="126" spans="10:12">
      <c r="J126" s="5"/>
      <c r="K126" s="5"/>
      <c r="L126" s="5"/>
    </row>
    <row r="127" spans="10:12">
      <c r="J127" s="5"/>
      <c r="K127" s="5"/>
      <c r="L127" s="5"/>
    </row>
    <row r="128" spans="10:12">
      <c r="J128" s="5"/>
      <c r="K128" s="5"/>
      <c r="L128" s="5"/>
    </row>
    <row r="129" spans="10:12">
      <c r="J129" s="5"/>
      <c r="K129" s="5"/>
      <c r="L129" s="5"/>
    </row>
    <row r="130" spans="10:12">
      <c r="J130" s="5"/>
      <c r="K130" s="5"/>
      <c r="L130" s="5"/>
    </row>
    <row r="131" spans="10:12">
      <c r="J131" s="5"/>
      <c r="K131" s="5"/>
      <c r="L131" s="5"/>
    </row>
    <row r="132" spans="10:12">
      <c r="J132" s="5"/>
      <c r="K132" s="5"/>
      <c r="L132" s="5"/>
    </row>
    <row r="133" spans="10:12">
      <c r="J133" s="5"/>
      <c r="K133" s="5"/>
      <c r="L133" s="5"/>
    </row>
    <row r="134" spans="10:12">
      <c r="J134" s="5"/>
      <c r="K134" s="5"/>
      <c r="L134" s="5"/>
    </row>
    <row r="135" spans="10:12">
      <c r="J135" s="5"/>
      <c r="K135" s="5"/>
      <c r="L135" s="5"/>
    </row>
    <row r="136" spans="10:12">
      <c r="J136" s="5"/>
      <c r="K136" s="5"/>
      <c r="L136" s="5"/>
    </row>
    <row r="137" spans="10:12">
      <c r="J137" s="5"/>
      <c r="K137" s="5"/>
      <c r="L137" s="5"/>
    </row>
    <row r="138" spans="10:12">
      <c r="J138" s="5"/>
      <c r="K138" s="5"/>
      <c r="L138" s="5"/>
    </row>
    <row r="139" spans="10:12">
      <c r="J139" s="5"/>
      <c r="K139" s="5"/>
      <c r="L139" s="5"/>
    </row>
    <row r="140" spans="10:12">
      <c r="J140" s="5"/>
      <c r="K140" s="5"/>
      <c r="L140" s="5"/>
    </row>
    <row r="141" spans="10:12">
      <c r="J141" s="5"/>
      <c r="K141" s="5"/>
      <c r="L141" s="5"/>
    </row>
    <row r="142" spans="10:12">
      <c r="J142" s="5"/>
      <c r="K142" s="5"/>
      <c r="L142" s="5"/>
    </row>
    <row r="143" spans="10:12">
      <c r="J143" s="5"/>
      <c r="K143" s="5"/>
      <c r="L143" s="5"/>
    </row>
    <row r="144" spans="10:12">
      <c r="J144" s="5"/>
      <c r="K144" s="5"/>
      <c r="L144" s="5"/>
    </row>
    <row r="145" spans="10:12">
      <c r="J145" s="5"/>
      <c r="K145" s="5"/>
      <c r="L145" s="5"/>
    </row>
    <row r="146" spans="10:12">
      <c r="J146" s="5"/>
      <c r="K146" s="5"/>
      <c r="L146" s="5"/>
    </row>
    <row r="147" spans="10:12">
      <c r="J147" s="5"/>
      <c r="K147" s="5"/>
      <c r="L147" s="5"/>
    </row>
    <row r="148" spans="10:12">
      <c r="J148" s="5"/>
      <c r="K148" s="5"/>
      <c r="L148" s="5"/>
    </row>
    <row r="149" spans="10:12">
      <c r="J149" s="5"/>
      <c r="K149" s="5"/>
      <c r="L149" s="5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P9:R82" name="Диапазон1_4"/>
    <protectedRange algorithmName="SHA-512" hashValue="20tZejZtY/ZGRcGLZm0ZbWfCu51ejQGMqdRYwv0b9rb/5Q/ejFDHQOXySZDQbnMuPhvZC4Bfbq/BWdBxp9Ls4w==" saltValue="Q+V8rXhHsE4u/j5xUQJeAg==" spinCount="100000" sqref="G9:H82" name="Диапазон1_4_3"/>
    <protectedRange algorithmName="SHA-512" hashValue="20tZejZtY/ZGRcGLZm0ZbWfCu51ejQGMqdRYwv0b9rb/5Q/ejFDHQOXySZDQbnMuPhvZC4Bfbq/BWdBxp9Ls4w==" saltValue="Q+V8rXhHsE4u/j5xUQJeAg==" spinCount="100000" sqref="J9:J82" name="Диапазон1_1_3"/>
    <protectedRange algorithmName="SHA-512" hashValue="20tZejZtY/ZGRcGLZm0ZbWfCu51ejQGMqdRYwv0b9rb/5Q/ejFDHQOXySZDQbnMuPhvZC4Bfbq/BWdBxp9Ls4w==" saltValue="Q+V8rXhHsE4u/j5xUQJeAg==" spinCount="100000" sqref="I9:I82 F9:F82" name="Диапазон1_5_1"/>
    <protectedRange algorithmName="SHA-512" hashValue="20tZejZtY/ZGRcGLZm0ZbWfCu51ejQGMqdRYwv0b9rb/5Q/ejFDHQOXySZDQbnMuPhvZC4Bfbq/BWdBxp9Ls4w==" saltValue="Q+V8rXhHsE4u/j5xUQJeAg==" spinCount="100000" sqref="E9:E82" name="Диапазон1_2_2"/>
    <protectedRange algorithmName="SHA-512" hashValue="20tZejZtY/ZGRcGLZm0ZbWfCu51ejQGMqdRYwv0b9rb/5Q/ejFDHQOXySZDQbnMuPhvZC4Bfbq/BWdBxp9Ls4w==" saltValue="Q+V8rXhHsE4u/j5xUQJeAg==" spinCount="100000" sqref="B9:B82" name="Диапазон1_9_1_1_1"/>
    <protectedRange algorithmName="SHA-512" hashValue="20tZejZtY/ZGRcGLZm0ZbWfCu51ejQGMqdRYwv0b9rb/5Q/ejFDHQOXySZDQbnMuPhvZC4Bfbq/BWdBxp9Ls4w==" saltValue="Q+V8rXhHsE4u/j5xUQJeAg==" spinCount="100000" sqref="C9:C82" name="Диапазон1_1_1_2"/>
    <protectedRange algorithmName="SHA-512" hashValue="20tZejZtY/ZGRcGLZm0ZbWfCu51ejQGMqdRYwv0b9rb/5Q/ejFDHQOXySZDQbnMuPhvZC4Bfbq/BWdBxp9Ls4w==" saltValue="Q+V8rXhHsE4u/j5xUQJeAg==" spinCount="100000" sqref="K9:K82" name="Диапазон1_1_1"/>
    <protectedRange algorithmName="SHA-512" hashValue="20tZejZtY/ZGRcGLZm0ZbWfCu51ejQGMqdRYwv0b9rb/5Q/ejFDHQOXySZDQbnMuPhvZC4Bfbq/BWdBxp9Ls4w==" saltValue="Q+V8rXhHsE4u/j5xUQJeAg==" spinCount="100000" sqref="L10:L82" name="Диапазон1_5_1_1"/>
    <protectedRange algorithmName="SHA-512" hashValue="20tZejZtY/ZGRcGLZm0ZbWfCu51ejQGMqdRYwv0b9rb/5Q/ejFDHQOXySZDQbnMuPhvZC4Bfbq/BWdBxp9Ls4w==" saltValue="Q+V8rXhHsE4u/j5xUQJeAg==" spinCount="100000" sqref="K86:K147" name="Диапазон1_1_1_2_1"/>
    <protectedRange sqref="V8:X82" name="Range1"/>
  </protectedRanges>
  <autoFilter ref="A8:T83" xr:uid="{BE85CF9D-56C6-49A4-9D20-1C978740FDBB}"/>
  <mergeCells count="1">
    <mergeCell ref="B9:B82"/>
  </mergeCells>
  <phoneticPr fontId="12" type="noConversion"/>
  <conditionalFormatting sqref="S2:S4">
    <cfRule type="duplicateValues" dxfId="2" priority="1"/>
  </conditionalFormatting>
  <pageMargins left="0.7" right="0.7" top="0.75" bottom="0.75" header="0.3" footer="0.3"/>
  <pageSetup paperSize="9" orientation="portrait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5F6C-D404-4AB6-A96E-500D12961842}">
  <dimension ref="A1:X14"/>
  <sheetViews>
    <sheetView zoomScale="65" zoomScaleNormal="90" workbookViewId="0">
      <selection activeCell="H35" sqref="H35"/>
    </sheetView>
  </sheetViews>
  <sheetFormatPr defaultColWidth="19.140625" defaultRowHeight="15.75"/>
  <cols>
    <col min="1" max="1" width="15.7109375" style="7" customWidth="1"/>
    <col min="2" max="2" width="18.42578125" style="7" customWidth="1"/>
    <col min="3" max="3" width="25.42578125" style="7" customWidth="1"/>
    <col min="4" max="4" width="40.42578125" style="7" customWidth="1"/>
    <col min="5" max="5" width="15" style="7" customWidth="1"/>
    <col min="6" max="6" width="12.85546875" style="7" hidden="1" customWidth="1"/>
    <col min="7" max="7" width="15.140625" style="7" customWidth="1"/>
    <col min="8" max="8" width="20.140625" style="7" customWidth="1"/>
    <col min="9" max="9" width="21.7109375" style="7" hidden="1" customWidth="1"/>
    <col min="10" max="10" width="12.42578125" style="7" customWidth="1"/>
    <col min="11" max="11" width="17" style="7" customWidth="1"/>
    <col min="12" max="12" width="16.7109375" style="7" customWidth="1"/>
    <col min="13" max="13" width="17.28515625" style="7" customWidth="1"/>
    <col min="14" max="14" width="18.140625" style="7" customWidth="1"/>
    <col min="15" max="19" width="23.140625" style="11" customWidth="1"/>
    <col min="20" max="21" width="23.85546875" style="7" customWidth="1"/>
    <col min="22" max="22" width="22.140625" style="7" customWidth="1"/>
    <col min="23" max="23" width="19.140625" style="7" customWidth="1"/>
    <col min="24" max="24" width="21.85546875" style="7" customWidth="1"/>
    <col min="25" max="16384" width="19.140625" style="4"/>
  </cols>
  <sheetData>
    <row r="1" spans="1:24">
      <c r="D1" s="9"/>
    </row>
    <row r="2" spans="1:24">
      <c r="A2" s="109"/>
      <c r="B2" s="109"/>
      <c r="C2" s="115" t="s">
        <v>176</v>
      </c>
      <c r="D2" s="116" t="s">
        <v>582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4"/>
      <c r="Q2" s="4"/>
      <c r="R2" s="4"/>
      <c r="S2" s="4"/>
      <c r="T2" s="4"/>
      <c r="U2" s="4"/>
      <c r="V2" s="4"/>
      <c r="W2" s="4"/>
      <c r="X2" s="4"/>
    </row>
    <row r="3" spans="1:24">
      <c r="A3" s="109"/>
      <c r="B3" s="109"/>
      <c r="C3" s="115" t="s">
        <v>177</v>
      </c>
      <c r="D3" s="116" t="s">
        <v>183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4"/>
      <c r="Q3" s="4"/>
      <c r="R3" s="4"/>
      <c r="S3" s="4"/>
      <c r="T3" s="4"/>
      <c r="U3" s="4"/>
      <c r="V3" s="4"/>
      <c r="W3" s="4"/>
      <c r="X3" s="4"/>
    </row>
    <row r="4" spans="1:24">
      <c r="A4" s="109"/>
      <c r="B4" s="109"/>
      <c r="C4" s="115" t="s">
        <v>179</v>
      </c>
      <c r="D4" s="52" t="s">
        <v>575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4"/>
      <c r="Q4" s="4"/>
      <c r="R4" s="4"/>
      <c r="S4" s="4"/>
      <c r="T4" s="4"/>
      <c r="U4" s="4"/>
      <c r="V4" s="4"/>
      <c r="W4" s="4"/>
      <c r="X4" s="4"/>
    </row>
    <row r="5" spans="1:24">
      <c r="C5" s="39"/>
      <c r="D5" s="40"/>
      <c r="F5" s="8"/>
    </row>
    <row r="8" spans="1:24" s="6" customFormat="1" ht="65.45" customHeight="1">
      <c r="A8" s="44" t="s">
        <v>180</v>
      </c>
      <c r="B8" s="44" t="s">
        <v>171</v>
      </c>
      <c r="C8" s="44" t="s">
        <v>161</v>
      </c>
      <c r="D8" s="44" t="s">
        <v>172</v>
      </c>
      <c r="E8" s="44" t="s">
        <v>174</v>
      </c>
      <c r="F8" s="44" t="s">
        <v>162</v>
      </c>
      <c r="G8" s="44" t="s">
        <v>168</v>
      </c>
      <c r="H8" s="44" t="s">
        <v>173</v>
      </c>
      <c r="I8" s="44" t="s">
        <v>158</v>
      </c>
      <c r="J8" s="44" t="s">
        <v>163</v>
      </c>
      <c r="K8" s="44" t="s">
        <v>175</v>
      </c>
      <c r="L8" s="44" t="s">
        <v>167</v>
      </c>
      <c r="M8" s="44" t="s">
        <v>164</v>
      </c>
      <c r="N8" s="44" t="s">
        <v>247</v>
      </c>
      <c r="O8" s="45" t="s">
        <v>185</v>
      </c>
      <c r="P8" s="45" t="s">
        <v>236</v>
      </c>
      <c r="Q8" s="45" t="s">
        <v>237</v>
      </c>
      <c r="R8" s="118" t="s">
        <v>479</v>
      </c>
      <c r="S8" s="118" t="s">
        <v>480</v>
      </c>
      <c r="T8" s="46" t="s">
        <v>169</v>
      </c>
      <c r="U8" s="46" t="s">
        <v>227</v>
      </c>
      <c r="V8" s="47" t="s">
        <v>181</v>
      </c>
      <c r="W8" s="20"/>
      <c r="X8" s="20"/>
    </row>
    <row r="9" spans="1:24" s="5" customFormat="1" ht="35.1" customHeight="1">
      <c r="A9" s="18" t="s">
        <v>261</v>
      </c>
      <c r="B9" s="48" t="s">
        <v>187</v>
      </c>
      <c r="C9" s="16" t="s">
        <v>166</v>
      </c>
      <c r="D9" s="247" t="s">
        <v>267</v>
      </c>
      <c r="E9" s="18" t="s">
        <v>264</v>
      </c>
      <c r="F9" s="16">
        <v>1</v>
      </c>
      <c r="G9" s="16">
        <v>2</v>
      </c>
      <c r="H9" s="18" t="s">
        <v>263</v>
      </c>
      <c r="I9" s="16" t="s">
        <v>4</v>
      </c>
      <c r="J9" s="16" t="s">
        <v>265</v>
      </c>
      <c r="K9" s="16" t="s">
        <v>392</v>
      </c>
      <c r="L9" s="16" t="s">
        <v>260</v>
      </c>
      <c r="M9" s="16">
        <v>1</v>
      </c>
      <c r="N9" s="16" t="s">
        <v>476</v>
      </c>
      <c r="O9" s="29">
        <v>120000000</v>
      </c>
      <c r="P9" s="29">
        <f>O9*(1-5%)</f>
        <v>114000000</v>
      </c>
      <c r="Q9" s="37">
        <f>P9/140</f>
        <v>814285.71428571432</v>
      </c>
      <c r="R9" s="29">
        <f>P9</f>
        <v>114000000</v>
      </c>
      <c r="S9" s="29">
        <f>P9</f>
        <v>114000000</v>
      </c>
      <c r="T9" s="133">
        <f>R9+S9</f>
        <v>228000000</v>
      </c>
      <c r="U9" s="37">
        <f>T9/140</f>
        <v>1628571.4285714286</v>
      </c>
      <c r="V9" s="132" t="s">
        <v>182</v>
      </c>
      <c r="W9" s="14"/>
      <c r="X9" s="14"/>
    </row>
    <row r="10" spans="1:24" s="5" customFormat="1" ht="35.1" customHeight="1">
      <c r="A10" s="18" t="s">
        <v>261</v>
      </c>
      <c r="B10" s="48" t="s">
        <v>187</v>
      </c>
      <c r="C10" s="16" t="s">
        <v>166</v>
      </c>
      <c r="D10" s="248"/>
      <c r="E10" s="18" t="s">
        <v>270</v>
      </c>
      <c r="F10" s="16">
        <v>1</v>
      </c>
      <c r="G10" s="16">
        <v>2</v>
      </c>
      <c r="H10" s="18" t="s">
        <v>269</v>
      </c>
      <c r="I10" s="16" t="s">
        <v>4</v>
      </c>
      <c r="J10" s="16" t="s">
        <v>265</v>
      </c>
      <c r="K10" s="16" t="s">
        <v>392</v>
      </c>
      <c r="L10" s="16" t="s">
        <v>260</v>
      </c>
      <c r="M10" s="16">
        <v>1</v>
      </c>
      <c r="N10" s="16" t="s">
        <v>475</v>
      </c>
      <c r="O10" s="29">
        <v>107000000</v>
      </c>
      <c r="P10" s="29">
        <v>100710000</v>
      </c>
      <c r="Q10" s="37">
        <f>P10/140</f>
        <v>719357.14285714284</v>
      </c>
      <c r="R10" s="29">
        <f>P10</f>
        <v>100710000</v>
      </c>
      <c r="S10" s="29">
        <f>P10</f>
        <v>100710000</v>
      </c>
      <c r="T10" s="133">
        <f>R10+S10</f>
        <v>201420000</v>
      </c>
      <c r="U10" s="37">
        <f>T10/140</f>
        <v>1438714.2857142857</v>
      </c>
      <c r="V10" s="132" t="s">
        <v>182</v>
      </c>
      <c r="W10" s="14"/>
      <c r="X10" s="14"/>
    </row>
    <row r="11" spans="1:24" s="5" customFormat="1" ht="35.1" customHeight="1">
      <c r="A11" s="18" t="s">
        <v>261</v>
      </c>
      <c r="B11" s="201" t="s">
        <v>187</v>
      </c>
      <c r="C11" s="16" t="s">
        <v>186</v>
      </c>
      <c r="D11" s="247" t="s">
        <v>490</v>
      </c>
      <c r="E11" s="18" t="s">
        <v>486</v>
      </c>
      <c r="F11" s="16"/>
      <c r="G11" s="16">
        <v>2</v>
      </c>
      <c r="H11" s="18" t="s">
        <v>487</v>
      </c>
      <c r="I11" s="16"/>
      <c r="J11" s="16" t="s">
        <v>488</v>
      </c>
      <c r="K11" s="16" t="s">
        <v>489</v>
      </c>
      <c r="L11" s="16" t="s">
        <v>260</v>
      </c>
      <c r="M11" s="16">
        <v>1</v>
      </c>
      <c r="N11" s="16" t="s">
        <v>475</v>
      </c>
      <c r="O11" s="29">
        <v>14000000</v>
      </c>
      <c r="P11" s="29">
        <f>O11*(1-10%)</f>
        <v>12600000</v>
      </c>
      <c r="Q11" s="37">
        <f t="shared" ref="Q11:Q12" si="0">P11/140</f>
        <v>90000</v>
      </c>
      <c r="R11" s="29">
        <f t="shared" ref="R11:R12" si="1">P11</f>
        <v>12600000</v>
      </c>
      <c r="S11" s="29">
        <f t="shared" ref="S11:S12" si="2">P11</f>
        <v>12600000</v>
      </c>
      <c r="T11" s="133">
        <f t="shared" ref="T11:T12" si="3">R11+S11</f>
        <v>25200000</v>
      </c>
      <c r="U11" s="37">
        <f t="shared" ref="U11:U12" si="4">T11/140</f>
        <v>180000</v>
      </c>
      <c r="V11" s="132" t="s">
        <v>182</v>
      </c>
      <c r="W11" s="14"/>
      <c r="X11" s="14"/>
    </row>
    <row r="12" spans="1:24" s="5" customFormat="1" ht="35.1" customHeight="1">
      <c r="A12" s="18" t="s">
        <v>261</v>
      </c>
      <c r="B12" s="201" t="s">
        <v>187</v>
      </c>
      <c r="C12" s="16" t="s">
        <v>186</v>
      </c>
      <c r="D12" s="248"/>
      <c r="E12" s="18" t="s">
        <v>491</v>
      </c>
      <c r="F12" s="16"/>
      <c r="G12" s="16">
        <v>2</v>
      </c>
      <c r="H12" s="18" t="s">
        <v>492</v>
      </c>
      <c r="I12" s="16"/>
      <c r="J12" s="16" t="s">
        <v>189</v>
      </c>
      <c r="K12" s="16" t="s">
        <v>489</v>
      </c>
      <c r="L12" s="16" t="s">
        <v>260</v>
      </c>
      <c r="M12" s="16">
        <v>1</v>
      </c>
      <c r="N12" s="16" t="s">
        <v>475</v>
      </c>
      <c r="O12" s="29">
        <v>10000000</v>
      </c>
      <c r="P12" s="29">
        <f>O12*(1-10%)</f>
        <v>9000000</v>
      </c>
      <c r="Q12" s="37">
        <f t="shared" si="0"/>
        <v>64285.714285714283</v>
      </c>
      <c r="R12" s="29">
        <f t="shared" si="1"/>
        <v>9000000</v>
      </c>
      <c r="S12" s="29">
        <f t="shared" si="2"/>
        <v>9000000</v>
      </c>
      <c r="T12" s="133">
        <f t="shared" si="3"/>
        <v>18000000</v>
      </c>
      <c r="U12" s="37">
        <f t="shared" si="4"/>
        <v>128571.42857142857</v>
      </c>
      <c r="V12" s="132" t="s">
        <v>182</v>
      </c>
      <c r="W12" s="14"/>
      <c r="X12" s="14"/>
    </row>
    <row r="13" spans="1:24" s="5" customFormat="1" ht="15" customHeight="1">
      <c r="A13" s="30"/>
      <c r="B13" s="31"/>
      <c r="C13" s="32"/>
      <c r="D13" s="33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>
        <f t="shared" ref="O13:U13" si="5">SUM(O9:O12)</f>
        <v>251000000</v>
      </c>
      <c r="P13" s="34">
        <f t="shared" si="5"/>
        <v>236310000</v>
      </c>
      <c r="Q13" s="152">
        <f t="shared" si="5"/>
        <v>1687928.5714285716</v>
      </c>
      <c r="R13" s="34">
        <f t="shared" si="5"/>
        <v>236310000</v>
      </c>
      <c r="S13" s="34">
        <f t="shared" si="5"/>
        <v>236310000</v>
      </c>
      <c r="T13" s="34">
        <f>SUM(T9:T12)</f>
        <v>472620000</v>
      </c>
      <c r="U13" s="62">
        <f t="shared" si="5"/>
        <v>3375857.1428571432</v>
      </c>
      <c r="V13" s="35"/>
      <c r="W13" s="20"/>
      <c r="X13" s="20"/>
    </row>
    <row r="14" spans="1:24" ht="1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/>
      <c r="P14" s="21"/>
      <c r="Q14" s="21"/>
      <c r="R14" s="21"/>
      <c r="S14" s="21"/>
      <c r="T14" s="20"/>
      <c r="U14" s="20"/>
      <c r="V14" s="20"/>
      <c r="W14" s="20"/>
      <c r="X14" s="20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G9:G12" name="Диапазон1_4_3"/>
    <protectedRange algorithmName="SHA-512" hashValue="20tZejZtY/ZGRcGLZm0ZbWfCu51ejQGMqdRYwv0b9rb/5Q/ejFDHQOXySZDQbnMuPhvZC4Bfbq/BWdBxp9Ls4w==" saltValue="Q+V8rXhHsE4u/j5xUQJeAg==" spinCount="100000" sqref="K9:K12" name="Диапазон1_9"/>
    <protectedRange algorithmName="SHA-512" hashValue="20tZejZtY/ZGRcGLZm0ZbWfCu51ejQGMqdRYwv0b9rb/5Q/ejFDHQOXySZDQbnMuPhvZC4Bfbq/BWdBxp9Ls4w==" saltValue="Q+V8rXhHsE4u/j5xUQJeAg==" spinCount="100000" sqref="I9:I12" name="Диапазон1_1_5"/>
    <protectedRange algorithmName="SHA-512" hashValue="20tZejZtY/ZGRcGLZm0ZbWfCu51ejQGMqdRYwv0b9rb/5Q/ejFDHQOXySZDQbnMuPhvZC4Bfbq/BWdBxp9Ls4w==" saltValue="Q+V8rXhHsE4u/j5xUQJeAg==" spinCount="100000" sqref="F9:F12" name="Диапазон1_5_7"/>
    <protectedRange algorithmName="SHA-512" hashValue="20tZejZtY/ZGRcGLZm0ZbWfCu51ejQGMqdRYwv0b9rb/5Q/ejFDHQOXySZDQbnMuPhvZC4Bfbq/BWdBxp9Ls4w==" saltValue="Q+V8rXhHsE4u/j5xUQJeAg==" spinCount="100000" sqref="C9:C12" name="Диапазон1_2_8"/>
    <protectedRange algorithmName="SHA-512" hashValue="20tZejZtY/ZGRcGLZm0ZbWfCu51ejQGMqdRYwv0b9rb/5Q/ejFDHQOXySZDQbnMuPhvZC4Bfbq/BWdBxp9Ls4w==" saltValue="Q+V8rXhHsE4u/j5xUQJeAg==" spinCount="100000" sqref="B9:B12" name="Диапазон1_9_1_3"/>
    <protectedRange algorithmName="SHA-512" hashValue="20tZejZtY/ZGRcGLZm0ZbWfCu51ejQGMqdRYwv0b9rb/5Q/ejFDHQOXySZDQbnMuPhvZC4Bfbq/BWdBxp9Ls4w==" saltValue="Q+V8rXhHsE4u/j5xUQJeAg==" spinCount="100000" sqref="L9:N12" name="Диапазон1_8_1"/>
    <protectedRange algorithmName="SHA-512" hashValue="20tZejZtY/ZGRcGLZm0ZbWfCu51ejQGMqdRYwv0b9rb/5Q/ejFDHQOXySZDQbnMuPhvZC4Bfbq/BWdBxp9Ls4w==" saltValue="Q+V8rXhHsE4u/j5xUQJeAg==" spinCount="100000" sqref="J9:J12" name="Диапазон1_7_1_1"/>
  </protectedRanges>
  <autoFilter ref="A8:X13" xr:uid="{BE85CF9D-56C6-49A4-9D20-1C978740FDBB}"/>
  <mergeCells count="2">
    <mergeCell ref="D9:D10"/>
    <mergeCell ref="D11:D12"/>
  </mergeCells>
  <phoneticPr fontId="12" type="noConversion"/>
  <conditionalFormatting sqref="P2:P4">
    <cfRule type="duplicateValues" dxfId="1" priority="1"/>
  </conditionalFormatting>
  <hyperlinks>
    <hyperlink ref="B9" r:id="rId1" xr:uid="{E7D79DAC-247E-40B0-8E0E-C1B3F7831229}"/>
    <hyperlink ref="B10" r:id="rId2" xr:uid="{0DBFE7A9-7A1A-445D-B0F7-DE4A497E9CD8}"/>
    <hyperlink ref="B11" r:id="rId3" xr:uid="{86E6B863-DC8B-DE47-AA19-8DA09CFFF340}"/>
    <hyperlink ref="B12" r:id="rId4" xr:uid="{FA799CB9-0791-EC45-9B10-D1736118D91D}"/>
  </hyperlinks>
  <pageMargins left="0.7" right="0.7" top="0.75" bottom="0.75" header="0.3" footer="0.3"/>
  <pageSetup paperSize="9" orientation="portrait" verticalDpi="1200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530F-EAA1-D446-89B7-FE3F0B149E73}">
  <dimension ref="A1:T16"/>
  <sheetViews>
    <sheetView zoomScale="91" zoomScaleNormal="110" workbookViewId="0">
      <selection activeCell="N27" sqref="N27"/>
    </sheetView>
  </sheetViews>
  <sheetFormatPr defaultColWidth="19.140625" defaultRowHeight="15"/>
  <cols>
    <col min="1" max="3" width="17.85546875" style="20" customWidth="1"/>
    <col min="4" max="4" width="31.42578125" style="20" customWidth="1"/>
    <col min="5" max="5" width="15.7109375" style="20" customWidth="1"/>
    <col min="6" max="6" width="15.7109375" style="20" hidden="1" customWidth="1"/>
    <col min="7" max="8" width="15.7109375" style="20" customWidth="1"/>
    <col min="9" max="9" width="20.140625" style="20" customWidth="1"/>
    <col min="10" max="10" width="21.7109375" style="20" hidden="1" customWidth="1"/>
    <col min="11" max="11" width="21.7109375" style="20" customWidth="1"/>
    <col min="12" max="17" width="21" style="21" customWidth="1"/>
    <col min="18" max="19" width="21" style="20" customWidth="1"/>
    <col min="20" max="20" width="22.140625" style="20" customWidth="1"/>
    <col min="21" max="16384" width="19.140625" style="4"/>
  </cols>
  <sheetData>
    <row r="1" spans="1:20">
      <c r="D1" s="69"/>
    </row>
    <row r="2" spans="1:20" ht="15.75">
      <c r="C2" s="134" t="s">
        <v>176</v>
      </c>
      <c r="D2" s="116" t="s">
        <v>582</v>
      </c>
      <c r="L2" s="20"/>
      <c r="M2" s="20"/>
      <c r="N2" s="20"/>
      <c r="O2" s="20"/>
      <c r="P2" s="20"/>
      <c r="Q2" s="20"/>
      <c r="T2" s="4"/>
    </row>
    <row r="3" spans="1:20" ht="15.75">
      <c r="C3" s="134" t="s">
        <v>177</v>
      </c>
      <c r="D3" s="116" t="s">
        <v>183</v>
      </c>
      <c r="L3" s="20"/>
      <c r="M3" s="20"/>
      <c r="N3" s="20"/>
      <c r="O3" s="20"/>
      <c r="P3" s="20"/>
      <c r="Q3" s="20"/>
      <c r="T3" s="4"/>
    </row>
    <row r="4" spans="1:20" ht="15.75">
      <c r="C4" s="134" t="s">
        <v>179</v>
      </c>
      <c r="D4" s="52" t="s">
        <v>575</v>
      </c>
      <c r="L4" s="20"/>
      <c r="M4" s="20"/>
      <c r="N4" s="20"/>
      <c r="O4" s="20"/>
      <c r="P4" s="20"/>
      <c r="Q4" s="20"/>
      <c r="T4" s="4"/>
    </row>
    <row r="5" spans="1:20">
      <c r="C5" s="135"/>
      <c r="D5" s="136"/>
      <c r="F5" s="137"/>
      <c r="G5" s="137"/>
    </row>
    <row r="8" spans="1:20" s="49" customFormat="1" ht="65.45" customHeight="1">
      <c r="A8" s="44" t="s">
        <v>180</v>
      </c>
      <c r="B8" s="44" t="s">
        <v>171</v>
      </c>
      <c r="C8" s="44" t="s">
        <v>161</v>
      </c>
      <c r="D8" s="44" t="s">
        <v>172</v>
      </c>
      <c r="E8" s="44" t="s">
        <v>478</v>
      </c>
      <c r="F8" s="44" t="s">
        <v>162</v>
      </c>
      <c r="G8" s="44" t="s">
        <v>578</v>
      </c>
      <c r="H8" s="44" t="s">
        <v>168</v>
      </c>
      <c r="I8" s="44" t="s">
        <v>173</v>
      </c>
      <c r="J8" s="44" t="s">
        <v>158</v>
      </c>
      <c r="K8" s="44" t="s">
        <v>167</v>
      </c>
      <c r="L8" s="45" t="s">
        <v>185</v>
      </c>
      <c r="M8" s="45" t="s">
        <v>236</v>
      </c>
      <c r="N8" s="45" t="s">
        <v>418</v>
      </c>
      <c r="O8" s="45" t="s">
        <v>237</v>
      </c>
      <c r="P8" s="118" t="s">
        <v>479</v>
      </c>
      <c r="Q8" s="118" t="s">
        <v>480</v>
      </c>
      <c r="R8" s="46" t="s">
        <v>169</v>
      </c>
      <c r="S8" s="46" t="s">
        <v>227</v>
      </c>
      <c r="T8" s="47" t="s">
        <v>181</v>
      </c>
    </row>
    <row r="9" spans="1:20" s="5" customFormat="1">
      <c r="A9" s="18" t="s">
        <v>393</v>
      </c>
      <c r="B9" s="48" t="s">
        <v>187</v>
      </c>
      <c r="C9" s="18" t="s">
        <v>437</v>
      </c>
      <c r="D9" s="18" t="s">
        <v>481</v>
      </c>
      <c r="E9" s="18">
        <v>7</v>
      </c>
      <c r="F9" s="16">
        <v>1</v>
      </c>
      <c r="G9" s="16">
        <v>2</v>
      </c>
      <c r="H9" s="16">
        <v>2</v>
      </c>
      <c r="I9" s="18" t="s">
        <v>442</v>
      </c>
      <c r="J9" s="16" t="s">
        <v>258</v>
      </c>
      <c r="K9" s="16" t="s">
        <v>463</v>
      </c>
      <c r="L9" s="29">
        <f>4850000*E9</f>
        <v>33950000</v>
      </c>
      <c r="M9" s="29">
        <f>L9*(1-15%)</f>
        <v>28857500</v>
      </c>
      <c r="N9" s="29">
        <f>(1000000*E9)*G9</f>
        <v>14000000</v>
      </c>
      <c r="O9" s="37">
        <f>M9/140</f>
        <v>206125</v>
      </c>
      <c r="P9" s="29">
        <f>M9</f>
        <v>28857500</v>
      </c>
      <c r="Q9" s="29">
        <f>M9</f>
        <v>28857500</v>
      </c>
      <c r="R9" s="70">
        <f>P9+Q9+N9</f>
        <v>71715000</v>
      </c>
      <c r="S9" s="37">
        <f>R9/140</f>
        <v>512250</v>
      </c>
      <c r="T9" s="13" t="s">
        <v>182</v>
      </c>
    </row>
    <row r="10" spans="1:20" s="5" customFormat="1">
      <c r="A10" s="18" t="s">
        <v>393</v>
      </c>
      <c r="B10" s="48" t="s">
        <v>187</v>
      </c>
      <c r="C10" s="18" t="s">
        <v>438</v>
      </c>
      <c r="D10" s="18" t="s">
        <v>483</v>
      </c>
      <c r="E10" s="18">
        <v>7</v>
      </c>
      <c r="F10" s="16">
        <v>1</v>
      </c>
      <c r="G10" s="16">
        <v>2</v>
      </c>
      <c r="H10" s="16">
        <v>2</v>
      </c>
      <c r="I10" s="18" t="s">
        <v>442</v>
      </c>
      <c r="J10" s="16" t="s">
        <v>258</v>
      </c>
      <c r="K10" s="16" t="s">
        <v>464</v>
      </c>
      <c r="L10" s="29">
        <f>4850000*E10</f>
        <v>33950000</v>
      </c>
      <c r="M10" s="29">
        <f t="shared" ref="M10:M12" si="0">L10*(1-15%)</f>
        <v>28857500</v>
      </c>
      <c r="N10" s="29">
        <f t="shared" ref="N10:N13" si="1">(1000000*E10)*G10</f>
        <v>14000000</v>
      </c>
      <c r="O10" s="37">
        <f t="shared" ref="O10:O13" si="2">M10/140</f>
        <v>206125</v>
      </c>
      <c r="P10" s="29">
        <f t="shared" ref="P10:P13" si="3">M10</f>
        <v>28857500</v>
      </c>
      <c r="Q10" s="29">
        <f t="shared" ref="Q10:Q13" si="4">M10</f>
        <v>28857500</v>
      </c>
      <c r="R10" s="70">
        <f t="shared" ref="R10:R13" si="5">P10+Q10+N10</f>
        <v>71715000</v>
      </c>
      <c r="S10" s="37">
        <f t="shared" ref="S10:S13" si="6">R10/140</f>
        <v>512250</v>
      </c>
      <c r="T10" s="13" t="s">
        <v>182</v>
      </c>
    </row>
    <row r="11" spans="1:20" s="5" customFormat="1">
      <c r="A11" s="18" t="s">
        <v>393</v>
      </c>
      <c r="B11" s="48" t="s">
        <v>187</v>
      </c>
      <c r="C11" s="18" t="s">
        <v>439</v>
      </c>
      <c r="D11" s="18" t="s">
        <v>484</v>
      </c>
      <c r="E11" s="18">
        <v>7</v>
      </c>
      <c r="F11" s="16">
        <v>1</v>
      </c>
      <c r="G11" s="16">
        <v>2</v>
      </c>
      <c r="H11" s="16">
        <v>2</v>
      </c>
      <c r="I11" s="18" t="s">
        <v>442</v>
      </c>
      <c r="J11" s="16" t="s">
        <v>258</v>
      </c>
      <c r="K11" s="16" t="s">
        <v>465</v>
      </c>
      <c r="L11" s="29">
        <f>4850000*E11</f>
        <v>33950000</v>
      </c>
      <c r="M11" s="29">
        <f t="shared" si="0"/>
        <v>28857500</v>
      </c>
      <c r="N11" s="29">
        <f t="shared" si="1"/>
        <v>14000000</v>
      </c>
      <c r="O11" s="37">
        <f t="shared" si="2"/>
        <v>206125</v>
      </c>
      <c r="P11" s="29">
        <f t="shared" si="3"/>
        <v>28857500</v>
      </c>
      <c r="Q11" s="29">
        <f t="shared" si="4"/>
        <v>28857500</v>
      </c>
      <c r="R11" s="70">
        <f t="shared" si="5"/>
        <v>71715000</v>
      </c>
      <c r="S11" s="37">
        <f t="shared" si="6"/>
        <v>512250</v>
      </c>
      <c r="T11" s="13" t="s">
        <v>182</v>
      </c>
    </row>
    <row r="12" spans="1:20" s="5" customFormat="1">
      <c r="A12" s="18" t="s">
        <v>393</v>
      </c>
      <c r="B12" s="48" t="s">
        <v>187</v>
      </c>
      <c r="C12" s="18" t="s">
        <v>440</v>
      </c>
      <c r="D12" s="18" t="s">
        <v>482</v>
      </c>
      <c r="E12" s="18">
        <v>7</v>
      </c>
      <c r="F12" s="16">
        <v>1</v>
      </c>
      <c r="G12" s="16">
        <v>2</v>
      </c>
      <c r="H12" s="16">
        <v>2</v>
      </c>
      <c r="I12" s="18" t="s">
        <v>442</v>
      </c>
      <c r="J12" s="16" t="s">
        <v>258</v>
      </c>
      <c r="K12" s="16" t="s">
        <v>466</v>
      </c>
      <c r="L12" s="29">
        <f>4850000*E12</f>
        <v>33950000</v>
      </c>
      <c r="M12" s="29">
        <f t="shared" si="0"/>
        <v>28857500</v>
      </c>
      <c r="N12" s="29">
        <f t="shared" si="1"/>
        <v>14000000</v>
      </c>
      <c r="O12" s="37">
        <f t="shared" si="2"/>
        <v>206125</v>
      </c>
      <c r="P12" s="29">
        <f t="shared" si="3"/>
        <v>28857500</v>
      </c>
      <c r="Q12" s="29">
        <f t="shared" si="4"/>
        <v>28857500</v>
      </c>
      <c r="R12" s="70">
        <f t="shared" si="5"/>
        <v>71715000</v>
      </c>
      <c r="S12" s="37">
        <f t="shared" si="6"/>
        <v>512250</v>
      </c>
      <c r="T12" s="13" t="s">
        <v>182</v>
      </c>
    </row>
    <row r="13" spans="1:20" s="5" customFormat="1">
      <c r="A13" s="18" t="s">
        <v>393</v>
      </c>
      <c r="B13" s="48" t="s">
        <v>187</v>
      </c>
      <c r="C13" s="18" t="s">
        <v>441</v>
      </c>
      <c r="D13" s="18" t="s">
        <v>485</v>
      </c>
      <c r="E13" s="18">
        <v>7</v>
      </c>
      <c r="F13" s="16">
        <v>1</v>
      </c>
      <c r="G13" s="16">
        <v>2</v>
      </c>
      <c r="H13" s="16">
        <v>2</v>
      </c>
      <c r="I13" s="18" t="s">
        <v>442</v>
      </c>
      <c r="J13" s="16" t="s">
        <v>258</v>
      </c>
      <c r="K13" s="16" t="s">
        <v>464</v>
      </c>
      <c r="L13" s="29">
        <f>4850000*E13</f>
        <v>33950000</v>
      </c>
      <c r="M13" s="29">
        <f>L13*(1-15%)</f>
        <v>28857500</v>
      </c>
      <c r="N13" s="29">
        <f t="shared" si="1"/>
        <v>14000000</v>
      </c>
      <c r="O13" s="37">
        <f t="shared" si="2"/>
        <v>206125</v>
      </c>
      <c r="P13" s="29">
        <f t="shared" si="3"/>
        <v>28857500</v>
      </c>
      <c r="Q13" s="29">
        <f t="shared" si="4"/>
        <v>28857500</v>
      </c>
      <c r="R13" s="70">
        <f t="shared" si="5"/>
        <v>71715000</v>
      </c>
      <c r="S13" s="37">
        <f t="shared" si="6"/>
        <v>512250</v>
      </c>
      <c r="T13" s="13" t="s">
        <v>182</v>
      </c>
    </row>
    <row r="14" spans="1:20" s="5" customFormat="1" ht="15" customHeight="1">
      <c r="A14" s="30"/>
      <c r="B14" s="31"/>
      <c r="C14" s="32"/>
      <c r="D14" s="33"/>
      <c r="E14" s="34"/>
      <c r="F14" s="34"/>
      <c r="G14" s="34"/>
      <c r="H14" s="34"/>
      <c r="I14" s="34"/>
      <c r="J14" s="34"/>
      <c r="K14" s="34"/>
      <c r="L14" s="34">
        <f t="shared" ref="L14:S14" si="7">SUM(L9:L13)</f>
        <v>169750000</v>
      </c>
      <c r="M14" s="34">
        <f t="shared" si="7"/>
        <v>144287500</v>
      </c>
      <c r="N14" s="34">
        <f>SUM(N9:N13)</f>
        <v>70000000</v>
      </c>
      <c r="O14" s="152">
        <f t="shared" si="7"/>
        <v>1030625</v>
      </c>
      <c r="P14" s="34">
        <f>SUM(P9:P13)</f>
        <v>144287500</v>
      </c>
      <c r="Q14" s="34">
        <f>SUM(Q9:Q13)</f>
        <v>144287500</v>
      </c>
      <c r="R14" s="34">
        <f>SUM(R9:R13)</f>
        <v>358575000</v>
      </c>
      <c r="S14" s="62">
        <f t="shared" si="7"/>
        <v>2561250</v>
      </c>
      <c r="T14" s="35"/>
    </row>
    <row r="15" spans="1:20" s="5" customFormat="1" ht="1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21"/>
      <c r="N15" s="21"/>
      <c r="O15" s="21"/>
      <c r="P15" s="21"/>
      <c r="Q15" s="21"/>
      <c r="R15" s="20"/>
      <c r="S15" s="20"/>
      <c r="T15" s="20"/>
    </row>
    <row r="16" spans="1:20" ht="15" customHeight="1"/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H9:H13" name="Диапазон1_4_3"/>
    <protectedRange algorithmName="SHA-512" hashValue="20tZejZtY/ZGRcGLZm0ZbWfCu51ejQGMqdRYwv0b9rb/5Q/ejFDHQOXySZDQbnMuPhvZC4Bfbq/BWdBxp9Ls4w==" saltValue="Q+V8rXhHsE4u/j5xUQJeAg==" spinCount="100000" sqref="J9:K13" name="Диапазон1_1_5"/>
    <protectedRange algorithmName="SHA-512" hashValue="20tZejZtY/ZGRcGLZm0ZbWfCu51ejQGMqdRYwv0b9rb/5Q/ejFDHQOXySZDQbnMuPhvZC4Bfbq/BWdBxp9Ls4w==" saltValue="Q+V8rXhHsE4u/j5xUQJeAg==" spinCount="100000" sqref="F9:G13" name="Диапазон1_5_7"/>
    <protectedRange algorithmName="SHA-512" hashValue="20tZejZtY/ZGRcGLZm0ZbWfCu51ejQGMqdRYwv0b9rb/5Q/ejFDHQOXySZDQbnMuPhvZC4Bfbq/BWdBxp9Ls4w==" saltValue="Q+V8rXhHsE4u/j5xUQJeAg==" spinCount="100000" sqref="B9:B13" name="Диапазон1_9_1_3"/>
  </protectedRanges>
  <autoFilter ref="A8:T14" xr:uid="{BE85CF9D-56C6-49A4-9D20-1C978740FDBB}"/>
  <conditionalFormatting sqref="T2:T4">
    <cfRule type="duplicateValues" dxfId="0" priority="1"/>
  </conditionalFormatting>
  <hyperlinks>
    <hyperlink ref="B9" r:id="rId1" xr:uid="{9FA4258B-DCF6-BF4E-8A34-F2DAD237AD8B}"/>
    <hyperlink ref="B10:B13" r:id="rId2" display="Фото" xr:uid="{6653E2A0-646F-6943-82E0-BF937956C033}"/>
  </hyperlinks>
  <pageMargins left="0.7" right="0.7" top="0.75" bottom="0.75" header="0.3" footer="0.3"/>
  <pageSetup paperSize="9" orientation="portrait" verticalDpi="120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8E90-30A1-9E41-9485-0D7A8C9DED17}">
  <dimension ref="A1:X17"/>
  <sheetViews>
    <sheetView topLeftCell="I1" zoomScale="88" zoomScaleNormal="100" workbookViewId="0">
      <selection activeCell="N21" sqref="N21"/>
    </sheetView>
  </sheetViews>
  <sheetFormatPr defaultColWidth="19.140625" defaultRowHeight="15"/>
  <cols>
    <col min="1" max="1" width="15.7109375" style="20" customWidth="1"/>
    <col min="2" max="2" width="20.28515625" style="20" customWidth="1"/>
    <col min="3" max="3" width="25.42578125" style="20" customWidth="1"/>
    <col min="4" max="4" width="52.42578125" style="20" customWidth="1"/>
    <col min="5" max="5" width="18.85546875" style="20" customWidth="1"/>
    <col min="6" max="6" width="22" style="20" customWidth="1"/>
    <col min="7" max="9" width="21.85546875" style="20" customWidth="1"/>
    <col min="10" max="11" width="21.28515625" style="20" customWidth="1"/>
    <col min="12" max="18" width="25.7109375" style="20" customWidth="1"/>
    <col min="19" max="16384" width="19.140625" style="4"/>
  </cols>
  <sheetData>
    <row r="1" spans="1:24">
      <c r="D1" s="69"/>
    </row>
    <row r="2" spans="1:24" ht="20.100000000000001" customHeight="1">
      <c r="C2" s="101"/>
      <c r="D2" s="98"/>
      <c r="F2" s="89"/>
    </row>
    <row r="3" spans="1:24" ht="20.100000000000001" customHeight="1">
      <c r="C3" s="101"/>
      <c r="D3" s="99"/>
      <c r="F3" s="89"/>
    </row>
    <row r="4" spans="1:24" ht="20.100000000000001" customHeight="1">
      <c r="C4" s="101"/>
      <c r="D4" s="99"/>
      <c r="F4" s="89"/>
    </row>
    <row r="5" spans="1:24" ht="20.100000000000001" customHeight="1">
      <c r="C5" s="101"/>
      <c r="D5" s="100"/>
      <c r="F5" s="90"/>
    </row>
    <row r="8" spans="1:24" s="49" customFormat="1" ht="120.95" customHeight="1">
      <c r="A8" s="44" t="s">
        <v>414</v>
      </c>
      <c r="B8" s="44" t="s">
        <v>171</v>
      </c>
      <c r="C8" s="44" t="s">
        <v>161</v>
      </c>
      <c r="D8" s="44" t="s">
        <v>172</v>
      </c>
      <c r="E8" s="44" t="s">
        <v>174</v>
      </c>
      <c r="F8" s="44" t="s">
        <v>162</v>
      </c>
      <c r="G8" s="44" t="s">
        <v>168</v>
      </c>
      <c r="H8" s="71" t="s">
        <v>577</v>
      </c>
      <c r="I8" s="71" t="s">
        <v>173</v>
      </c>
      <c r="J8" s="44" t="s">
        <v>163</v>
      </c>
      <c r="K8" s="44" t="s">
        <v>167</v>
      </c>
      <c r="L8" s="45" t="s">
        <v>415</v>
      </c>
      <c r="M8" s="45" t="s">
        <v>467</v>
      </c>
      <c r="N8" s="45" t="s">
        <v>418</v>
      </c>
      <c r="O8" s="118" t="s">
        <v>479</v>
      </c>
      <c r="P8" s="118" t="s">
        <v>480</v>
      </c>
      <c r="Q8" s="78" t="s">
        <v>169</v>
      </c>
      <c r="R8" s="78" t="s">
        <v>227</v>
      </c>
    </row>
    <row r="9" spans="1:24" s="67" customFormat="1" ht="33.950000000000003" customHeight="1">
      <c r="A9" s="102" t="s">
        <v>432</v>
      </c>
      <c r="B9" s="249" t="s">
        <v>187</v>
      </c>
      <c r="C9" s="113" t="s">
        <v>166</v>
      </c>
      <c r="D9" s="111" t="s">
        <v>434</v>
      </c>
      <c r="E9" s="43" t="s">
        <v>430</v>
      </c>
      <c r="F9" s="43">
        <v>180</v>
      </c>
      <c r="G9" s="43">
        <v>2</v>
      </c>
      <c r="H9" s="43">
        <v>2</v>
      </c>
      <c r="I9" s="43" t="s">
        <v>436</v>
      </c>
      <c r="J9" s="43" t="s">
        <v>431</v>
      </c>
      <c r="K9" s="16" t="s">
        <v>435</v>
      </c>
      <c r="L9" s="91">
        <f>110000*F9</f>
        <v>19800000</v>
      </c>
      <c r="M9" s="37">
        <f>L9/140</f>
        <v>141428.57142857142</v>
      </c>
      <c r="N9" s="91">
        <f>9000000*H9</f>
        <v>18000000</v>
      </c>
      <c r="O9" s="91">
        <f>L9</f>
        <v>19800000</v>
      </c>
      <c r="P9" s="91">
        <f>L9</f>
        <v>19800000</v>
      </c>
      <c r="Q9" s="91">
        <f>L9*G9+N9</f>
        <v>57600000</v>
      </c>
      <c r="R9" s="37">
        <f t="shared" ref="R9:R10" si="0">Q9/140</f>
        <v>411428.57142857142</v>
      </c>
      <c r="S9" s="92"/>
      <c r="T9" s="93"/>
      <c r="U9" s="93"/>
      <c r="V9" s="93"/>
      <c r="W9" s="93"/>
      <c r="X9" s="93"/>
    </row>
    <row r="10" spans="1:24" s="67" customFormat="1" ht="35.1" customHeight="1">
      <c r="A10" s="102" t="s">
        <v>433</v>
      </c>
      <c r="B10" s="250"/>
      <c r="C10" s="113" t="s">
        <v>166</v>
      </c>
      <c r="D10" s="111" t="s">
        <v>434</v>
      </c>
      <c r="E10" s="43" t="s">
        <v>430</v>
      </c>
      <c r="F10" s="43">
        <v>180</v>
      </c>
      <c r="G10" s="43">
        <v>2</v>
      </c>
      <c r="H10" s="43">
        <v>2</v>
      </c>
      <c r="I10" s="43" t="s">
        <v>436</v>
      </c>
      <c r="J10" s="43" t="s">
        <v>431</v>
      </c>
      <c r="K10" s="16" t="s">
        <v>435</v>
      </c>
      <c r="L10" s="91">
        <f>110000*F10</f>
        <v>19800000</v>
      </c>
      <c r="M10" s="37">
        <f t="shared" ref="M10" si="1">L10/140</f>
        <v>141428.57142857142</v>
      </c>
      <c r="N10" s="91">
        <f>9000000*H10</f>
        <v>18000000</v>
      </c>
      <c r="O10" s="91">
        <f>L10</f>
        <v>19800000</v>
      </c>
      <c r="P10" s="91">
        <f>L10</f>
        <v>19800000</v>
      </c>
      <c r="Q10" s="91">
        <f>L10*G10+N10</f>
        <v>57600000</v>
      </c>
      <c r="R10" s="37">
        <f t="shared" si="0"/>
        <v>411428.57142857142</v>
      </c>
      <c r="S10" s="92"/>
      <c r="T10" s="93"/>
      <c r="U10" s="93"/>
      <c r="V10" s="93"/>
      <c r="W10" s="93"/>
      <c r="X10" s="93"/>
    </row>
    <row r="11" spans="1:24" ht="15" customHeight="1">
      <c r="A11" s="30" t="s">
        <v>416</v>
      </c>
      <c r="B11" s="31"/>
      <c r="C11" s="32"/>
      <c r="D11" s="33"/>
      <c r="E11" s="34"/>
      <c r="F11" s="34"/>
      <c r="G11" s="34"/>
      <c r="H11" s="34"/>
      <c r="I11" s="34"/>
      <c r="J11" s="34"/>
      <c r="K11" s="34"/>
      <c r="L11" s="112">
        <f t="shared" ref="L11:R11" si="2">SUM(L9:L10)</f>
        <v>39600000</v>
      </c>
      <c r="M11" s="153">
        <f t="shared" si="2"/>
        <v>282857.14285714284</v>
      </c>
      <c r="N11" s="112">
        <f>SUM(N9:N10)</f>
        <v>36000000</v>
      </c>
      <c r="O11" s="112">
        <f t="shared" si="2"/>
        <v>39600000</v>
      </c>
      <c r="P11" s="112">
        <f t="shared" si="2"/>
        <v>39600000</v>
      </c>
      <c r="Q11" s="112">
        <f>SUM(Q9:Q10)</f>
        <v>115200000</v>
      </c>
      <c r="R11" s="153">
        <f t="shared" si="2"/>
        <v>822857.14285714284</v>
      </c>
    </row>
    <row r="13" spans="1:24" ht="15.75" thickBot="1"/>
    <row r="14" spans="1:24" ht="26.1" customHeight="1">
      <c r="J14" s="22"/>
      <c r="K14" s="22"/>
      <c r="O14" s="154"/>
      <c r="P14" s="94" t="s">
        <v>170</v>
      </c>
      <c r="Q14" s="103">
        <f>Q11</f>
        <v>115200000</v>
      </c>
      <c r="R14" s="106"/>
    </row>
    <row r="15" spans="1:24" ht="24.95" customHeight="1">
      <c r="J15" s="95"/>
      <c r="K15" s="95"/>
      <c r="O15" s="155"/>
      <c r="P15" s="96" t="s">
        <v>262</v>
      </c>
      <c r="Q15" s="104">
        <f>Q14*5%</f>
        <v>5760000</v>
      </c>
      <c r="R15" s="107"/>
    </row>
    <row r="16" spans="1:24" ht="27.95" customHeight="1" thickBot="1">
      <c r="J16" s="22"/>
      <c r="K16" s="22"/>
      <c r="O16" s="156"/>
      <c r="P16" s="97" t="s">
        <v>417</v>
      </c>
      <c r="Q16" s="105">
        <f>(Q14+Q15)*1.12</f>
        <v>135475200</v>
      </c>
      <c r="R16" s="108"/>
    </row>
    <row r="17" spans="12:18" ht="24.95" customHeight="1">
      <c r="L17" s="4"/>
      <c r="M17" s="4"/>
      <c r="N17" s="4"/>
      <c r="O17" s="4"/>
      <c r="P17" s="4"/>
      <c r="Q17" s="4"/>
      <c r="R17" s="4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K9:K10" name="Диапазон1"/>
    <protectedRange algorithmName="SHA-512" hashValue="20tZejZtY/ZGRcGLZm0ZbWfCu51ejQGMqdRYwv0b9rb/5Q/ejFDHQOXySZDQbnMuPhvZC4Bfbq/BWdBxp9Ls4w==" saltValue="Q+V8rXhHsE4u/j5xUQJeAg==" spinCount="100000" sqref="L9:R10" name="Диапазон1_4"/>
    <protectedRange algorithmName="SHA-512" hashValue="20tZejZtY/ZGRcGLZm0ZbWfCu51ejQGMqdRYwv0b9rb/5Q/ejFDHQOXySZDQbnMuPhvZC4Bfbq/BWdBxp9Ls4w==" saltValue="Q+V8rXhHsE4u/j5xUQJeAg==" spinCount="100000" sqref="C9:C10" name="Диапазон1_2_3"/>
  </protectedRanges>
  <autoFilter ref="A8:L8" xr:uid="{BE85CF9D-56C6-49A4-9D20-1C978740FDBB}"/>
  <mergeCells count="1">
    <mergeCell ref="B9:B10"/>
  </mergeCells>
  <phoneticPr fontId="12" type="noConversion"/>
  <hyperlinks>
    <hyperlink ref="B9" r:id="rId1" xr:uid="{DBCDD847-7110-7B45-A27E-249D3028DC8F}"/>
  </hyperlinks>
  <pageMargins left="0.7" right="0.7" top="0.75" bottom="0.75" header="0.3" footer="0.3"/>
  <pageSetup paperSize="9" orientation="portrait" verticalDpi="12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4"/>
  <sheetViews>
    <sheetView zoomScale="80" zoomScaleNormal="80" workbookViewId="0">
      <selection activeCell="A2" sqref="A2:C154"/>
    </sheetView>
  </sheetViews>
  <sheetFormatPr defaultColWidth="8.85546875" defaultRowHeight="15"/>
  <cols>
    <col min="1" max="1" width="11.42578125" customWidth="1"/>
    <col min="2" max="2" width="33.42578125" customWidth="1"/>
    <col min="3" max="3" width="16.42578125" bestFit="1" customWidth="1"/>
  </cols>
  <sheetData>
    <row r="1" spans="1:3">
      <c r="A1" s="1" t="s">
        <v>11</v>
      </c>
      <c r="B1" s="1" t="s">
        <v>0</v>
      </c>
      <c r="C1" s="1" t="s">
        <v>12</v>
      </c>
    </row>
    <row r="2" spans="1:3">
      <c r="A2" s="2" t="s">
        <v>1</v>
      </c>
      <c r="B2" s="2" t="s">
        <v>10</v>
      </c>
      <c r="C2" s="2" t="s">
        <v>9</v>
      </c>
    </row>
    <row r="3" spans="1:3">
      <c r="A3" s="2" t="s">
        <v>1</v>
      </c>
      <c r="B3" s="2" t="s">
        <v>13</v>
      </c>
      <c r="C3" s="2" t="s">
        <v>9</v>
      </c>
    </row>
    <row r="4" spans="1:3">
      <c r="A4" s="2" t="s">
        <v>1</v>
      </c>
      <c r="B4" s="2" t="s">
        <v>14</v>
      </c>
      <c r="C4" s="2" t="s">
        <v>9</v>
      </c>
    </row>
    <row r="5" spans="1:3">
      <c r="A5" s="2" t="s">
        <v>1</v>
      </c>
      <c r="B5" s="2" t="s">
        <v>15</v>
      </c>
      <c r="C5" s="2" t="s">
        <v>9</v>
      </c>
    </row>
    <row r="6" spans="1:3">
      <c r="A6" s="2" t="s">
        <v>1</v>
      </c>
      <c r="B6" s="2" t="s">
        <v>17</v>
      </c>
      <c r="C6" s="2" t="s">
        <v>9</v>
      </c>
    </row>
    <row r="7" spans="1:3">
      <c r="A7" s="2" t="s">
        <v>1</v>
      </c>
      <c r="B7" s="2" t="s">
        <v>18</v>
      </c>
      <c r="C7" s="2" t="s">
        <v>9</v>
      </c>
    </row>
    <row r="8" spans="1:3">
      <c r="A8" s="2" t="s">
        <v>1</v>
      </c>
      <c r="B8" s="2" t="s">
        <v>19</v>
      </c>
      <c r="C8" s="2" t="s">
        <v>9</v>
      </c>
    </row>
    <row r="9" spans="1:3">
      <c r="A9" s="2" t="s">
        <v>1</v>
      </c>
      <c r="B9" s="2" t="s">
        <v>20</v>
      </c>
      <c r="C9" s="2" t="s">
        <v>9</v>
      </c>
    </row>
    <row r="10" spans="1:3">
      <c r="A10" s="2" t="s">
        <v>1</v>
      </c>
      <c r="B10" s="2" t="s">
        <v>21</v>
      </c>
      <c r="C10" s="2" t="s">
        <v>9</v>
      </c>
    </row>
    <row r="11" spans="1:3">
      <c r="A11" s="2" t="s">
        <v>1</v>
      </c>
      <c r="B11" s="2" t="s">
        <v>22</v>
      </c>
      <c r="C11" s="2" t="s">
        <v>9</v>
      </c>
    </row>
    <row r="12" spans="1:3">
      <c r="A12" s="2" t="s">
        <v>1</v>
      </c>
      <c r="B12" s="2" t="s">
        <v>23</v>
      </c>
      <c r="C12" s="2" t="s">
        <v>9</v>
      </c>
    </row>
    <row r="13" spans="1:3">
      <c r="A13" s="2" t="s">
        <v>1</v>
      </c>
      <c r="B13" s="2" t="s">
        <v>24</v>
      </c>
      <c r="C13" s="2" t="s">
        <v>9</v>
      </c>
    </row>
    <row r="14" spans="1:3">
      <c r="A14" s="2" t="s">
        <v>1</v>
      </c>
      <c r="B14" s="2" t="s">
        <v>25</v>
      </c>
      <c r="C14" s="2" t="s">
        <v>9</v>
      </c>
    </row>
    <row r="15" spans="1:3">
      <c r="A15" s="2" t="s">
        <v>1</v>
      </c>
      <c r="B15" s="2" t="s">
        <v>26</v>
      </c>
      <c r="C15" s="2" t="s">
        <v>9</v>
      </c>
    </row>
    <row r="16" spans="1:3">
      <c r="A16" s="2" t="s">
        <v>1</v>
      </c>
      <c r="B16" s="2" t="s">
        <v>27</v>
      </c>
      <c r="C16" s="2" t="s">
        <v>9</v>
      </c>
    </row>
    <row r="17" spans="1:3">
      <c r="A17" s="2" t="s">
        <v>1</v>
      </c>
      <c r="B17" s="2" t="s">
        <v>28</v>
      </c>
      <c r="C17" s="2" t="s">
        <v>9</v>
      </c>
    </row>
    <row r="18" spans="1:3">
      <c r="A18" s="2" t="s">
        <v>1</v>
      </c>
      <c r="B18" s="2" t="s">
        <v>29</v>
      </c>
      <c r="C18" s="2" t="s">
        <v>9</v>
      </c>
    </row>
    <row r="19" spans="1:3">
      <c r="A19" s="2" t="s">
        <v>1</v>
      </c>
      <c r="B19" s="2" t="s">
        <v>30</v>
      </c>
      <c r="C19" s="2" t="s">
        <v>9</v>
      </c>
    </row>
    <row r="20" spans="1:3">
      <c r="A20" s="2" t="s">
        <v>1</v>
      </c>
      <c r="B20" s="2" t="s">
        <v>31</v>
      </c>
      <c r="C20" s="2" t="s">
        <v>9</v>
      </c>
    </row>
    <row r="21" spans="1:3">
      <c r="A21" s="2" t="s">
        <v>1</v>
      </c>
      <c r="B21" s="2" t="s">
        <v>32</v>
      </c>
      <c r="C21" s="2" t="s">
        <v>9</v>
      </c>
    </row>
    <row r="22" spans="1:3">
      <c r="A22" s="2" t="s">
        <v>1</v>
      </c>
      <c r="B22" s="2" t="s">
        <v>69</v>
      </c>
      <c r="C22" s="2" t="s">
        <v>94</v>
      </c>
    </row>
    <row r="23" spans="1:3">
      <c r="A23" s="2" t="s">
        <v>1</v>
      </c>
      <c r="B23" s="2" t="s">
        <v>95</v>
      </c>
      <c r="C23" s="2" t="s">
        <v>94</v>
      </c>
    </row>
    <row r="24" spans="1:3">
      <c r="A24" s="2" t="s">
        <v>1</v>
      </c>
      <c r="B24" s="2" t="s">
        <v>151</v>
      </c>
      <c r="C24" s="2" t="s">
        <v>94</v>
      </c>
    </row>
    <row r="25" spans="1:3">
      <c r="A25" s="2" t="s">
        <v>1</v>
      </c>
      <c r="B25" s="2" t="s">
        <v>96</v>
      </c>
      <c r="C25" s="2" t="s">
        <v>94</v>
      </c>
    </row>
    <row r="26" spans="1:3">
      <c r="A26" s="2" t="s">
        <v>1</v>
      </c>
      <c r="B26" s="2" t="s">
        <v>98</v>
      </c>
      <c r="C26" s="2" t="s">
        <v>94</v>
      </c>
    </row>
    <row r="27" spans="1:3">
      <c r="A27" s="2" t="s">
        <v>1</v>
      </c>
      <c r="B27" s="2" t="s">
        <v>99</v>
      </c>
      <c r="C27" s="2" t="s">
        <v>94</v>
      </c>
    </row>
    <row r="28" spans="1:3">
      <c r="A28" s="2" t="s">
        <v>1</v>
      </c>
      <c r="B28" s="2" t="s">
        <v>100</v>
      </c>
      <c r="C28" s="2" t="s">
        <v>94</v>
      </c>
    </row>
    <row r="29" spans="1:3">
      <c r="A29" s="2" t="s">
        <v>1</v>
      </c>
      <c r="B29" s="2" t="s">
        <v>101</v>
      </c>
      <c r="C29" s="2" t="s">
        <v>94</v>
      </c>
    </row>
    <row r="30" spans="1:3">
      <c r="A30" s="2" t="s">
        <v>1</v>
      </c>
      <c r="B30" s="2" t="s">
        <v>102</v>
      </c>
      <c r="C30" s="2" t="s">
        <v>94</v>
      </c>
    </row>
    <row r="31" spans="1:3">
      <c r="A31" s="2" t="s">
        <v>1</v>
      </c>
      <c r="B31" s="2" t="s">
        <v>103</v>
      </c>
      <c r="C31" s="2" t="s">
        <v>94</v>
      </c>
    </row>
    <row r="32" spans="1:3">
      <c r="A32" s="2" t="s">
        <v>1</v>
      </c>
      <c r="B32" s="2" t="s">
        <v>149</v>
      </c>
      <c r="C32" s="2" t="s">
        <v>94</v>
      </c>
    </row>
    <row r="33" spans="1:3">
      <c r="A33" s="2" t="s">
        <v>1</v>
      </c>
      <c r="B33" s="2" t="s">
        <v>104</v>
      </c>
      <c r="C33" s="2" t="s">
        <v>94</v>
      </c>
    </row>
    <row r="34" spans="1:3">
      <c r="A34" s="2" t="s">
        <v>1</v>
      </c>
      <c r="B34" s="2" t="s">
        <v>105</v>
      </c>
      <c r="C34" s="2" t="s">
        <v>94</v>
      </c>
    </row>
    <row r="35" spans="1:3">
      <c r="A35" s="2" t="s">
        <v>1</v>
      </c>
      <c r="B35" s="2" t="s">
        <v>144</v>
      </c>
      <c r="C35" s="2" t="s">
        <v>94</v>
      </c>
    </row>
    <row r="36" spans="1:3">
      <c r="A36" s="2" t="s">
        <v>1</v>
      </c>
      <c r="B36" s="2" t="s">
        <v>106</v>
      </c>
      <c r="C36" s="2" t="s">
        <v>94</v>
      </c>
    </row>
    <row r="37" spans="1:3">
      <c r="A37" s="2" t="s">
        <v>1</v>
      </c>
      <c r="B37" s="2" t="s">
        <v>150</v>
      </c>
      <c r="C37" s="2" t="s">
        <v>94</v>
      </c>
    </row>
    <row r="38" spans="1:3">
      <c r="A38" s="2" t="s">
        <v>1</v>
      </c>
      <c r="B38" s="2" t="s">
        <v>108</v>
      </c>
      <c r="C38" s="2" t="s">
        <v>94</v>
      </c>
    </row>
    <row r="39" spans="1:3">
      <c r="A39" s="2" t="s">
        <v>1</v>
      </c>
      <c r="B39" s="2" t="s">
        <v>109</v>
      </c>
      <c r="C39" s="2" t="s">
        <v>94</v>
      </c>
    </row>
    <row r="40" spans="1:3">
      <c r="A40" s="2" t="s">
        <v>1</v>
      </c>
      <c r="B40" s="2" t="s">
        <v>83</v>
      </c>
      <c r="C40" s="2" t="s">
        <v>82</v>
      </c>
    </row>
    <row r="41" spans="1:3">
      <c r="A41" s="2" t="s">
        <v>1</v>
      </c>
      <c r="B41" s="2" t="s">
        <v>84</v>
      </c>
      <c r="C41" s="2" t="s">
        <v>82</v>
      </c>
    </row>
    <row r="42" spans="1:3">
      <c r="A42" s="2" t="s">
        <v>1</v>
      </c>
      <c r="B42" s="2" t="s">
        <v>85</v>
      </c>
      <c r="C42" s="2" t="s">
        <v>82</v>
      </c>
    </row>
    <row r="43" spans="1:3">
      <c r="A43" s="2" t="s">
        <v>1</v>
      </c>
      <c r="B43" s="2" t="s">
        <v>86</v>
      </c>
      <c r="C43" s="2" t="s">
        <v>82</v>
      </c>
    </row>
    <row r="44" spans="1:3">
      <c r="A44" s="2" t="s">
        <v>1</v>
      </c>
      <c r="B44" s="2" t="s">
        <v>87</v>
      </c>
      <c r="C44" s="2" t="s">
        <v>82</v>
      </c>
    </row>
    <row r="45" spans="1:3">
      <c r="A45" s="2" t="s">
        <v>1</v>
      </c>
      <c r="B45" s="2" t="s">
        <v>88</v>
      </c>
      <c r="C45" s="2" t="s">
        <v>82</v>
      </c>
    </row>
    <row r="46" spans="1:3">
      <c r="A46" s="2" t="s">
        <v>1</v>
      </c>
      <c r="B46" s="2" t="s">
        <v>89</v>
      </c>
      <c r="C46" s="2" t="s">
        <v>82</v>
      </c>
    </row>
    <row r="47" spans="1:3">
      <c r="A47" s="2" t="s">
        <v>1</v>
      </c>
      <c r="B47" s="2" t="s">
        <v>90</v>
      </c>
      <c r="C47" s="2" t="s">
        <v>82</v>
      </c>
    </row>
    <row r="48" spans="1:3">
      <c r="A48" s="2" t="s">
        <v>1</v>
      </c>
      <c r="B48" s="2" t="s">
        <v>91</v>
      </c>
      <c r="C48" s="2" t="s">
        <v>82</v>
      </c>
    </row>
    <row r="49" spans="1:3">
      <c r="A49" s="2" t="s">
        <v>1</v>
      </c>
      <c r="B49" s="2" t="s">
        <v>92</v>
      </c>
      <c r="C49" s="2" t="s">
        <v>82</v>
      </c>
    </row>
    <row r="50" spans="1:3">
      <c r="A50" s="2" t="s">
        <v>1</v>
      </c>
      <c r="B50" s="2" t="s">
        <v>93</v>
      </c>
      <c r="C50" s="2" t="s">
        <v>82</v>
      </c>
    </row>
    <row r="51" spans="1:3">
      <c r="A51" s="2" t="s">
        <v>1</v>
      </c>
      <c r="B51" s="2" t="s">
        <v>111</v>
      </c>
      <c r="C51" s="2" t="s">
        <v>110</v>
      </c>
    </row>
    <row r="52" spans="1:3">
      <c r="A52" s="2" t="s">
        <v>1</v>
      </c>
      <c r="B52" s="2" t="s">
        <v>112</v>
      </c>
      <c r="C52" s="2" t="s">
        <v>110</v>
      </c>
    </row>
    <row r="53" spans="1:3">
      <c r="A53" s="2" t="s">
        <v>1</v>
      </c>
      <c r="B53" s="2" t="s">
        <v>113</v>
      </c>
      <c r="C53" s="2" t="s">
        <v>110</v>
      </c>
    </row>
    <row r="54" spans="1:3">
      <c r="A54" s="2" t="s">
        <v>1</v>
      </c>
      <c r="B54" s="2" t="s">
        <v>114</v>
      </c>
      <c r="C54" s="2" t="s">
        <v>110</v>
      </c>
    </row>
    <row r="55" spans="1:3">
      <c r="A55" s="2" t="s">
        <v>1</v>
      </c>
      <c r="B55" s="2" t="s">
        <v>115</v>
      </c>
      <c r="C55" s="2" t="s">
        <v>110</v>
      </c>
    </row>
    <row r="56" spans="1:3">
      <c r="A56" s="2" t="s">
        <v>1</v>
      </c>
      <c r="B56" s="2" t="s">
        <v>116</v>
      </c>
      <c r="C56" s="2" t="s">
        <v>110</v>
      </c>
    </row>
    <row r="57" spans="1:3">
      <c r="A57" s="2" t="s">
        <v>1</v>
      </c>
      <c r="B57" s="2" t="s">
        <v>117</v>
      </c>
      <c r="C57" s="2" t="s">
        <v>110</v>
      </c>
    </row>
    <row r="58" spans="1:3">
      <c r="A58" s="2" t="s">
        <v>1</v>
      </c>
      <c r="B58" s="2" t="s">
        <v>118</v>
      </c>
      <c r="C58" s="2" t="s">
        <v>110</v>
      </c>
    </row>
    <row r="59" spans="1:3">
      <c r="A59" s="2" t="s">
        <v>1</v>
      </c>
      <c r="B59" s="2" t="s">
        <v>119</v>
      </c>
      <c r="C59" s="2" t="s">
        <v>110</v>
      </c>
    </row>
    <row r="60" spans="1:3">
      <c r="A60" s="2" t="s">
        <v>1</v>
      </c>
      <c r="B60" s="2" t="s">
        <v>120</v>
      </c>
      <c r="C60" s="2" t="s">
        <v>110</v>
      </c>
    </row>
    <row r="61" spans="1:3">
      <c r="A61" s="2" t="s">
        <v>1</v>
      </c>
      <c r="B61" s="2" t="s">
        <v>121</v>
      </c>
      <c r="C61" s="2" t="s">
        <v>110</v>
      </c>
    </row>
    <row r="62" spans="1:3">
      <c r="A62" s="2" t="s">
        <v>1</v>
      </c>
      <c r="B62" s="2" t="s">
        <v>122</v>
      </c>
      <c r="C62" s="2" t="s">
        <v>110</v>
      </c>
    </row>
    <row r="63" spans="1:3">
      <c r="A63" s="2" t="s">
        <v>1</v>
      </c>
      <c r="B63" s="2" t="s">
        <v>16</v>
      </c>
      <c r="C63" s="2" t="s">
        <v>153</v>
      </c>
    </row>
    <row r="64" spans="1:3">
      <c r="A64" s="2" t="s">
        <v>1</v>
      </c>
      <c r="B64" s="2" t="s">
        <v>50</v>
      </c>
      <c r="C64" s="2" t="s">
        <v>153</v>
      </c>
    </row>
    <row r="65" spans="1:3">
      <c r="A65" s="2" t="s">
        <v>1</v>
      </c>
      <c r="B65" s="2" t="s">
        <v>51</v>
      </c>
      <c r="C65" s="2" t="s">
        <v>153</v>
      </c>
    </row>
    <row r="66" spans="1:3">
      <c r="A66" s="2" t="s">
        <v>1</v>
      </c>
      <c r="B66" s="2" t="s">
        <v>52</v>
      </c>
      <c r="C66" s="2" t="s">
        <v>153</v>
      </c>
    </row>
    <row r="67" spans="1:3">
      <c r="A67" s="2" t="s">
        <v>1</v>
      </c>
      <c r="B67" s="2" t="s">
        <v>53</v>
      </c>
      <c r="C67" s="2" t="s">
        <v>153</v>
      </c>
    </row>
    <row r="68" spans="1:3">
      <c r="A68" s="2" t="s">
        <v>1</v>
      </c>
      <c r="B68" s="2" t="s">
        <v>54</v>
      </c>
      <c r="C68" s="2" t="s">
        <v>153</v>
      </c>
    </row>
    <row r="69" spans="1:3">
      <c r="A69" s="2" t="s">
        <v>1</v>
      </c>
      <c r="B69" s="2" t="s">
        <v>55</v>
      </c>
      <c r="C69" s="2" t="s">
        <v>153</v>
      </c>
    </row>
    <row r="70" spans="1:3">
      <c r="A70" s="2" t="s">
        <v>1</v>
      </c>
      <c r="B70" s="2" t="s">
        <v>56</v>
      </c>
      <c r="C70" s="2" t="s">
        <v>153</v>
      </c>
    </row>
    <row r="71" spans="1:3">
      <c r="A71" s="2" t="s">
        <v>1</v>
      </c>
      <c r="B71" s="2" t="s">
        <v>57</v>
      </c>
      <c r="C71" s="2" t="s">
        <v>153</v>
      </c>
    </row>
    <row r="72" spans="1:3">
      <c r="A72" s="2" t="s">
        <v>1</v>
      </c>
      <c r="B72" s="2" t="s">
        <v>58</v>
      </c>
      <c r="C72" s="2" t="s">
        <v>153</v>
      </c>
    </row>
    <row r="73" spans="1:3">
      <c r="A73" s="2" t="s">
        <v>1</v>
      </c>
      <c r="B73" s="2" t="s">
        <v>59</v>
      </c>
      <c r="C73" s="2" t="s">
        <v>153</v>
      </c>
    </row>
    <row r="74" spans="1:3">
      <c r="A74" s="2" t="s">
        <v>1</v>
      </c>
      <c r="B74" s="2" t="s">
        <v>60</v>
      </c>
      <c r="C74" s="2" t="s">
        <v>153</v>
      </c>
    </row>
    <row r="75" spans="1:3">
      <c r="A75" s="2" t="s">
        <v>1</v>
      </c>
      <c r="B75" s="2" t="s">
        <v>61</v>
      </c>
      <c r="C75" s="2" t="s">
        <v>153</v>
      </c>
    </row>
    <row r="76" spans="1:3">
      <c r="A76" s="2" t="s">
        <v>1</v>
      </c>
      <c r="B76" s="2" t="s">
        <v>62</v>
      </c>
      <c r="C76" s="2" t="s">
        <v>153</v>
      </c>
    </row>
    <row r="77" spans="1:3">
      <c r="A77" s="2" t="s">
        <v>1</v>
      </c>
      <c r="B77" s="2" t="s">
        <v>63</v>
      </c>
      <c r="C77" s="2" t="s">
        <v>153</v>
      </c>
    </row>
    <row r="78" spans="1:3">
      <c r="A78" s="2" t="s">
        <v>1</v>
      </c>
      <c r="B78" s="2" t="s">
        <v>64</v>
      </c>
      <c r="C78" s="2" t="s">
        <v>153</v>
      </c>
    </row>
    <row r="79" spans="1:3">
      <c r="A79" s="2" t="s">
        <v>1</v>
      </c>
      <c r="B79" s="2" t="s">
        <v>65</v>
      </c>
      <c r="C79" s="2" t="s">
        <v>153</v>
      </c>
    </row>
    <row r="80" spans="1:3">
      <c r="A80" s="2" t="s">
        <v>1</v>
      </c>
      <c r="B80" s="2" t="s">
        <v>66</v>
      </c>
      <c r="C80" s="2" t="s">
        <v>153</v>
      </c>
    </row>
    <row r="81" spans="1:3">
      <c r="A81" s="2" t="s">
        <v>1</v>
      </c>
      <c r="B81" s="2" t="s">
        <v>67</v>
      </c>
      <c r="C81" s="2" t="s">
        <v>153</v>
      </c>
    </row>
    <row r="82" spans="1:3">
      <c r="A82" s="2" t="s">
        <v>1</v>
      </c>
      <c r="B82" s="2" t="s">
        <v>68</v>
      </c>
      <c r="C82" s="2" t="s">
        <v>153</v>
      </c>
    </row>
    <row r="83" spans="1:3">
      <c r="A83" s="2" t="s">
        <v>1</v>
      </c>
      <c r="B83" s="2" t="s">
        <v>70</v>
      </c>
      <c r="C83" s="2" t="s">
        <v>153</v>
      </c>
    </row>
    <row r="84" spans="1:3">
      <c r="A84" s="2" t="s">
        <v>1</v>
      </c>
      <c r="B84" s="2" t="s">
        <v>71</v>
      </c>
      <c r="C84" s="2" t="s">
        <v>153</v>
      </c>
    </row>
    <row r="85" spans="1:3">
      <c r="A85" s="2" t="s">
        <v>1</v>
      </c>
      <c r="B85" s="2" t="s">
        <v>72</v>
      </c>
      <c r="C85" s="2" t="s">
        <v>153</v>
      </c>
    </row>
    <row r="86" spans="1:3">
      <c r="A86" s="2" t="s">
        <v>1</v>
      </c>
      <c r="B86" s="2" t="s">
        <v>73</v>
      </c>
      <c r="C86" s="2" t="s">
        <v>153</v>
      </c>
    </row>
    <row r="87" spans="1:3">
      <c r="A87" s="2" t="s">
        <v>1</v>
      </c>
      <c r="B87" s="2" t="s">
        <v>74</v>
      </c>
      <c r="C87" s="2" t="s">
        <v>153</v>
      </c>
    </row>
    <row r="88" spans="1:3">
      <c r="A88" s="2" t="s">
        <v>1</v>
      </c>
      <c r="B88" s="2" t="s">
        <v>75</v>
      </c>
      <c r="C88" s="2" t="s">
        <v>153</v>
      </c>
    </row>
    <row r="89" spans="1:3">
      <c r="A89" s="2" t="s">
        <v>1</v>
      </c>
      <c r="B89" s="2" t="s">
        <v>76</v>
      </c>
      <c r="C89" s="2" t="s">
        <v>153</v>
      </c>
    </row>
    <row r="90" spans="1:3">
      <c r="A90" s="2" t="s">
        <v>1</v>
      </c>
      <c r="B90" s="2" t="s">
        <v>77</v>
      </c>
      <c r="C90" s="2" t="s">
        <v>153</v>
      </c>
    </row>
    <row r="91" spans="1:3">
      <c r="A91" s="2" t="s">
        <v>1</v>
      </c>
      <c r="B91" s="2" t="s">
        <v>78</v>
      </c>
      <c r="C91" s="2" t="s">
        <v>153</v>
      </c>
    </row>
    <row r="92" spans="1:3">
      <c r="A92" s="2" t="s">
        <v>1</v>
      </c>
      <c r="B92" s="2" t="s">
        <v>79</v>
      </c>
      <c r="C92" s="2" t="s">
        <v>153</v>
      </c>
    </row>
    <row r="93" spans="1:3">
      <c r="A93" s="2" t="s">
        <v>1</v>
      </c>
      <c r="B93" s="2" t="s">
        <v>80</v>
      </c>
      <c r="C93" s="2" t="s">
        <v>153</v>
      </c>
    </row>
    <row r="94" spans="1:3">
      <c r="A94" s="2" t="s">
        <v>1</v>
      </c>
      <c r="B94" s="2" t="s">
        <v>81</v>
      </c>
      <c r="C94" s="2" t="s">
        <v>153</v>
      </c>
    </row>
    <row r="95" spans="1:3">
      <c r="A95" s="2" t="s">
        <v>1</v>
      </c>
      <c r="B95" s="2" t="s">
        <v>97</v>
      </c>
      <c r="C95" s="2" t="s">
        <v>153</v>
      </c>
    </row>
    <row r="96" spans="1:3">
      <c r="A96" s="2" t="s">
        <v>1</v>
      </c>
      <c r="B96" s="2" t="s">
        <v>107</v>
      </c>
      <c r="C96" s="2" t="s">
        <v>153</v>
      </c>
    </row>
    <row r="97" spans="1:3">
      <c r="A97" s="2" t="s">
        <v>1</v>
      </c>
      <c r="B97" s="2" t="s">
        <v>34</v>
      </c>
      <c r="C97" s="2" t="s">
        <v>33</v>
      </c>
    </row>
    <row r="98" spans="1:3">
      <c r="A98" s="2" t="s">
        <v>1</v>
      </c>
      <c r="B98" s="2" t="s">
        <v>35</v>
      </c>
      <c r="C98" s="2" t="s">
        <v>33</v>
      </c>
    </row>
    <row r="99" spans="1:3">
      <c r="A99" s="2" t="s">
        <v>1</v>
      </c>
      <c r="B99" s="2" t="s">
        <v>36</v>
      </c>
      <c r="C99" s="2" t="s">
        <v>33</v>
      </c>
    </row>
    <row r="100" spans="1:3">
      <c r="A100" s="2" t="s">
        <v>1</v>
      </c>
      <c r="B100" s="2" t="s">
        <v>37</v>
      </c>
      <c r="C100" s="2" t="s">
        <v>33</v>
      </c>
    </row>
    <row r="101" spans="1:3">
      <c r="A101" s="2" t="s">
        <v>1</v>
      </c>
      <c r="B101" s="2" t="s">
        <v>38</v>
      </c>
      <c r="C101" s="2" t="s">
        <v>33</v>
      </c>
    </row>
    <row r="102" spans="1:3">
      <c r="A102" s="2" t="s">
        <v>1</v>
      </c>
      <c r="B102" s="2" t="s">
        <v>39</v>
      </c>
      <c r="C102" s="2" t="s">
        <v>33</v>
      </c>
    </row>
    <row r="103" spans="1:3">
      <c r="A103" s="2" t="s">
        <v>1</v>
      </c>
      <c r="B103" s="2" t="s">
        <v>40</v>
      </c>
      <c r="C103" s="2" t="s">
        <v>33</v>
      </c>
    </row>
    <row r="104" spans="1:3">
      <c r="A104" s="2" t="s">
        <v>1</v>
      </c>
      <c r="B104" s="2" t="s">
        <v>41</v>
      </c>
      <c r="C104" s="2" t="s">
        <v>33</v>
      </c>
    </row>
    <row r="105" spans="1:3">
      <c r="A105" s="2" t="s">
        <v>1</v>
      </c>
      <c r="B105" s="2" t="s">
        <v>42</v>
      </c>
      <c r="C105" s="2" t="s">
        <v>33</v>
      </c>
    </row>
    <row r="106" spans="1:3">
      <c r="A106" s="2" t="s">
        <v>1</v>
      </c>
      <c r="B106" s="2" t="s">
        <v>43</v>
      </c>
      <c r="C106" s="2" t="s">
        <v>33</v>
      </c>
    </row>
    <row r="107" spans="1:3">
      <c r="A107" s="2" t="s">
        <v>1</v>
      </c>
      <c r="B107" s="2" t="s">
        <v>44</v>
      </c>
      <c r="C107" s="2" t="s">
        <v>33</v>
      </c>
    </row>
    <row r="108" spans="1:3">
      <c r="A108" s="2" t="s">
        <v>1</v>
      </c>
      <c r="B108" s="2" t="s">
        <v>45</v>
      </c>
      <c r="C108" s="2" t="s">
        <v>33</v>
      </c>
    </row>
    <row r="109" spans="1:3">
      <c r="A109" s="2" t="s">
        <v>1</v>
      </c>
      <c r="B109" s="2" t="s">
        <v>46</v>
      </c>
      <c r="C109" s="2" t="s">
        <v>33</v>
      </c>
    </row>
    <row r="110" spans="1:3">
      <c r="A110" s="2" t="s">
        <v>1</v>
      </c>
      <c r="B110" s="2" t="s">
        <v>47</v>
      </c>
      <c r="C110" s="2" t="s">
        <v>33</v>
      </c>
    </row>
    <row r="111" spans="1:3">
      <c r="A111" s="2" t="s">
        <v>1</v>
      </c>
      <c r="B111" s="2" t="s">
        <v>48</v>
      </c>
      <c r="C111" s="2" t="s">
        <v>33</v>
      </c>
    </row>
    <row r="112" spans="1:3">
      <c r="A112" s="2" t="s">
        <v>1</v>
      </c>
      <c r="B112" s="2" t="s">
        <v>49</v>
      </c>
      <c r="C112" s="2" t="s">
        <v>33</v>
      </c>
    </row>
    <row r="113" spans="1:3">
      <c r="A113" s="2" t="s">
        <v>2</v>
      </c>
      <c r="B113" s="3" t="s">
        <v>140</v>
      </c>
      <c r="C113" s="2" t="s">
        <v>94</v>
      </c>
    </row>
    <row r="114" spans="1:3">
      <c r="A114" s="2" t="s">
        <v>2</v>
      </c>
      <c r="B114" s="3" t="s">
        <v>141</v>
      </c>
      <c r="C114" s="2" t="s">
        <v>94</v>
      </c>
    </row>
    <row r="115" spans="1:3">
      <c r="A115" s="2" t="s">
        <v>2</v>
      </c>
      <c r="B115" s="3" t="s">
        <v>142</v>
      </c>
      <c r="C115" s="2" t="s">
        <v>94</v>
      </c>
    </row>
    <row r="116" spans="1:3">
      <c r="A116" s="2" t="s">
        <v>2</v>
      </c>
      <c r="B116" s="3" t="s">
        <v>99</v>
      </c>
      <c r="C116" s="2" t="s">
        <v>94</v>
      </c>
    </row>
    <row r="117" spans="1:3">
      <c r="A117" s="2" t="s">
        <v>2</v>
      </c>
      <c r="B117" s="3" t="s">
        <v>95</v>
      </c>
      <c r="C117" s="2" t="s">
        <v>94</v>
      </c>
    </row>
    <row r="118" spans="1:3">
      <c r="A118" s="2" t="s">
        <v>2</v>
      </c>
      <c r="B118" s="3" t="s">
        <v>103</v>
      </c>
      <c r="C118" s="2" t="s">
        <v>94</v>
      </c>
    </row>
    <row r="119" spans="1:3">
      <c r="A119" s="2" t="s">
        <v>2</v>
      </c>
      <c r="B119" s="3" t="s">
        <v>143</v>
      </c>
      <c r="C119" s="2" t="s">
        <v>94</v>
      </c>
    </row>
    <row r="120" spans="1:3">
      <c r="A120" s="2" t="s">
        <v>2</v>
      </c>
      <c r="B120" s="3" t="s">
        <v>144</v>
      </c>
      <c r="C120" s="2" t="s">
        <v>94</v>
      </c>
    </row>
    <row r="121" spans="1:3">
      <c r="A121" s="2" t="s">
        <v>2</v>
      </c>
      <c r="B121" s="3" t="s">
        <v>93</v>
      </c>
      <c r="C121" s="3" t="s">
        <v>82</v>
      </c>
    </row>
    <row r="122" spans="1:3">
      <c r="A122" s="2" t="s">
        <v>2</v>
      </c>
      <c r="B122" s="3" t="s">
        <v>145</v>
      </c>
      <c r="C122" s="3" t="s">
        <v>82</v>
      </c>
    </row>
    <row r="123" spans="1:3">
      <c r="A123" s="2" t="s">
        <v>2</v>
      </c>
      <c r="B123" s="3" t="s">
        <v>146</v>
      </c>
      <c r="C123" s="3" t="s">
        <v>82</v>
      </c>
    </row>
    <row r="124" spans="1:3">
      <c r="A124" s="2" t="s">
        <v>2</v>
      </c>
      <c r="B124" s="3" t="s">
        <v>88</v>
      </c>
      <c r="C124" s="3" t="s">
        <v>82</v>
      </c>
    </row>
    <row r="125" spans="1:3">
      <c r="A125" s="2" t="s">
        <v>2</v>
      </c>
      <c r="B125" s="3" t="s">
        <v>147</v>
      </c>
      <c r="C125" s="3" t="s">
        <v>82</v>
      </c>
    </row>
    <row r="126" spans="1:3">
      <c r="A126" s="2" t="s">
        <v>2</v>
      </c>
      <c r="B126" s="3" t="s">
        <v>84</v>
      </c>
      <c r="C126" s="3" t="s">
        <v>82</v>
      </c>
    </row>
    <row r="127" spans="1:3">
      <c r="A127" s="2" t="s">
        <v>2</v>
      </c>
      <c r="B127" s="3" t="s">
        <v>90</v>
      </c>
      <c r="C127" s="3" t="s">
        <v>82</v>
      </c>
    </row>
    <row r="128" spans="1:3">
      <c r="A128" s="2" t="s">
        <v>2</v>
      </c>
      <c r="B128" s="3" t="s">
        <v>111</v>
      </c>
      <c r="C128" s="3" t="s">
        <v>110</v>
      </c>
    </row>
    <row r="129" spans="1:3">
      <c r="A129" s="2" t="s">
        <v>2</v>
      </c>
      <c r="B129" s="3" t="s">
        <v>148</v>
      </c>
      <c r="C129" s="3" t="s">
        <v>110</v>
      </c>
    </row>
    <row r="130" spans="1:3">
      <c r="A130" s="2" t="s">
        <v>2</v>
      </c>
      <c r="B130" s="3" t="s">
        <v>123</v>
      </c>
      <c r="C130" s="3" t="s">
        <v>154</v>
      </c>
    </row>
    <row r="131" spans="1:3">
      <c r="A131" s="2" t="s">
        <v>2</v>
      </c>
      <c r="B131" s="3" t="s">
        <v>124</v>
      </c>
      <c r="C131" s="3" t="s">
        <v>154</v>
      </c>
    </row>
    <row r="132" spans="1:3">
      <c r="A132" s="2" t="s">
        <v>2</v>
      </c>
      <c r="B132" s="3" t="s">
        <v>65</v>
      </c>
      <c r="C132" s="3" t="s">
        <v>154</v>
      </c>
    </row>
    <row r="133" spans="1:3">
      <c r="A133" s="2" t="s">
        <v>2</v>
      </c>
      <c r="B133" s="3" t="s">
        <v>125</v>
      </c>
      <c r="C133" s="3" t="s">
        <v>154</v>
      </c>
    </row>
    <row r="134" spans="1:3">
      <c r="A134" s="2" t="s">
        <v>2</v>
      </c>
      <c r="B134" s="3" t="s">
        <v>64</v>
      </c>
      <c r="C134" s="3" t="s">
        <v>154</v>
      </c>
    </row>
    <row r="135" spans="1:3">
      <c r="A135" s="2" t="s">
        <v>2</v>
      </c>
      <c r="B135" s="3" t="s">
        <v>126</v>
      </c>
      <c r="C135" s="3" t="s">
        <v>154</v>
      </c>
    </row>
    <row r="136" spans="1:3">
      <c r="A136" s="2" t="s">
        <v>2</v>
      </c>
      <c r="B136" s="3" t="s">
        <v>127</v>
      </c>
      <c r="C136" s="3" t="s">
        <v>154</v>
      </c>
    </row>
    <row r="137" spans="1:3">
      <c r="A137" s="2" t="s">
        <v>2</v>
      </c>
      <c r="B137" s="3" t="s">
        <v>72</v>
      </c>
      <c r="C137" s="3" t="s">
        <v>154</v>
      </c>
    </row>
    <row r="138" spans="1:3">
      <c r="A138" s="2" t="s">
        <v>2</v>
      </c>
      <c r="B138" s="3" t="s">
        <v>79</v>
      </c>
      <c r="C138" s="3" t="s">
        <v>154</v>
      </c>
    </row>
    <row r="139" spans="1:3">
      <c r="A139" s="2" t="s">
        <v>2</v>
      </c>
      <c r="B139" s="3" t="s">
        <v>128</v>
      </c>
      <c r="C139" s="3" t="s">
        <v>154</v>
      </c>
    </row>
    <row r="140" spans="1:3">
      <c r="A140" s="2" t="s">
        <v>2</v>
      </c>
      <c r="B140" s="3" t="s">
        <v>129</v>
      </c>
      <c r="C140" s="3" t="s">
        <v>154</v>
      </c>
    </row>
    <row r="141" spans="1:3">
      <c r="A141" s="2" t="s">
        <v>2</v>
      </c>
      <c r="B141" s="3" t="s">
        <v>130</v>
      </c>
      <c r="C141" s="3" t="s">
        <v>154</v>
      </c>
    </row>
    <row r="142" spans="1:3">
      <c r="A142" s="2" t="s">
        <v>2</v>
      </c>
      <c r="B142" s="3" t="s">
        <v>131</v>
      </c>
      <c r="C142" s="3" t="s">
        <v>154</v>
      </c>
    </row>
    <row r="143" spans="1:3">
      <c r="A143" s="2" t="s">
        <v>2</v>
      </c>
      <c r="B143" s="3" t="s">
        <v>55</v>
      </c>
      <c r="C143" s="3" t="s">
        <v>154</v>
      </c>
    </row>
    <row r="144" spans="1:3">
      <c r="A144" s="2" t="s">
        <v>2</v>
      </c>
      <c r="B144" s="3" t="s">
        <v>132</v>
      </c>
      <c r="C144" s="3" t="s">
        <v>154</v>
      </c>
    </row>
    <row r="145" spans="1:3">
      <c r="A145" s="2" t="s">
        <v>2</v>
      </c>
      <c r="B145" s="3" t="s">
        <v>133</v>
      </c>
      <c r="C145" s="3" t="s">
        <v>154</v>
      </c>
    </row>
    <row r="146" spans="1:3">
      <c r="A146" s="2" t="s">
        <v>2</v>
      </c>
      <c r="B146" s="3" t="s">
        <v>80</v>
      </c>
      <c r="C146" s="3" t="s">
        <v>154</v>
      </c>
    </row>
    <row r="147" spans="1:3">
      <c r="A147" s="2" t="s">
        <v>2</v>
      </c>
      <c r="B147" s="3" t="s">
        <v>134</v>
      </c>
      <c r="C147" s="3" t="s">
        <v>154</v>
      </c>
    </row>
    <row r="148" spans="1:3">
      <c r="A148" s="2" t="s">
        <v>2</v>
      </c>
      <c r="B148" s="3" t="s">
        <v>135</v>
      </c>
      <c r="C148" s="3" t="s">
        <v>154</v>
      </c>
    </row>
    <row r="149" spans="1:3">
      <c r="A149" s="2" t="s">
        <v>2</v>
      </c>
      <c r="B149" s="3" t="s">
        <v>56</v>
      </c>
      <c r="C149" s="3" t="s">
        <v>154</v>
      </c>
    </row>
    <row r="150" spans="1:3">
      <c r="A150" s="2" t="s">
        <v>2</v>
      </c>
      <c r="B150" s="3" t="s">
        <v>136</v>
      </c>
      <c r="C150" s="3" t="s">
        <v>154</v>
      </c>
    </row>
    <row r="151" spans="1:3">
      <c r="A151" s="2" t="s">
        <v>2</v>
      </c>
      <c r="B151" s="3" t="s">
        <v>63</v>
      </c>
      <c r="C151" s="3" t="s">
        <v>154</v>
      </c>
    </row>
    <row r="152" spans="1:3">
      <c r="A152" s="2" t="s">
        <v>2</v>
      </c>
      <c r="B152" s="3" t="s">
        <v>137</v>
      </c>
      <c r="C152" s="3" t="s">
        <v>154</v>
      </c>
    </row>
    <row r="153" spans="1:3">
      <c r="A153" s="2" t="s">
        <v>2</v>
      </c>
      <c r="B153" s="3" t="s">
        <v>138</v>
      </c>
      <c r="C153" s="3" t="s">
        <v>154</v>
      </c>
    </row>
    <row r="154" spans="1:3">
      <c r="A154" s="2" t="s">
        <v>2</v>
      </c>
      <c r="B154" s="3" t="s">
        <v>139</v>
      </c>
      <c r="C154" s="3" t="s">
        <v>154</v>
      </c>
    </row>
  </sheetData>
  <autoFilter ref="B1:B154" xr:uid="{00000000-0009-0000-0000-000001000000}"/>
  <sortState xmlns:xlrd2="http://schemas.microsoft.com/office/spreadsheetml/2017/richdata2" ref="A2:C154">
    <sortCondition ref="A2:A154"/>
    <sortCondition ref="C2:C154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F1" sqref="F1:F3"/>
    </sheetView>
  </sheetViews>
  <sheetFormatPr defaultColWidth="8.85546875" defaultRowHeight="15"/>
  <sheetData>
    <row r="1" spans="1:7">
      <c r="A1" t="s">
        <v>1</v>
      </c>
      <c r="B1" t="s">
        <v>157</v>
      </c>
      <c r="C1" t="s">
        <v>3</v>
      </c>
      <c r="D1" t="s">
        <v>5</v>
      </c>
      <c r="E1" t="s">
        <v>7</v>
      </c>
      <c r="F1" t="s">
        <v>160</v>
      </c>
      <c r="G1" t="s">
        <v>3</v>
      </c>
    </row>
    <row r="2" spans="1:7">
      <c r="A2" t="s">
        <v>2</v>
      </c>
      <c r="B2" t="s">
        <v>156</v>
      </c>
      <c r="C2" t="s">
        <v>4</v>
      </c>
      <c r="D2" t="s">
        <v>6</v>
      </c>
      <c r="E2" t="s">
        <v>8</v>
      </c>
      <c r="F2" t="s">
        <v>152</v>
      </c>
      <c r="G2" t="s">
        <v>4</v>
      </c>
    </row>
    <row r="3" spans="1:7">
      <c r="A3" t="s">
        <v>155</v>
      </c>
      <c r="F3" t="s">
        <v>159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Total</vt:lpstr>
      <vt:lpstr>LED Ташкент</vt:lpstr>
      <vt:lpstr>LED Регионы</vt:lpstr>
      <vt:lpstr>LED Остановки </vt:lpstr>
      <vt:lpstr>Статика Таш + Регионы</vt:lpstr>
      <vt:lpstr>Аэропорт</vt:lpstr>
      <vt:lpstr>Автобусы</vt:lpstr>
      <vt:lpstr>Поезда</vt:lpstr>
      <vt:lpstr>регионы-города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olga.v.vasileva</dc:creator>
  <cp:lastModifiedBy>Beck Rakhimov</cp:lastModifiedBy>
  <dcterms:created xsi:type="dcterms:W3CDTF">2020-05-07T07:50:06Z</dcterms:created>
  <dcterms:modified xsi:type="dcterms:W3CDTF">2026-04-16T09:40:45Z</dcterms:modified>
</cp:coreProperties>
</file>