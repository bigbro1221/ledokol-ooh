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91576D7F-13DB-4388-87E7-6B805A45A62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Медиаплан" sheetId="1" r:id="rId1"/>
  </sheets>
  <definedNames>
    <definedName name="_xlnm._FilterDatabase" localSheetId="0" hidden="1">Медиаплан!$A$2:$V$73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73" i="1" l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W3" i="1"/>
  <c r="P73" i="1" l="1"/>
  <c r="P72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3" i="1"/>
</calcChain>
</file>

<file path=xl/sharedStrings.xml><?xml version="1.0" encoding="utf-8"?>
<sst xmlns="http://schemas.openxmlformats.org/spreadsheetml/2006/main" count="603" uniqueCount="125">
  <si>
    <t/>
  </si>
  <si>
    <t>плановые охваты</t>
  </si>
  <si>
    <t>Фактические охваты</t>
  </si>
  <si>
    <t>Тип Внешней Рекламы</t>
  </si>
  <si>
    <t>Фото конструкции</t>
  </si>
  <si>
    <t>Город</t>
  </si>
  <si>
    <t>Адрес расположения</t>
  </si>
  <si>
    <t>Кол-во носителей</t>
  </si>
  <si>
    <t>Период размещения</t>
  </si>
  <si>
    <t>Длительность ролика</t>
  </si>
  <si>
    <t>Время работы</t>
  </si>
  <si>
    <t>Кол-во выходов в блоке</t>
  </si>
  <si>
    <t>Общая сумма (без  АК и НДС)</t>
  </si>
  <si>
    <t>ots</t>
  </si>
  <si>
    <t>rating</t>
  </si>
  <si>
    <t>universe</t>
  </si>
  <si>
    <t>Ташкент</t>
  </si>
  <si>
    <t>Фергана</t>
  </si>
  <si>
    <t>Самарканд</t>
  </si>
  <si>
    <t>ул. Паркентская и ул. Олтин тепа, возле новостройки</t>
  </si>
  <si>
    <t xml:space="preserve">ул. Нукусская и Авлиё Ота (Госпитальный рынок) </t>
  </si>
  <si>
    <t>ул. Шахрисабз, ор. Автодорожный университет</t>
  </si>
  <si>
    <t>ул. Нукусская и ул. Эльбек, перекресток Винзавода</t>
  </si>
  <si>
    <t>(САГБОН) пересечение улиц Малая колцевая и Сагбон</t>
  </si>
  <si>
    <t>07.00-23.00</t>
  </si>
  <si>
    <t>Экран</t>
  </si>
  <si>
    <t>Фото</t>
  </si>
  <si>
    <t>Стоимость монтажных  и печатных работ (без АК и НДС)</t>
  </si>
  <si>
    <t>Общая сумма (с АК и НДС)</t>
  </si>
  <si>
    <t>(УРДА) пересечение проспекта Алишера Навои и ул Лабзак</t>
  </si>
  <si>
    <t>Аэропорт, при выезде из Международного аэропорта Ташкента</t>
  </si>
  <si>
    <t>ул. Мустакиллик, возле площади Х. Алимджана</t>
  </si>
  <si>
    <t xml:space="preserve">ул. Сагбан, перекресток Чорсу, в сторону базара( Зайкарнар ) </t>
  </si>
  <si>
    <t>Ул. Беруни и Нуровшан, м. Тинчлик</t>
  </si>
  <si>
    <t>ул. Махтумкули и Шахрисабзская (6 - Роддом)</t>
  </si>
  <si>
    <t>Лакокраска (Кази Махалла) ул. Малая Кольцевая и Аккурганская</t>
  </si>
  <si>
    <t xml:space="preserve"> ул Юсуфа Хос Ходжиба и Бобура (пед.институт )</t>
  </si>
  <si>
    <t>ул. Мустакиллик, ор. БЦ Inkonel (Дархан)</t>
  </si>
  <si>
    <t>ул. Бобура, рядом с Seoul Mun, ТРЦ Next</t>
  </si>
  <si>
    <t>перес. ул. Айбека и Шахрисабз, напротив Angels food</t>
  </si>
  <si>
    <t>ул. Мукимий, в сторону рест. Dudek, рядом школа-144</t>
  </si>
  <si>
    <t>перес. ул. Айбека и Шахрисабз, на стороне Angels food</t>
  </si>
  <si>
    <t xml:space="preserve">(РЕСТОРАН PAUL) &gt;Юнусабадский район проспект Аимра Темура </t>
  </si>
  <si>
    <t>ул. Буюк Ипак Йули</t>
  </si>
  <si>
    <t>Кукча</t>
  </si>
  <si>
    <t>Ул. Янги Сергили. Ор: мост "Сергели" развилке</t>
  </si>
  <si>
    <t>ул. Ахангаранское шоссе и ТКАД, ор. Круг Рохат</t>
  </si>
  <si>
    <t>(ТТЗ) пересечние улиц Гульсанам и Юзработ</t>
  </si>
  <si>
    <t>ул.Сулеймана Мурадова, ориентир: кафе Borжуй</t>
  </si>
  <si>
    <t>ул.Академика Ибрагима Муминова, ориентир: Elite Посуда</t>
  </si>
  <si>
    <t>ул.П.Махмуда и ул.Аль Хорезми, ориентир: ресторан Ургенч</t>
  </si>
  <si>
    <t>ул.Янги Шовот Йули и ул.Мустакиллик, ориентир: Вещевой рынок</t>
  </si>
  <si>
    <t>ул.Аль Хорезми, ориентир: NBU</t>
  </si>
  <si>
    <t>ул.Абульгази Бахадырхана, ориентир: Медиапарк</t>
  </si>
  <si>
    <t>ул.Зарафшон и ул.Ханка, ориентир: гостиница Анталия</t>
  </si>
  <si>
    <t>ул.Ханка и ул.Аль Хоразмий, ориентир: Milliy Bank</t>
  </si>
  <si>
    <t>Андижан</t>
  </si>
  <si>
    <t>Ургенч</t>
  </si>
  <si>
    <t>Наманган</t>
  </si>
  <si>
    <t>6х3</t>
  </si>
  <si>
    <t>18х8</t>
  </si>
  <si>
    <t>15х5</t>
  </si>
  <si>
    <t>12х6</t>
  </si>
  <si>
    <t>7х4</t>
  </si>
  <si>
    <t>8х4</t>
  </si>
  <si>
    <t>9х4</t>
  </si>
  <si>
    <t>9х5</t>
  </si>
  <si>
    <t>4х7</t>
  </si>
  <si>
    <t>12х5</t>
  </si>
  <si>
    <t>6х40</t>
  </si>
  <si>
    <t>28х4</t>
  </si>
  <si>
    <t>10х5</t>
  </si>
  <si>
    <t>6х4</t>
  </si>
  <si>
    <t>6х5</t>
  </si>
  <si>
    <t>6х6</t>
  </si>
  <si>
    <t>8х5</t>
  </si>
  <si>
    <t xml:space="preserve">15 секунд </t>
  </si>
  <si>
    <t xml:space="preserve">Размер </t>
  </si>
  <si>
    <t>01.02.2026 - 28.02.2026</t>
  </si>
  <si>
    <t>ул. Лермонтова и Машраб Ориентир Поликлиника N5</t>
  </si>
  <si>
    <t>Проспект Бобура и ул.Машраб Ориентир СЭС, Макро</t>
  </si>
  <si>
    <t>ул. А.Навои и Узбекистанская Ориентир Областной Хакимият</t>
  </si>
  <si>
    <t>ул. Узбекистанская и Бобуршох Ориентир Центр Диагностики</t>
  </si>
  <si>
    <t>проспект Амир Темура и ул.Турон Ориентир Корзинка</t>
  </si>
  <si>
    <t>Бухара</t>
  </si>
  <si>
    <t>ул. Абу Али ибн Сино и ул. Гиждуван Ориентир Самарканд дарвоза</t>
  </si>
  <si>
    <t>ул.Ислама Каримова, ориентир- Детская больница</t>
  </si>
  <si>
    <t>ул. Намозгох Ориентир Областная Больница</t>
  </si>
  <si>
    <t>Проспект Навои и ул. Пиридастгир Ориентир МЕГА МАРКЕТ</t>
  </si>
  <si>
    <t>проспект ул.Бухоро и ул.М.Торобий, ориентир- Железнодорожный вокзал</t>
  </si>
  <si>
    <t>ул. Гирвонсой Ориентир Парк Афсона</t>
  </si>
  <si>
    <t>ул. А.Навои Ориентир Рынок Чорсу</t>
  </si>
  <si>
    <t>ул. И. Каримова и А. Темура Ориентир Lagman House</t>
  </si>
  <si>
    <t>перекрёсток ул.имени Каримова и Маргиланская, ориентир Асака банк, ТЦ Исфархон</t>
  </si>
  <si>
    <t>перекрёсток ул.Галаба и Хотира, ориентир Макро</t>
  </si>
  <si>
    <t>Коканд</t>
  </si>
  <si>
    <t>ул. Шохрухабад и Давронбек Ориентир Mediapark</t>
  </si>
  <si>
    <t>ул.А. Навои и Фуркат Ор Микрокредит Банк</t>
  </si>
  <si>
    <t>ул. Турон Ориентир Педагогический институт</t>
  </si>
  <si>
    <t>ул. У. Насыра и НавбахорьОриентир рынок "Янги базар"</t>
  </si>
  <si>
    <t>Карши</t>
  </si>
  <si>
    <t>ул. Мустакиллик и Узбекистан Ориентир Круг Курант</t>
  </si>
  <si>
    <t>ул. Жайхун и Насаф Ориентир Чайхана Карши</t>
  </si>
  <si>
    <t>Самарканд трасса А380 Ор Фархад Базар</t>
  </si>
  <si>
    <t>Проспект Алишер Навои Ориентир Банк Ипотека</t>
  </si>
  <si>
    <t>Джизак</t>
  </si>
  <si>
    <t>ул. Ш.Рашидова и И.Каримова Ориентир Строительный Рынок</t>
  </si>
  <si>
    <t>ул. Мустакиллик Ориентир Ором Бозор</t>
  </si>
  <si>
    <t>ул.Байналминалова и Ш.Рашидова Ориентир Областной Хакимият</t>
  </si>
  <si>
    <t>ул. А.Навои и Шифокорлар Ориентир Областная Больница</t>
  </si>
  <si>
    <t>ул. Ватан Равнаки и У.Юсупова Ориентир Центральный Рынок</t>
  </si>
  <si>
    <t>ул. А. Навои и Юксалиш Ориентир Асака Банк</t>
  </si>
  <si>
    <t>ул. А. Навои и Сохибкирон Тимура Ориентир Кинотеатр Нурхан</t>
  </si>
  <si>
    <t>ул. Ватан Равнаки и Додхо Ориентир ресторан Сутан Ахмет (Зиерат)</t>
  </si>
  <si>
    <t>ул. Сайлох и Аль Фергани Ориентир Mobiuz</t>
  </si>
  <si>
    <t>ул. Абу Райхон Беруний Ориентир Старый Билайн</t>
  </si>
  <si>
    <t>ул. Дагбитская и Ибн Сино Ориентир Быв Завод ГЕЛИОН</t>
  </si>
  <si>
    <t>ул.Шохрух Мирзо, ориентир- парк Рудаки</t>
  </si>
  <si>
    <t>ул. Туркестанская Ориентир Эркин Базар</t>
  </si>
  <si>
    <t>ул. Дагбитская и Рудаки Ориентир Банковский колледж</t>
  </si>
  <si>
    <t>ул.Навои Шох и ул.Гагарина, ориентир: Festival Mall</t>
  </si>
  <si>
    <t>Ул.Гагарина, на пересечении с ул.Фархада Ориентир 7 школа, напротив МЧС</t>
  </si>
  <si>
    <t>АК(%)</t>
  </si>
  <si>
    <t>АК</t>
  </si>
  <si>
    <t>Прогнозное кол-во выходов в сутки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</si>
</sst>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soʻm&quot;"/>
  </numFmts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375623"/>
        <bgColor rgb="FF375623"/>
      </patternFill>
    </fill>
    <fill>
      <patternFill patternType="solid">
        <fgColor rgb="FF2F6EBE"/>
        <bgColor rgb="FF2F6EBE"/>
      </patternFill>
    </fill>
    <fill>
      <patternFill patternType="solid">
        <fgColor rgb="FF4E7A3A"/>
        <bgColor rgb="FF4E7A3A"/>
      </patternFill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0" borderId="0"/>
  </cellStyleXfs>
  <cellXfs count="27">
    <xf numFmtId="0" fontId="0" fillId="0" borderId="0" xfId="0"/>
    <xf numFmtId="0" fontId="3" fillId="4" borderId="3" xfId="0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2" fillId="0" borderId="3" xfId="1" applyBorder="1" applyAlignment="1">
      <alignment horizontal="center"/>
    </xf>
    <xf numFmtId="0" fontId="6" fillId="2" borderId="4" xfId="0" applyFont="1" applyFill="1" applyBorder="1" applyAlignment="1">
      <alignment horizontal="center" vertical="center" wrapText="1"/>
    </xf>
    <xf numFmtId="0" fontId="2" fillId="4" borderId="3" xfId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0" fillId="3" borderId="3" xfId="0" applyFill="1" applyBorder="1" applyAlignment="1">
      <alignment vertical="center"/>
    </xf>
    <xf numFmtId="0" fontId="0" fillId="0" borderId="3" xfId="0" applyBorder="1" applyAlignment="1">
      <alignment horizontal="center"/>
    </xf>
    <xf numFmtId="164" fontId="0" fillId="3" borderId="3" xfId="0" applyNumberFormat="1" applyFill="1" applyBorder="1" applyAlignment="1">
      <alignment vertical="center"/>
    </xf>
    <xf numFmtId="164" fontId="0" fillId="0" borderId="3" xfId="0" applyNumberFormat="1" applyBorder="1"/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7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1" fontId="7" fillId="9" borderId="0" xfId="0" applyNumberFormat="1" applyFont="1" applyFill="1" applyAlignment="1">
      <alignment vertical="center"/>
    </xf>
    <xf numFmtId="2" fontId="7" fillId="9" borderId="0" xfId="0" applyNumberFormat="1" applyFont="1" applyFill="1" applyAlignment="1">
      <alignment vertical="center"/>
    </xf>
    <xf numFmtId="0" fontId="7" fillId="9" borderId="0" xfId="0" applyFont="1" applyFill="1" applyAlignment="1">
      <alignment vertical="center"/>
    </xf>
    <xf numFmtId="1" fontId="7" fillId="0" borderId="0" xfId="0" applyNumberFormat="1" applyFont="1"/>
    <xf numFmtId="2" fontId="7" fillId="0" borderId="0" xfId="0" applyNumberFormat="1" applyFont="1"/>
    <xf numFmtId="0" fontId="7" fillId="0" borderId="0" xfId="0" applyFont="1"/>
    <xf numFmtId="2" fontId="0" fillId="0" borderId="0" xfId="0" applyNumberFormat="1"/>
    <xf numFmtId="10" fontId="0" fillId="0" borderId="3" xfId="0" applyNumberFormat="1" applyBorder="1"/>
    <xf numFmtId="0" fontId="1" fillId="6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1" fillId="5" borderId="1" xfId="0" applyFont="1" applyFill="1" applyBorder="1" applyAlignment="1">
      <alignment horizontal="center" vertical="center"/>
    </xf>
  </cellXfs>
  <cellStyles count="3">
    <cellStyle name="Гиперссылка" xfId="1" builtinId="8"/>
    <cellStyle name="Обычный" xfId="0" builtinId="0"/>
    <cellStyle name="Обычный 19" xfId="2" xr:uid="{E51E6EF0-1138-CD4A-9054-33016822CB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jGc72dQgEBmA678zSfJKUGk5C4OoB53Q/view?usp=sharing" TargetMode="External"/><Relationship Id="rId21" Type="http://schemas.openxmlformats.org/officeDocument/2006/relationships/hyperlink" Target="https://drive.google.com/file/d/1xmsCIvLjN2RMl6Pzt1uH0mogh96yQDUR/view?usp=drive_link" TargetMode="External"/><Relationship Id="rId42" Type="http://schemas.openxmlformats.org/officeDocument/2006/relationships/hyperlink" Target="https://drive.google.com/file/d/1vuAEsmFludXafiALALn-TPO1ADXZbf6i/view?usp=drive_link" TargetMode="External"/><Relationship Id="rId47" Type="http://schemas.openxmlformats.org/officeDocument/2006/relationships/hyperlink" Target="https://drive.google.com/file/d/1nFtI7bu--IhW_c_po6oCbgrFnxYkMZmv/view?usp=sharing" TargetMode="External"/><Relationship Id="rId63" Type="http://schemas.openxmlformats.org/officeDocument/2006/relationships/hyperlink" Target="https://drive.google.com/file/d/1TZ6wUxG5eRajjfI5WOIcbwXftjOz8b3X/view?usp=sharing" TargetMode="External"/><Relationship Id="rId68" Type="http://schemas.openxmlformats.org/officeDocument/2006/relationships/hyperlink" Target="https://drive.google.com/file/d/18Pz95CwQFPcePbnoUt8o6417avP4Sskz/view?usp=sharing" TargetMode="External"/><Relationship Id="rId7" Type="http://schemas.openxmlformats.org/officeDocument/2006/relationships/hyperlink" Target="https://drive.google.com/file/d/1z0KEVQUH3d_Q-_iugTGiL1y5XQX3oxfj/view?usp=drive_link" TargetMode="External"/><Relationship Id="rId71" Type="http://schemas.openxmlformats.org/officeDocument/2006/relationships/hyperlink" Target="https://drive.google.com/file/d/18gNOJv0-bePabF7QmFtYmHS0qiI3yl1G/view?usp=sharing" TargetMode="External"/><Relationship Id="rId2" Type="http://schemas.openxmlformats.org/officeDocument/2006/relationships/hyperlink" Target="https://drive.google.com/file/d/1i2c6rTQzx6XNPd7yJ7N03cS_0hbr7YXh/view?usp=share_link" TargetMode="External"/><Relationship Id="rId16" Type="http://schemas.openxmlformats.org/officeDocument/2006/relationships/hyperlink" Target="https://drive.google.com/file/d/1Z56hp581bqT6a67KM51SrknIAyNqh_DV/view?usp=share_link" TargetMode="External"/><Relationship Id="rId29" Type="http://schemas.openxmlformats.org/officeDocument/2006/relationships/hyperlink" Target="https://drive.google.com/file/d/1pvc1ze9XaDa9zXqrR_L4HnuviO57fuh2/view?usp=sharing" TargetMode="External"/><Relationship Id="rId11" Type="http://schemas.openxmlformats.org/officeDocument/2006/relationships/hyperlink" Target="https://drive.google.com/file/d/1l-VMnqaJY3FNXMLzbqT-YA9PhuLYERlG/view?usp=drive_link" TargetMode="External"/><Relationship Id="rId24" Type="http://schemas.openxmlformats.org/officeDocument/2006/relationships/hyperlink" Target="https://drive.google.com/file/d/1WKU4ALcfGxWjE0Jei01HVHWipKw4pKWs/view?usp=share_link" TargetMode="External"/><Relationship Id="rId32" Type="http://schemas.openxmlformats.org/officeDocument/2006/relationships/hyperlink" Target="https://drive.google.com/file/d/1Op8OmCxt0XlAMLRGGpST2gaNFR7gV4sL/view?usp=sharing" TargetMode="External"/><Relationship Id="rId37" Type="http://schemas.openxmlformats.org/officeDocument/2006/relationships/hyperlink" Target="https://drive.google.com/file/d/1TgBYbVlm6FeQmlK7tCa46vgA_OyFVi7n/view?usp=drive_link" TargetMode="External"/><Relationship Id="rId40" Type="http://schemas.openxmlformats.org/officeDocument/2006/relationships/hyperlink" Target="https://drive.google.com/file/d/1uRziu4BXfqmfWXcUs6Zxl7bjtnVs826K/view?usp=drive_link" TargetMode="External"/><Relationship Id="rId45" Type="http://schemas.openxmlformats.org/officeDocument/2006/relationships/hyperlink" Target="https://drive.google.com/file/d/1C6go8NsQQmGjifEQe0XfPuNIt4ntS_TM/view?usp=sharing" TargetMode="External"/><Relationship Id="rId53" Type="http://schemas.openxmlformats.org/officeDocument/2006/relationships/hyperlink" Target="https://drive.google.com/file/d/1v2WhAr4OpRkuLQP6uJqdqsLh-x5BE4u6/view?usp=sharing" TargetMode="External"/><Relationship Id="rId58" Type="http://schemas.openxmlformats.org/officeDocument/2006/relationships/hyperlink" Target="https://drive.google.com/file/d/1lRWwko0U8qwBpMx1wJhFIi11G6DoWm4H/view?usp=sharing" TargetMode="External"/><Relationship Id="rId66" Type="http://schemas.openxmlformats.org/officeDocument/2006/relationships/hyperlink" Target="https://drive.google.com/file/d/1H5FJc-JJq73SFyfUDdXNELZf0UpKye9s/view?usp=sharing" TargetMode="External"/><Relationship Id="rId5" Type="http://schemas.openxmlformats.org/officeDocument/2006/relationships/hyperlink" Target="https://drive.google.com/file/d/1Ev0WNHh_54Z8B3mgoMWcVmQrH41Yb70F/view?usp=drive_link" TargetMode="External"/><Relationship Id="rId61" Type="http://schemas.openxmlformats.org/officeDocument/2006/relationships/hyperlink" Target="https://drive.google.com/file/d/19KWhq7ff9uHpLUqt9rh4Xh6gr8UMmFq3/view?usp=sharing" TargetMode="External"/><Relationship Id="rId19" Type="http://schemas.openxmlformats.org/officeDocument/2006/relationships/hyperlink" Target="https://drive.google.com/file/d/1McDzjTgDDuP4So2xw1P3KQW11mXRVhqu/view?usp=drive_link" TargetMode="External"/><Relationship Id="rId14" Type="http://schemas.openxmlformats.org/officeDocument/2006/relationships/hyperlink" Target="https://drive.google.com/file/d/1i09Ewa35CMrdfSNnWzn0qSHiOxq8jBKR/view?usp=share_link" TargetMode="External"/><Relationship Id="rId22" Type="http://schemas.openxmlformats.org/officeDocument/2006/relationships/hyperlink" Target="https://drive.google.com/file/d/1-_Pz5t6VNz6sIfEb7SIaiQtPCQFeNnSh/view?usp=share_link" TargetMode="External"/><Relationship Id="rId27" Type="http://schemas.openxmlformats.org/officeDocument/2006/relationships/hyperlink" Target="https://drive.google.com/file/d/1FLlNBupcjSkQ3SH0f6Vsyvtj23fAG5-K/view?usp=sharing" TargetMode="External"/><Relationship Id="rId30" Type="http://schemas.openxmlformats.org/officeDocument/2006/relationships/hyperlink" Target="https://drive.google.com/file/d/1Ix2D3ZraAvY9TY6kxCjzkZzDsBV3UJCi/view?usp=sharing" TargetMode="External"/><Relationship Id="rId35" Type="http://schemas.openxmlformats.org/officeDocument/2006/relationships/hyperlink" Target="https://drive.google.com/file/d/1vMTm7KCKRC1kRx6Pe9J_15irWa8XE1ko/view?usp=sharing" TargetMode="External"/><Relationship Id="rId43" Type="http://schemas.openxmlformats.org/officeDocument/2006/relationships/hyperlink" Target="https://drive.google.com/file/d/1DzmTd2W0fVYnUbawAvP7q80z4yuWFkJg/view?usp=sharing" TargetMode="External"/><Relationship Id="rId48" Type="http://schemas.openxmlformats.org/officeDocument/2006/relationships/hyperlink" Target="https://drive.google.com/file/d/1oxvFJUj1-TFWvuQRG7Do9ZXo7pyqmaGW/view?usp=sharing" TargetMode="External"/><Relationship Id="rId56" Type="http://schemas.openxmlformats.org/officeDocument/2006/relationships/hyperlink" Target="https://drive.google.com/file/d/1A4aL67utV2K8YzQpmGLGIrVFl-G59uQr/view?usp=sharing" TargetMode="External"/><Relationship Id="rId64" Type="http://schemas.openxmlformats.org/officeDocument/2006/relationships/hyperlink" Target="https://drive.google.com/file/d/11jvvpVYYUhpXZVLmFWh724o0GGCkQdCg/view?usp=sharing" TargetMode="External"/><Relationship Id="rId69" Type="http://schemas.openxmlformats.org/officeDocument/2006/relationships/hyperlink" Target="https://drive.google.com/file/d/1Xn1B4Ty5XJYFP_EDbatJkn47fCFG-aOJ/view?usp=sharing" TargetMode="External"/><Relationship Id="rId8" Type="http://schemas.openxmlformats.org/officeDocument/2006/relationships/hyperlink" Target="https://drive.google.com/file/d/1D0XRYili1zXCVBsHk0HavnWrzGWSwcsH/view?usp=share_link" TargetMode="External"/><Relationship Id="rId51" Type="http://schemas.openxmlformats.org/officeDocument/2006/relationships/hyperlink" Target="https://drive.google.com/file/d/1gFeF3mKWvJL1NB6P2SL-hF-P1EDYiR2w/view?usp=sharing" TargetMode="External"/><Relationship Id="rId3" Type="http://schemas.openxmlformats.org/officeDocument/2006/relationships/hyperlink" Target="https://drive.google.com/file/d/13pxE5U2tLBQJtVn3q7NJvkIa7_94tavU/view?usp=drive_link" TargetMode="External"/><Relationship Id="rId12" Type="http://schemas.openxmlformats.org/officeDocument/2006/relationships/hyperlink" Target="https://drive.google.com/file/d/1GviGH3Z-sESXwOuWBpDyZyhqaOpTTAFm/view?usp=share_link" TargetMode="External"/><Relationship Id="rId17" Type="http://schemas.openxmlformats.org/officeDocument/2006/relationships/hyperlink" Target="https://drive.google.com/file/d/1AOmWNcLSVPTqpDDvHh6jqQ6bZ-GM1OLR/view?usp=share_link" TargetMode="External"/><Relationship Id="rId25" Type="http://schemas.openxmlformats.org/officeDocument/2006/relationships/hyperlink" Target="https://drive.google.com/file/d/1hxEaZrQobTzYpc-MNOyj-gMtGOMltt7J/view?usp=sharing" TargetMode="External"/><Relationship Id="rId33" Type="http://schemas.openxmlformats.org/officeDocument/2006/relationships/hyperlink" Target="https://drive.google.com/file/d/1VUOJr_-pgS1AS3ugYs5_lKDD7zl0Npvd/view?usp=sharing" TargetMode="External"/><Relationship Id="rId38" Type="http://schemas.openxmlformats.org/officeDocument/2006/relationships/hyperlink" Target="https://drive.google.com/file/d/1PHmjFr-2iCg2qD9CbzED4RiJJh8UMlgp/view?usp=drive_link" TargetMode="External"/><Relationship Id="rId46" Type="http://schemas.openxmlformats.org/officeDocument/2006/relationships/hyperlink" Target="https://drive.google.com/file/d/1jAQjK1cnGnFZ5mMp058TvesLjmkHmCOy/view?usp=sharing" TargetMode="External"/><Relationship Id="rId59" Type="http://schemas.openxmlformats.org/officeDocument/2006/relationships/hyperlink" Target="https://drive.google.com/file/d/1KLFW2CfPFzED_qn56V4TZhhxNesAl01g/view?usp=sharing" TargetMode="External"/><Relationship Id="rId67" Type="http://schemas.openxmlformats.org/officeDocument/2006/relationships/hyperlink" Target="https://drive.google.com/file/d/1sGAcbYyq5Djc2A4LoHDYRpdh-Uby-tBz/view?usp=sharing" TargetMode="External"/><Relationship Id="rId20" Type="http://schemas.openxmlformats.org/officeDocument/2006/relationships/hyperlink" Target="https://drive.google.com/file/d/1VbEovqrLDsQ2dddK_3hKxvts7hCeWUg8/view?usp=share_link" TargetMode="External"/><Relationship Id="rId41" Type="http://schemas.openxmlformats.org/officeDocument/2006/relationships/hyperlink" Target="https://drive.google.com/file/d/1RRnm_6iRac1WSE_aO8qCGHEVx4_WYPVk/view?usp=drive_link" TargetMode="External"/><Relationship Id="rId54" Type="http://schemas.openxmlformats.org/officeDocument/2006/relationships/hyperlink" Target="https://drive.google.com/file/d/1ATryWPmNiU4mmgQlXrfIoT0p0xV_N1Z9/view?usp=sharing" TargetMode="External"/><Relationship Id="rId62" Type="http://schemas.openxmlformats.org/officeDocument/2006/relationships/hyperlink" Target="https://drive.google.com/file/d/16DOWyaHfPapR_E09Yq9ZNgz6I5L9uaoR/view?usp=sharing" TargetMode="External"/><Relationship Id="rId70" Type="http://schemas.openxmlformats.org/officeDocument/2006/relationships/hyperlink" Target="https://drive.google.com/file/d/16g3SKig4mD9yNk86XXOIHJeLnPwjcfpH/view?usp=sharing" TargetMode="External"/><Relationship Id="rId1" Type="http://schemas.openxmlformats.org/officeDocument/2006/relationships/hyperlink" Target="https://drive.google.com/file/d/1jZDDmLzT0u8iDed_s6yYK-QShJY6lIp_/view?usp=share_link" TargetMode="External"/><Relationship Id="rId6" Type="http://schemas.openxmlformats.org/officeDocument/2006/relationships/hyperlink" Target="https://drive.google.com/file/d/1JQcJ8uOe-zQwrRK5m2lveI602POhvIIM/view?usp=drive_link" TargetMode="External"/><Relationship Id="rId15" Type="http://schemas.openxmlformats.org/officeDocument/2006/relationships/hyperlink" Target="https://drive.google.com/file/d/1advJYQYPx79MoLsP7ZXZOr_8FwW2qfuw/view?usp=share_link" TargetMode="External"/><Relationship Id="rId23" Type="http://schemas.openxmlformats.org/officeDocument/2006/relationships/hyperlink" Target="https://drive.google.com/file/d/1XQMaKcaMiZagTd5meIVZtiw-yEiuXdRE/view?usp=share_link" TargetMode="External"/><Relationship Id="rId28" Type="http://schemas.openxmlformats.org/officeDocument/2006/relationships/hyperlink" Target="https://drive.google.com/file/d/1wNbKCTCkLv46KYIKxXck4xW0wruPSbJq/view?usp=sharing" TargetMode="External"/><Relationship Id="rId36" Type="http://schemas.openxmlformats.org/officeDocument/2006/relationships/hyperlink" Target="https://drive.google.com/file/d/1zapDlGMlZnuYYnJmjvBlHkMmcPNMVKZZ/view?usp=sharing" TargetMode="External"/><Relationship Id="rId49" Type="http://schemas.openxmlformats.org/officeDocument/2006/relationships/hyperlink" Target="https://drive.google.com/file/d/1ZlxZf69d2DqnPnL1VXsl3mX7lxRpISVw/view?usp=sharing" TargetMode="External"/><Relationship Id="rId57" Type="http://schemas.openxmlformats.org/officeDocument/2006/relationships/hyperlink" Target="https://drive.google.com/file/d/1S-pSPNhksNs0eTmdsl6UjgTcrgqYHqx-/view?usp=sharing" TargetMode="External"/><Relationship Id="rId10" Type="http://schemas.openxmlformats.org/officeDocument/2006/relationships/hyperlink" Target="https://drive.google.com/file/d/1yxB8QzRSjo_srPl_-FxlOi68Agb24l3A/view?usp=share_link" TargetMode="External"/><Relationship Id="rId31" Type="http://schemas.openxmlformats.org/officeDocument/2006/relationships/hyperlink" Target="https://drive.google.com/file/d/1MVN6-eZ7QEbfKrj06CNiepS2nYnd2rxS/view?usp=sharing" TargetMode="External"/><Relationship Id="rId44" Type="http://schemas.openxmlformats.org/officeDocument/2006/relationships/hyperlink" Target="https://drive.google.com/file/d/1xywnr82eM7e4EtwnAtz-8v4Pr33bkskc/view?usp=sharing" TargetMode="External"/><Relationship Id="rId52" Type="http://schemas.openxmlformats.org/officeDocument/2006/relationships/hyperlink" Target="https://drive.google.com/file/d/1UvFPM6EDdysoq-Z_-GkNml3yvw3Ox8GD/view?usp=sharing" TargetMode="External"/><Relationship Id="rId60" Type="http://schemas.openxmlformats.org/officeDocument/2006/relationships/hyperlink" Target="https://drive.google.com/file/d/1B7HyiBCH1WA26VNLLscTZPfdrU54FM0W/view?usp=sharing" TargetMode="External"/><Relationship Id="rId65" Type="http://schemas.openxmlformats.org/officeDocument/2006/relationships/hyperlink" Target="https://drive.google.com/file/d/1hU7dDX2bWAq4p314buatHA4tfDFA1Pq5/view?usp=sharing" TargetMode="External"/><Relationship Id="rId4" Type="http://schemas.openxmlformats.org/officeDocument/2006/relationships/hyperlink" Target="https://drive.google.com/file/d/1X4MzPyLpohXkyO7bDyikOSc0IyE0zjUe/view?usp=share_link" TargetMode="External"/><Relationship Id="rId9" Type="http://schemas.openxmlformats.org/officeDocument/2006/relationships/hyperlink" Target="https://drive.google.com/file/d/1-ejPTUGFXee5zhaVnWAXXRsSaqNcWlkH/view?usp=drive_link" TargetMode="External"/><Relationship Id="rId13" Type="http://schemas.openxmlformats.org/officeDocument/2006/relationships/hyperlink" Target="https://drive.google.com/file/d/17QE7pgQxv7uY_x615BUO1h0zsa96dSfd/view?usp=share_link" TargetMode="External"/><Relationship Id="rId18" Type="http://schemas.openxmlformats.org/officeDocument/2006/relationships/hyperlink" Target="https://drive.google.com/file/d/1a3inNGUmctrOzUHUm2E5WWCJwUTA6Eu8/view?usp=share_link" TargetMode="External"/><Relationship Id="rId39" Type="http://schemas.openxmlformats.org/officeDocument/2006/relationships/hyperlink" Target="https://drive.google.com/file/d/1TgBYbVlm6FeQmlK7tCa46vgA_OyFVi7n/view?usp=drive_link" TargetMode="External"/><Relationship Id="rId34" Type="http://schemas.openxmlformats.org/officeDocument/2006/relationships/hyperlink" Target="https://drive.google.com/file/d/1YSk_GvU6-OZEd87kx63F09Zp4hAXNjcb/view?usp=sharing" TargetMode="External"/><Relationship Id="rId50" Type="http://schemas.openxmlformats.org/officeDocument/2006/relationships/hyperlink" Target="https://drive.google.com/file/d/1Xecmfx_3-AtGUmoSSbhxzHXisRm8AXj9/view?usp=sharing" TargetMode="External"/><Relationship Id="rId55" Type="http://schemas.openxmlformats.org/officeDocument/2006/relationships/hyperlink" Target="https://drive.google.com/file/d/1qAvd3STawtYNJtqG4y5BVfv0CAfK5ej2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58"/>
  <sheetViews>
    <sheetView tabSelected="1" zoomScale="65" workbookViewId="0">
      <pane ySplit="2" topLeftCell="A3" activePane="bottomLeft" state="frozen"/>
      <selection pane="bottomLeft" activeCell="K3" sqref="K3"/>
    </sheetView>
  </sheetViews>
  <sheetFormatPr defaultColWidth="8.85546875" defaultRowHeight="15" x14ac:dyDescent="0.25"/>
  <cols>
    <col min="1" max="1" width="18" customWidth="1"/>
    <col min="2" max="2" width="16" customWidth="1"/>
    <col min="3" max="3" width="12" customWidth="1"/>
    <col min="4" max="4" width="49.28515625" customWidth="1"/>
    <col min="5" max="5" width="12" customWidth="1"/>
    <col min="6" max="6" width="23.85546875" bestFit="1" customWidth="1"/>
    <col min="7" max="8" width="14" customWidth="1"/>
    <col min="9" max="9" width="14" style="2" customWidth="1"/>
    <col min="10" max="10" width="16" style="2" customWidth="1"/>
    <col min="11" max="12" width="20" customWidth="1"/>
    <col min="13" max="16" width="22" customWidth="1"/>
    <col min="17" max="17" width="12" customWidth="1"/>
    <col min="18" max="18" width="10" customWidth="1"/>
    <col min="19" max="20" width="12" customWidth="1"/>
    <col min="21" max="21" width="10" customWidth="1"/>
    <col min="22" max="22" width="11.7109375" customWidth="1"/>
  </cols>
  <sheetData>
    <row r="1" spans="1:23" ht="21.95" customHeight="1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J1" s="2" t="s">
        <v>0</v>
      </c>
      <c r="K1" t="s">
        <v>0</v>
      </c>
      <c r="M1" t="s">
        <v>0</v>
      </c>
      <c r="Q1" s="26" t="s">
        <v>1</v>
      </c>
      <c r="R1" s="25"/>
      <c r="S1" s="25"/>
      <c r="T1" s="24" t="s">
        <v>2</v>
      </c>
      <c r="U1" s="25"/>
      <c r="V1" s="13"/>
    </row>
    <row r="2" spans="1:23" ht="33.950000000000003" customHeight="1" x14ac:dyDescent="0.2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77</v>
      </c>
      <c r="J2" s="4" t="s">
        <v>11</v>
      </c>
      <c r="K2" s="4" t="s">
        <v>124</v>
      </c>
      <c r="L2" s="4" t="s">
        <v>27</v>
      </c>
      <c r="M2" s="4" t="s">
        <v>12</v>
      </c>
      <c r="N2" s="4" t="s">
        <v>122</v>
      </c>
      <c r="O2" s="4" t="s">
        <v>123</v>
      </c>
      <c r="P2" s="4" t="s">
        <v>28</v>
      </c>
      <c r="Q2" s="14" t="s">
        <v>13</v>
      </c>
      <c r="R2" s="14" t="s">
        <v>14</v>
      </c>
      <c r="S2" s="14" t="s">
        <v>15</v>
      </c>
      <c r="T2" s="15" t="s">
        <v>13</v>
      </c>
      <c r="U2" s="15" t="s">
        <v>14</v>
      </c>
      <c r="V2" s="15" t="s">
        <v>15</v>
      </c>
    </row>
    <row r="3" spans="1:23" ht="18" customHeight="1" x14ac:dyDescent="0.25">
      <c r="A3" s="1" t="s">
        <v>25</v>
      </c>
      <c r="B3" s="5" t="s">
        <v>26</v>
      </c>
      <c r="C3" s="6" t="s">
        <v>16</v>
      </c>
      <c r="D3" s="6" t="s">
        <v>29</v>
      </c>
      <c r="E3" s="6">
        <v>1</v>
      </c>
      <c r="F3" s="7" t="s">
        <v>78</v>
      </c>
      <c r="G3" s="7" t="s">
        <v>76</v>
      </c>
      <c r="H3" s="6" t="s">
        <v>24</v>
      </c>
      <c r="I3" s="8" t="s">
        <v>59</v>
      </c>
      <c r="J3" s="8">
        <v>1</v>
      </c>
      <c r="K3" s="6">
        <v>392</v>
      </c>
      <c r="L3" s="9">
        <v>0</v>
      </c>
      <c r="M3" s="10">
        <v>5120000</v>
      </c>
      <c r="N3" s="23">
        <v>0.03</v>
      </c>
      <c r="O3" s="9">
        <f>M3*N3</f>
        <v>153600</v>
      </c>
      <c r="P3" s="9">
        <f>(M3+O3)*1.12</f>
        <v>5906432.0000000009</v>
      </c>
      <c r="Q3" s="16">
        <v>300727</v>
      </c>
      <c r="R3" s="17">
        <v>17.100000000000001</v>
      </c>
      <c r="S3" s="18">
        <v>1758685</v>
      </c>
      <c r="T3" s="18">
        <v>347834</v>
      </c>
      <c r="U3" s="17">
        <v>19.78</v>
      </c>
      <c r="V3" s="17">
        <v>1758685</v>
      </c>
      <c r="W3" s="22">
        <f>S3-V3</f>
        <v>0</v>
      </c>
    </row>
    <row r="4" spans="1:23" x14ac:dyDescent="0.25">
      <c r="A4" s="1" t="s">
        <v>25</v>
      </c>
      <c r="B4" s="5" t="s">
        <v>26</v>
      </c>
      <c r="C4" s="6" t="s">
        <v>16</v>
      </c>
      <c r="D4" s="6" t="s">
        <v>30</v>
      </c>
      <c r="E4" s="6">
        <v>1</v>
      </c>
      <c r="F4" s="7" t="s">
        <v>78</v>
      </c>
      <c r="G4" s="7" t="s">
        <v>76</v>
      </c>
      <c r="H4" s="6" t="s">
        <v>24</v>
      </c>
      <c r="I4" s="8" t="s">
        <v>60</v>
      </c>
      <c r="J4" s="8">
        <v>1</v>
      </c>
      <c r="K4" s="6">
        <v>480</v>
      </c>
      <c r="L4" s="9">
        <v>0</v>
      </c>
      <c r="M4" s="10">
        <v>17249996.399999999</v>
      </c>
      <c r="N4" s="23">
        <v>0.03</v>
      </c>
      <c r="O4" s="9">
        <f>M4*N4</f>
        <v>517499.89199999993</v>
      </c>
      <c r="P4" s="9">
        <f t="shared" ref="P4:P67" si="0">(M4+O4)*1.12</f>
        <v>19899595.847040001</v>
      </c>
      <c r="Q4" s="19">
        <v>2537129</v>
      </c>
      <c r="R4" s="20">
        <v>144.26</v>
      </c>
      <c r="S4" s="21">
        <v>1758685</v>
      </c>
      <c r="T4" s="21">
        <v>1774251</v>
      </c>
      <c r="U4" s="20">
        <v>100.89</v>
      </c>
      <c r="V4" s="20">
        <v>1758685</v>
      </c>
    </row>
    <row r="5" spans="1:23" x14ac:dyDescent="0.25">
      <c r="A5" s="1" t="s">
        <v>25</v>
      </c>
      <c r="B5" s="5" t="s">
        <v>26</v>
      </c>
      <c r="C5" s="6" t="s">
        <v>16</v>
      </c>
      <c r="D5" s="6" t="s">
        <v>22</v>
      </c>
      <c r="E5" s="6">
        <v>1</v>
      </c>
      <c r="F5" s="7" t="s">
        <v>78</v>
      </c>
      <c r="G5" s="7" t="s">
        <v>76</v>
      </c>
      <c r="H5" s="6" t="s">
        <v>24</v>
      </c>
      <c r="I5" s="8" t="s">
        <v>61</v>
      </c>
      <c r="J5" s="8">
        <v>1</v>
      </c>
      <c r="K5" s="6">
        <v>384</v>
      </c>
      <c r="L5" s="9">
        <v>0</v>
      </c>
      <c r="M5" s="10">
        <v>18368000</v>
      </c>
      <c r="N5" s="23">
        <v>0.03</v>
      </c>
      <c r="O5" s="9">
        <f t="shared" ref="O5:O68" si="1">M5*N5</f>
        <v>551040</v>
      </c>
      <c r="P5" s="9">
        <f t="shared" si="0"/>
        <v>21189324.800000001</v>
      </c>
      <c r="Q5" s="19">
        <v>884827</v>
      </c>
      <c r="R5" s="20">
        <v>50.31</v>
      </c>
      <c r="S5" s="21">
        <v>1758685</v>
      </c>
      <c r="T5" s="21">
        <v>1160246</v>
      </c>
      <c r="U5" s="20">
        <v>65.97</v>
      </c>
      <c r="V5" s="20">
        <v>1758685</v>
      </c>
    </row>
    <row r="6" spans="1:23" x14ac:dyDescent="0.25">
      <c r="A6" s="1" t="s">
        <v>25</v>
      </c>
      <c r="B6" s="5" t="s">
        <v>26</v>
      </c>
      <c r="C6" s="6" t="s">
        <v>16</v>
      </c>
      <c r="D6" s="6" t="s">
        <v>31</v>
      </c>
      <c r="E6" s="6">
        <v>1</v>
      </c>
      <c r="F6" s="7" t="s">
        <v>78</v>
      </c>
      <c r="G6" s="7" t="s">
        <v>76</v>
      </c>
      <c r="H6" s="6" t="s">
        <v>24</v>
      </c>
      <c r="I6" s="8" t="s">
        <v>62</v>
      </c>
      <c r="J6" s="8">
        <v>1</v>
      </c>
      <c r="K6" s="6">
        <v>480</v>
      </c>
      <c r="L6" s="9">
        <v>0</v>
      </c>
      <c r="M6" s="10">
        <v>15476699.999999998</v>
      </c>
      <c r="N6" s="23">
        <v>0.03</v>
      </c>
      <c r="O6" s="9">
        <f t="shared" si="1"/>
        <v>464300.99999999994</v>
      </c>
      <c r="P6" s="9">
        <f t="shared" si="0"/>
        <v>17853921.120000001</v>
      </c>
      <c r="Q6" s="19">
        <v>1605381</v>
      </c>
      <c r="R6" s="20">
        <v>91.28</v>
      </c>
      <c r="S6" s="21">
        <v>1758685</v>
      </c>
      <c r="T6" s="21">
        <v>1323647</v>
      </c>
      <c r="U6" s="20">
        <v>75.260000000000005</v>
      </c>
      <c r="V6" s="20">
        <v>1758685</v>
      </c>
    </row>
    <row r="7" spans="1:23" x14ac:dyDescent="0.25">
      <c r="A7" s="1" t="s">
        <v>25</v>
      </c>
      <c r="B7" s="5" t="s">
        <v>26</v>
      </c>
      <c r="C7" s="6" t="s">
        <v>16</v>
      </c>
      <c r="D7" s="6" t="s">
        <v>32</v>
      </c>
      <c r="E7" s="6">
        <v>1</v>
      </c>
      <c r="F7" s="7" t="s">
        <v>78</v>
      </c>
      <c r="G7" s="7" t="s">
        <v>76</v>
      </c>
      <c r="H7" s="6" t="s">
        <v>24</v>
      </c>
      <c r="I7" s="8" t="s">
        <v>63</v>
      </c>
      <c r="J7" s="8">
        <v>1</v>
      </c>
      <c r="K7" s="6">
        <v>357</v>
      </c>
      <c r="L7" s="9">
        <v>0</v>
      </c>
      <c r="M7" s="10">
        <v>5120000</v>
      </c>
      <c r="N7" s="23">
        <v>0.03</v>
      </c>
      <c r="O7" s="9">
        <f t="shared" si="1"/>
        <v>153600</v>
      </c>
      <c r="P7" s="9">
        <f t="shared" si="0"/>
        <v>5906432.0000000009</v>
      </c>
      <c r="Q7" s="19">
        <v>317145</v>
      </c>
      <c r="R7" s="20">
        <v>18.03</v>
      </c>
      <c r="S7" s="21">
        <v>1758685</v>
      </c>
      <c r="T7" s="21">
        <v>347104</v>
      </c>
      <c r="U7" s="20">
        <v>19.739999999999998</v>
      </c>
      <c r="V7" s="20">
        <v>1758685</v>
      </c>
    </row>
    <row r="8" spans="1:23" x14ac:dyDescent="0.25">
      <c r="A8" s="1" t="s">
        <v>25</v>
      </c>
      <c r="B8" s="5" t="s">
        <v>26</v>
      </c>
      <c r="C8" s="6" t="s">
        <v>16</v>
      </c>
      <c r="D8" s="6" t="s">
        <v>33</v>
      </c>
      <c r="E8" s="6">
        <v>1</v>
      </c>
      <c r="F8" s="7" t="s">
        <v>78</v>
      </c>
      <c r="G8" s="7" t="s">
        <v>76</v>
      </c>
      <c r="H8" s="6" t="s">
        <v>24</v>
      </c>
      <c r="I8" s="8" t="s">
        <v>64</v>
      </c>
      <c r="J8" s="8">
        <v>1</v>
      </c>
      <c r="K8" s="6">
        <v>480</v>
      </c>
      <c r="L8" s="9">
        <v>0</v>
      </c>
      <c r="M8" s="10">
        <v>4450000</v>
      </c>
      <c r="N8" s="23">
        <v>0.03</v>
      </c>
      <c r="O8" s="9">
        <f t="shared" si="1"/>
        <v>133500</v>
      </c>
      <c r="P8" s="9">
        <f t="shared" si="0"/>
        <v>5133520.0000000009</v>
      </c>
      <c r="Q8" s="19">
        <v>514584</v>
      </c>
      <c r="R8" s="20">
        <v>29.26</v>
      </c>
      <c r="S8" s="21">
        <v>1758685</v>
      </c>
      <c r="T8" s="21">
        <v>454793</v>
      </c>
      <c r="U8" s="20">
        <v>25.86</v>
      </c>
      <c r="V8" s="20">
        <v>1758685</v>
      </c>
    </row>
    <row r="9" spans="1:23" x14ac:dyDescent="0.25">
      <c r="A9" s="1" t="s">
        <v>25</v>
      </c>
      <c r="B9" s="5" t="s">
        <v>26</v>
      </c>
      <c r="C9" s="6" t="s">
        <v>16</v>
      </c>
      <c r="D9" s="6" t="s">
        <v>34</v>
      </c>
      <c r="E9" s="6">
        <v>1</v>
      </c>
      <c r="F9" s="7" t="s">
        <v>78</v>
      </c>
      <c r="G9" s="7" t="s">
        <v>76</v>
      </c>
      <c r="H9" s="6" t="s">
        <v>24</v>
      </c>
      <c r="I9" s="8" t="s">
        <v>65</v>
      </c>
      <c r="J9" s="8">
        <v>1</v>
      </c>
      <c r="K9" s="6">
        <v>357</v>
      </c>
      <c r="L9" s="9">
        <v>0</v>
      </c>
      <c r="M9" s="10">
        <v>10360000</v>
      </c>
      <c r="N9" s="23">
        <v>0.03</v>
      </c>
      <c r="O9" s="9">
        <f t="shared" si="1"/>
        <v>310800</v>
      </c>
      <c r="P9" s="9">
        <f t="shared" si="0"/>
        <v>11951296.000000002</v>
      </c>
      <c r="Q9" s="19">
        <v>763439</v>
      </c>
      <c r="R9" s="20">
        <v>43.41</v>
      </c>
      <c r="S9" s="21">
        <v>1758685</v>
      </c>
      <c r="T9" s="21">
        <v>653102</v>
      </c>
      <c r="U9" s="20">
        <v>37.14</v>
      </c>
      <c r="V9" s="20">
        <v>1758685</v>
      </c>
    </row>
    <row r="10" spans="1:23" x14ac:dyDescent="0.25">
      <c r="A10" s="1" t="s">
        <v>25</v>
      </c>
      <c r="B10" s="5" t="s">
        <v>26</v>
      </c>
      <c r="C10" s="6" t="s">
        <v>16</v>
      </c>
      <c r="D10" s="6" t="s">
        <v>19</v>
      </c>
      <c r="E10" s="6">
        <v>1</v>
      </c>
      <c r="F10" s="7" t="s">
        <v>78</v>
      </c>
      <c r="G10" s="7" t="s">
        <v>76</v>
      </c>
      <c r="H10" s="6" t="s">
        <v>24</v>
      </c>
      <c r="I10" s="8" t="s">
        <v>64</v>
      </c>
      <c r="J10" s="8">
        <v>1</v>
      </c>
      <c r="K10" s="6">
        <v>300</v>
      </c>
      <c r="L10" s="9">
        <v>0</v>
      </c>
      <c r="M10" s="10">
        <v>6120000</v>
      </c>
      <c r="N10" s="23">
        <v>0.03</v>
      </c>
      <c r="O10" s="9">
        <f t="shared" si="1"/>
        <v>183600</v>
      </c>
      <c r="P10" s="9">
        <f t="shared" si="0"/>
        <v>7060032.0000000009</v>
      </c>
      <c r="Q10" s="19">
        <v>916326</v>
      </c>
      <c r="R10" s="20">
        <v>52.1</v>
      </c>
      <c r="S10" s="21">
        <v>1758685</v>
      </c>
      <c r="T10" s="21">
        <v>637812</v>
      </c>
      <c r="U10" s="20">
        <v>36.270000000000003</v>
      </c>
      <c r="V10" s="20">
        <v>1758685</v>
      </c>
    </row>
    <row r="11" spans="1:23" x14ac:dyDescent="0.25">
      <c r="A11" s="1" t="s">
        <v>25</v>
      </c>
      <c r="B11" s="5" t="s">
        <v>26</v>
      </c>
      <c r="C11" s="6" t="s">
        <v>16</v>
      </c>
      <c r="D11" s="6" t="s">
        <v>20</v>
      </c>
      <c r="E11" s="6">
        <v>1</v>
      </c>
      <c r="F11" s="7" t="s">
        <v>78</v>
      </c>
      <c r="G11" s="7" t="s">
        <v>76</v>
      </c>
      <c r="H11" s="6" t="s">
        <v>24</v>
      </c>
      <c r="I11" s="8" t="s">
        <v>59</v>
      </c>
      <c r="J11" s="8">
        <v>1</v>
      </c>
      <c r="K11" s="6">
        <v>328</v>
      </c>
      <c r="L11" s="9">
        <v>0</v>
      </c>
      <c r="M11" s="10">
        <v>5920000</v>
      </c>
      <c r="N11" s="23">
        <v>0.03</v>
      </c>
      <c r="O11" s="9">
        <f t="shared" si="1"/>
        <v>177600</v>
      </c>
      <c r="P11" s="9">
        <f t="shared" si="0"/>
        <v>6829312.0000000009</v>
      </c>
      <c r="Q11" s="19">
        <v>670199</v>
      </c>
      <c r="R11" s="20">
        <v>38.11</v>
      </c>
      <c r="S11" s="21">
        <v>1758685</v>
      </c>
      <c r="T11" s="21">
        <v>493368</v>
      </c>
      <c r="U11" s="20">
        <v>28.05</v>
      </c>
      <c r="V11" s="20">
        <v>1758685</v>
      </c>
    </row>
    <row r="12" spans="1:23" x14ac:dyDescent="0.25">
      <c r="A12" s="1" t="s">
        <v>25</v>
      </c>
      <c r="B12" s="5" t="s">
        <v>26</v>
      </c>
      <c r="C12" s="6" t="s">
        <v>16</v>
      </c>
      <c r="D12" s="6" t="s">
        <v>35</v>
      </c>
      <c r="E12" s="6">
        <v>1</v>
      </c>
      <c r="F12" s="7" t="s">
        <v>78</v>
      </c>
      <c r="G12" s="7" t="s">
        <v>76</v>
      </c>
      <c r="H12" s="6" t="s">
        <v>24</v>
      </c>
      <c r="I12" s="8" t="s">
        <v>59</v>
      </c>
      <c r="J12" s="8">
        <v>1</v>
      </c>
      <c r="K12" s="6">
        <v>392</v>
      </c>
      <c r="L12" s="9">
        <v>0</v>
      </c>
      <c r="M12" s="10">
        <v>5120000</v>
      </c>
      <c r="N12" s="23">
        <v>0.03</v>
      </c>
      <c r="O12" s="9">
        <f t="shared" si="1"/>
        <v>153600</v>
      </c>
      <c r="P12" s="9">
        <f t="shared" si="0"/>
        <v>5906432.0000000009</v>
      </c>
      <c r="Q12" s="19">
        <v>269809</v>
      </c>
      <c r="R12" s="20">
        <v>15.34</v>
      </c>
      <c r="S12" s="21">
        <v>1758685</v>
      </c>
      <c r="T12" s="21">
        <v>246569</v>
      </c>
      <c r="U12" s="20">
        <v>14.02</v>
      </c>
      <c r="V12" s="20">
        <v>1758685</v>
      </c>
    </row>
    <row r="13" spans="1:23" x14ac:dyDescent="0.25">
      <c r="A13" s="1" t="s">
        <v>25</v>
      </c>
      <c r="B13" s="5" t="s">
        <v>26</v>
      </c>
      <c r="C13" s="6" t="s">
        <v>16</v>
      </c>
      <c r="D13" s="6" t="s">
        <v>36</v>
      </c>
      <c r="E13" s="6">
        <v>1</v>
      </c>
      <c r="F13" s="7" t="s">
        <v>78</v>
      </c>
      <c r="G13" s="7" t="s">
        <v>76</v>
      </c>
      <c r="H13" s="6" t="s">
        <v>24</v>
      </c>
      <c r="I13" s="8" t="s">
        <v>59</v>
      </c>
      <c r="J13" s="8">
        <v>1</v>
      </c>
      <c r="K13" s="6">
        <v>357</v>
      </c>
      <c r="L13" s="9">
        <v>0</v>
      </c>
      <c r="M13" s="10">
        <v>5920000</v>
      </c>
      <c r="N13" s="23">
        <v>0.03</v>
      </c>
      <c r="O13" s="9">
        <f t="shared" si="1"/>
        <v>177600</v>
      </c>
      <c r="P13" s="9">
        <f t="shared" si="0"/>
        <v>6829312.0000000009</v>
      </c>
      <c r="Q13" s="19">
        <v>198714</v>
      </c>
      <c r="R13" s="20">
        <v>11.3</v>
      </c>
      <c r="S13" s="21">
        <v>1758685</v>
      </c>
      <c r="T13" s="21">
        <v>217761</v>
      </c>
      <c r="U13" s="20">
        <v>12.38</v>
      </c>
      <c r="V13" s="20">
        <v>1758685</v>
      </c>
    </row>
    <row r="14" spans="1:23" x14ac:dyDescent="0.25">
      <c r="A14" s="1" t="s">
        <v>25</v>
      </c>
      <c r="B14" s="5" t="s">
        <v>26</v>
      </c>
      <c r="C14" s="6" t="s">
        <v>16</v>
      </c>
      <c r="D14" s="6" t="s">
        <v>37</v>
      </c>
      <c r="E14" s="6">
        <v>1</v>
      </c>
      <c r="F14" s="7" t="s">
        <v>78</v>
      </c>
      <c r="G14" s="7" t="s">
        <v>76</v>
      </c>
      <c r="H14" s="6" t="s">
        <v>24</v>
      </c>
      <c r="I14" s="8" t="s">
        <v>65</v>
      </c>
      <c r="J14" s="8">
        <v>1</v>
      </c>
      <c r="K14" s="6">
        <v>246</v>
      </c>
      <c r="L14" s="9">
        <v>0</v>
      </c>
      <c r="M14" s="10">
        <v>10522800</v>
      </c>
      <c r="N14" s="23">
        <v>0.03</v>
      </c>
      <c r="O14" s="9">
        <f t="shared" si="1"/>
        <v>315684</v>
      </c>
      <c r="P14" s="9">
        <f t="shared" si="0"/>
        <v>12139102.080000002</v>
      </c>
      <c r="Q14" s="19">
        <v>592354</v>
      </c>
      <c r="R14" s="20">
        <v>33.68</v>
      </c>
      <c r="S14" s="21">
        <v>1758685</v>
      </c>
      <c r="T14" s="21">
        <v>526306</v>
      </c>
      <c r="U14" s="20">
        <v>29.93</v>
      </c>
      <c r="V14" s="20">
        <v>1758685</v>
      </c>
    </row>
    <row r="15" spans="1:23" x14ac:dyDescent="0.25">
      <c r="A15" s="1" t="s">
        <v>25</v>
      </c>
      <c r="B15" s="5" t="s">
        <v>26</v>
      </c>
      <c r="C15" s="6" t="s">
        <v>16</v>
      </c>
      <c r="D15" s="6" t="s">
        <v>38</v>
      </c>
      <c r="E15" s="6">
        <v>1</v>
      </c>
      <c r="F15" s="7" t="s">
        <v>78</v>
      </c>
      <c r="G15" s="7" t="s">
        <v>76</v>
      </c>
      <c r="H15" s="6" t="s">
        <v>24</v>
      </c>
      <c r="I15" s="8" t="s">
        <v>59</v>
      </c>
      <c r="J15" s="8">
        <v>1</v>
      </c>
      <c r="K15" s="6">
        <v>321</v>
      </c>
      <c r="L15" s="9">
        <v>0</v>
      </c>
      <c r="M15" s="10">
        <v>5920000</v>
      </c>
      <c r="N15" s="23">
        <v>0.03</v>
      </c>
      <c r="O15" s="9">
        <f t="shared" si="1"/>
        <v>177600</v>
      </c>
      <c r="P15" s="9">
        <f t="shared" si="0"/>
        <v>6829312.0000000009</v>
      </c>
      <c r="Q15" s="19">
        <v>330172</v>
      </c>
      <c r="R15" s="20">
        <v>18.77</v>
      </c>
      <c r="S15" s="21">
        <v>1758685</v>
      </c>
      <c r="T15" s="21">
        <v>251354</v>
      </c>
      <c r="U15" s="20">
        <v>14.29</v>
      </c>
      <c r="V15" s="20">
        <v>1758685</v>
      </c>
    </row>
    <row r="16" spans="1:23" x14ac:dyDescent="0.25">
      <c r="A16" s="1" t="s">
        <v>25</v>
      </c>
      <c r="B16" s="5" t="s">
        <v>26</v>
      </c>
      <c r="C16" s="6" t="s">
        <v>16</v>
      </c>
      <c r="D16" s="6" t="s">
        <v>39</v>
      </c>
      <c r="E16" s="6">
        <v>1</v>
      </c>
      <c r="F16" s="7" t="s">
        <v>78</v>
      </c>
      <c r="G16" s="7" t="s">
        <v>76</v>
      </c>
      <c r="H16" s="6" t="s">
        <v>24</v>
      </c>
      <c r="I16" s="8" t="s">
        <v>64</v>
      </c>
      <c r="J16" s="8">
        <v>1</v>
      </c>
      <c r="K16" s="6">
        <v>822</v>
      </c>
      <c r="L16" s="9">
        <v>0</v>
      </c>
      <c r="M16" s="10">
        <v>5865000</v>
      </c>
      <c r="N16" s="23">
        <v>0.03</v>
      </c>
      <c r="O16" s="9">
        <f t="shared" si="1"/>
        <v>175950</v>
      </c>
      <c r="P16" s="9">
        <f t="shared" si="0"/>
        <v>6765864.0000000009</v>
      </c>
      <c r="Q16" s="19">
        <v>682116</v>
      </c>
      <c r="R16" s="20">
        <v>38.79</v>
      </c>
      <c r="S16" s="21">
        <v>1758685</v>
      </c>
      <c r="T16" s="21">
        <v>531140</v>
      </c>
      <c r="U16" s="20">
        <v>30.2</v>
      </c>
      <c r="V16" s="20">
        <v>1758685</v>
      </c>
    </row>
    <row r="17" spans="1:22" x14ac:dyDescent="0.25">
      <c r="A17" s="1" t="s">
        <v>25</v>
      </c>
      <c r="B17" s="5" t="s">
        <v>26</v>
      </c>
      <c r="C17" s="6" t="s">
        <v>16</v>
      </c>
      <c r="D17" s="6" t="s">
        <v>40</v>
      </c>
      <c r="E17" s="6">
        <v>1</v>
      </c>
      <c r="F17" s="7" t="s">
        <v>78</v>
      </c>
      <c r="G17" s="7" t="s">
        <v>76</v>
      </c>
      <c r="H17" s="6" t="s">
        <v>24</v>
      </c>
      <c r="I17" s="8" t="s">
        <v>59</v>
      </c>
      <c r="J17" s="8">
        <v>1</v>
      </c>
      <c r="K17" s="6">
        <v>480</v>
      </c>
      <c r="L17" s="9">
        <v>0</v>
      </c>
      <c r="M17" s="10">
        <v>6273000.0000000009</v>
      </c>
      <c r="N17" s="23">
        <v>0.03</v>
      </c>
      <c r="O17" s="9">
        <f t="shared" si="1"/>
        <v>188190.00000000003</v>
      </c>
      <c r="P17" s="9">
        <f t="shared" si="0"/>
        <v>7236532.8000000017</v>
      </c>
      <c r="Q17" s="19">
        <v>331861</v>
      </c>
      <c r="R17" s="20">
        <v>18.87</v>
      </c>
      <c r="S17" s="21">
        <v>1758685</v>
      </c>
      <c r="T17" s="21">
        <v>278107</v>
      </c>
      <c r="U17" s="20">
        <v>15.81</v>
      </c>
      <c r="V17" s="20">
        <v>1758685</v>
      </c>
    </row>
    <row r="18" spans="1:22" x14ac:dyDescent="0.25">
      <c r="A18" s="1" t="s">
        <v>25</v>
      </c>
      <c r="B18" s="5" t="s">
        <v>26</v>
      </c>
      <c r="C18" s="6" t="s">
        <v>16</v>
      </c>
      <c r="D18" s="6" t="s">
        <v>21</v>
      </c>
      <c r="E18" s="6">
        <v>1</v>
      </c>
      <c r="F18" s="7" t="s">
        <v>78</v>
      </c>
      <c r="G18" s="7" t="s">
        <v>76</v>
      </c>
      <c r="H18" s="6" t="s">
        <v>24</v>
      </c>
      <c r="I18" s="8" t="s">
        <v>66</v>
      </c>
      <c r="J18" s="8">
        <v>1</v>
      </c>
      <c r="K18" s="6">
        <v>960</v>
      </c>
      <c r="L18" s="9">
        <v>0</v>
      </c>
      <c r="M18" s="10">
        <v>5865000</v>
      </c>
      <c r="N18" s="23">
        <v>0.03</v>
      </c>
      <c r="O18" s="9">
        <f t="shared" si="1"/>
        <v>175950</v>
      </c>
      <c r="P18" s="9">
        <f t="shared" si="0"/>
        <v>6765864.0000000009</v>
      </c>
      <c r="Q18" s="19">
        <v>852483</v>
      </c>
      <c r="R18" s="20">
        <v>48.47</v>
      </c>
      <c r="S18" s="21">
        <v>1758685</v>
      </c>
      <c r="T18" s="21">
        <v>647295</v>
      </c>
      <c r="U18" s="20">
        <v>36.81</v>
      </c>
      <c r="V18" s="20">
        <v>1758685</v>
      </c>
    </row>
    <row r="19" spans="1:22" x14ac:dyDescent="0.25">
      <c r="A19" s="1" t="s">
        <v>25</v>
      </c>
      <c r="B19" s="5" t="s">
        <v>26</v>
      </c>
      <c r="C19" s="6" t="s">
        <v>16</v>
      </c>
      <c r="D19" s="6" t="s">
        <v>41</v>
      </c>
      <c r="E19" s="6">
        <v>1</v>
      </c>
      <c r="F19" s="7" t="s">
        <v>78</v>
      </c>
      <c r="G19" s="7" t="s">
        <v>76</v>
      </c>
      <c r="H19" s="6" t="s">
        <v>24</v>
      </c>
      <c r="I19" s="8" t="s">
        <v>64</v>
      </c>
      <c r="J19" s="8">
        <v>1</v>
      </c>
      <c r="K19" s="6">
        <v>640</v>
      </c>
      <c r="L19" s="9">
        <v>0</v>
      </c>
      <c r="M19" s="10">
        <v>5865000</v>
      </c>
      <c r="N19" s="23">
        <v>0.03</v>
      </c>
      <c r="O19" s="9">
        <f t="shared" si="1"/>
        <v>175950</v>
      </c>
      <c r="P19" s="9">
        <f t="shared" si="0"/>
        <v>6765864.0000000009</v>
      </c>
      <c r="Q19" s="19">
        <v>688720</v>
      </c>
      <c r="R19" s="20">
        <v>39.159999999999997</v>
      </c>
      <c r="S19" s="21">
        <v>1758685</v>
      </c>
      <c r="T19" s="21">
        <v>556291</v>
      </c>
      <c r="U19" s="20">
        <v>31.63</v>
      </c>
      <c r="V19" s="20">
        <v>1758685</v>
      </c>
    </row>
    <row r="20" spans="1:22" x14ac:dyDescent="0.25">
      <c r="A20" s="1" t="s">
        <v>25</v>
      </c>
      <c r="B20" s="5" t="s">
        <v>26</v>
      </c>
      <c r="C20" s="6" t="s">
        <v>16</v>
      </c>
      <c r="D20" s="6" t="s">
        <v>42</v>
      </c>
      <c r="E20" s="6">
        <v>1</v>
      </c>
      <c r="F20" s="7" t="s">
        <v>78</v>
      </c>
      <c r="G20" s="7" t="s">
        <v>76</v>
      </c>
      <c r="H20" s="6" t="s">
        <v>24</v>
      </c>
      <c r="I20" s="8" t="s">
        <v>59</v>
      </c>
      <c r="J20" s="8">
        <v>1</v>
      </c>
      <c r="K20" s="6">
        <v>357</v>
      </c>
      <c r="L20" s="9">
        <v>0</v>
      </c>
      <c r="M20" s="10">
        <v>5920000</v>
      </c>
      <c r="N20" s="23">
        <v>0.03</v>
      </c>
      <c r="O20" s="9">
        <f t="shared" si="1"/>
        <v>177600</v>
      </c>
      <c r="P20" s="9">
        <f t="shared" si="0"/>
        <v>6829312.0000000009</v>
      </c>
      <c r="Q20" s="19">
        <v>376943</v>
      </c>
      <c r="R20" s="20">
        <v>21.43</v>
      </c>
      <c r="S20" s="21">
        <v>1758685</v>
      </c>
      <c r="T20" s="21">
        <v>274250</v>
      </c>
      <c r="U20" s="20">
        <v>15.59</v>
      </c>
      <c r="V20" s="20">
        <v>1758685</v>
      </c>
    </row>
    <row r="21" spans="1:22" x14ac:dyDescent="0.25">
      <c r="A21" s="1" t="s">
        <v>25</v>
      </c>
      <c r="B21" s="5" t="s">
        <v>26</v>
      </c>
      <c r="C21" s="6" t="s">
        <v>16</v>
      </c>
      <c r="D21" s="6" t="s">
        <v>43</v>
      </c>
      <c r="E21" s="6">
        <v>1</v>
      </c>
      <c r="F21" s="7" t="s">
        <v>78</v>
      </c>
      <c r="G21" s="7" t="s">
        <v>76</v>
      </c>
      <c r="H21" s="6" t="s">
        <v>24</v>
      </c>
      <c r="I21" s="8" t="s">
        <v>67</v>
      </c>
      <c r="J21" s="8">
        <v>1</v>
      </c>
      <c r="K21" s="6">
        <v>320</v>
      </c>
      <c r="L21" s="9">
        <v>0</v>
      </c>
      <c r="M21" s="10">
        <v>5025000</v>
      </c>
      <c r="N21" s="23">
        <v>0.03</v>
      </c>
      <c r="O21" s="9">
        <f t="shared" si="1"/>
        <v>150750</v>
      </c>
      <c r="P21" s="9">
        <f t="shared" si="0"/>
        <v>5796840.0000000009</v>
      </c>
      <c r="Q21" s="19">
        <v>351645</v>
      </c>
      <c r="R21" s="20">
        <v>19.989999999999998</v>
      </c>
      <c r="S21" s="21">
        <v>1758685</v>
      </c>
      <c r="T21" s="21">
        <v>277902</v>
      </c>
      <c r="U21" s="20">
        <v>15.8</v>
      </c>
      <c r="V21" s="20">
        <v>1758685</v>
      </c>
    </row>
    <row r="22" spans="1:22" x14ac:dyDescent="0.25">
      <c r="A22" s="1" t="s">
        <v>25</v>
      </c>
      <c r="B22" s="5" t="s">
        <v>26</v>
      </c>
      <c r="C22" s="6" t="s">
        <v>16</v>
      </c>
      <c r="D22" s="6" t="s">
        <v>44</v>
      </c>
      <c r="E22" s="6">
        <v>1</v>
      </c>
      <c r="F22" s="7" t="s">
        <v>78</v>
      </c>
      <c r="G22" s="7" t="s">
        <v>76</v>
      </c>
      <c r="H22" s="6" t="s">
        <v>24</v>
      </c>
      <c r="I22" s="8" t="s">
        <v>64</v>
      </c>
      <c r="J22" s="8">
        <v>1</v>
      </c>
      <c r="K22" s="6">
        <v>480</v>
      </c>
      <c r="L22" s="9">
        <v>0</v>
      </c>
      <c r="M22" s="10">
        <v>5920000</v>
      </c>
      <c r="N22" s="23">
        <v>0.03</v>
      </c>
      <c r="O22" s="9">
        <f t="shared" si="1"/>
        <v>177600</v>
      </c>
      <c r="P22" s="9">
        <f t="shared" si="0"/>
        <v>6829312.0000000009</v>
      </c>
      <c r="Q22" s="19">
        <v>1770928</v>
      </c>
      <c r="R22" s="20">
        <v>100.7</v>
      </c>
      <c r="S22" s="21">
        <v>1758685</v>
      </c>
      <c r="T22" s="21">
        <v>1511777</v>
      </c>
      <c r="U22" s="20">
        <v>85.96</v>
      </c>
      <c r="V22" s="20">
        <v>1758685</v>
      </c>
    </row>
    <row r="23" spans="1:22" x14ac:dyDescent="0.25">
      <c r="A23" s="1" t="s">
        <v>25</v>
      </c>
      <c r="B23" s="5" t="s">
        <v>26</v>
      </c>
      <c r="C23" s="6" t="s">
        <v>16</v>
      </c>
      <c r="D23" s="6" t="s">
        <v>23</v>
      </c>
      <c r="E23" s="6">
        <v>1</v>
      </c>
      <c r="F23" s="7" t="s">
        <v>78</v>
      </c>
      <c r="G23" s="7" t="s">
        <v>76</v>
      </c>
      <c r="H23" s="6" t="s">
        <v>24</v>
      </c>
      <c r="I23" s="8" t="s">
        <v>59</v>
      </c>
      <c r="J23" s="8">
        <v>1</v>
      </c>
      <c r="K23" s="6">
        <v>357</v>
      </c>
      <c r="L23" s="9">
        <v>0</v>
      </c>
      <c r="M23" s="10">
        <v>5120000</v>
      </c>
      <c r="N23" s="23">
        <v>0.03</v>
      </c>
      <c r="O23" s="9">
        <f t="shared" si="1"/>
        <v>153600</v>
      </c>
      <c r="P23" s="9">
        <f t="shared" si="0"/>
        <v>5906432.0000000009</v>
      </c>
      <c r="Q23" s="19">
        <v>116134</v>
      </c>
      <c r="R23" s="20">
        <v>6.6</v>
      </c>
      <c r="S23" s="21">
        <v>1758685</v>
      </c>
      <c r="T23" s="21">
        <v>272907</v>
      </c>
      <c r="U23" s="20">
        <v>15.52</v>
      </c>
      <c r="V23" s="20">
        <v>1758685</v>
      </c>
    </row>
    <row r="24" spans="1:22" x14ac:dyDescent="0.25">
      <c r="A24" s="1" t="s">
        <v>25</v>
      </c>
      <c r="B24" s="5" t="s">
        <v>26</v>
      </c>
      <c r="C24" s="6" t="s">
        <v>16</v>
      </c>
      <c r="D24" s="6" t="s">
        <v>45</v>
      </c>
      <c r="E24" s="6">
        <v>1</v>
      </c>
      <c r="F24" s="7" t="s">
        <v>78</v>
      </c>
      <c r="G24" s="7" t="s">
        <v>76</v>
      </c>
      <c r="H24" s="6" t="s">
        <v>24</v>
      </c>
      <c r="I24" s="8" t="s">
        <v>68</v>
      </c>
      <c r="J24" s="8">
        <v>1</v>
      </c>
      <c r="K24" s="6">
        <v>700</v>
      </c>
      <c r="L24" s="9">
        <v>0</v>
      </c>
      <c r="M24" s="10">
        <v>7600000</v>
      </c>
      <c r="N24" s="23">
        <v>0.03</v>
      </c>
      <c r="O24" s="9">
        <f t="shared" si="1"/>
        <v>228000</v>
      </c>
      <c r="P24" s="9">
        <f t="shared" si="0"/>
        <v>8767360</v>
      </c>
      <c r="Q24" s="19">
        <v>637915</v>
      </c>
      <c r="R24" s="20">
        <v>36.270000000000003</v>
      </c>
      <c r="S24" s="21">
        <v>1758685</v>
      </c>
      <c r="T24" s="21">
        <v>512245</v>
      </c>
      <c r="U24" s="20">
        <v>29.13</v>
      </c>
      <c r="V24" s="20">
        <v>1758685</v>
      </c>
    </row>
    <row r="25" spans="1:22" x14ac:dyDescent="0.25">
      <c r="A25" s="1" t="s">
        <v>25</v>
      </c>
      <c r="B25" s="5" t="s">
        <v>26</v>
      </c>
      <c r="C25" s="6" t="s">
        <v>16</v>
      </c>
      <c r="D25" s="6" t="s">
        <v>46</v>
      </c>
      <c r="E25" s="6">
        <v>1</v>
      </c>
      <c r="F25" s="7" t="s">
        <v>78</v>
      </c>
      <c r="G25" s="7" t="s">
        <v>76</v>
      </c>
      <c r="H25" s="6" t="s">
        <v>24</v>
      </c>
      <c r="I25" s="8" t="s">
        <v>69</v>
      </c>
      <c r="J25" s="8">
        <v>1</v>
      </c>
      <c r="K25" s="6">
        <v>246</v>
      </c>
      <c r="L25" s="9">
        <v>0</v>
      </c>
      <c r="M25" s="10">
        <v>16174800</v>
      </c>
      <c r="N25" s="23">
        <v>0.03</v>
      </c>
      <c r="O25" s="9">
        <f t="shared" si="1"/>
        <v>485244</v>
      </c>
      <c r="P25" s="9">
        <f t="shared" si="0"/>
        <v>18659249.280000001</v>
      </c>
      <c r="Q25" s="19">
        <v>1029097</v>
      </c>
      <c r="R25" s="20">
        <v>58.52</v>
      </c>
      <c r="S25" s="21">
        <v>1758685</v>
      </c>
      <c r="T25" s="21">
        <v>1007425</v>
      </c>
      <c r="U25" s="20">
        <v>57.28</v>
      </c>
      <c r="V25" s="20">
        <v>1758685</v>
      </c>
    </row>
    <row r="26" spans="1:22" x14ac:dyDescent="0.25">
      <c r="A26" s="1" t="s">
        <v>25</v>
      </c>
      <c r="B26" s="5" t="s">
        <v>26</v>
      </c>
      <c r="C26" s="6" t="s">
        <v>16</v>
      </c>
      <c r="D26" s="6" t="s">
        <v>47</v>
      </c>
      <c r="E26" s="6">
        <v>1</v>
      </c>
      <c r="F26" s="7" t="s">
        <v>78</v>
      </c>
      <c r="G26" s="7" t="s">
        <v>76</v>
      </c>
      <c r="H26" s="6" t="s">
        <v>24</v>
      </c>
      <c r="I26" s="8" t="s">
        <v>59</v>
      </c>
      <c r="J26" s="8">
        <v>1</v>
      </c>
      <c r="K26" s="6">
        <v>357</v>
      </c>
      <c r="L26" s="9">
        <v>0</v>
      </c>
      <c r="M26" s="10">
        <v>5920000</v>
      </c>
      <c r="N26" s="23">
        <v>0.03</v>
      </c>
      <c r="O26" s="9">
        <f t="shared" si="1"/>
        <v>177600</v>
      </c>
      <c r="P26" s="9">
        <f t="shared" si="0"/>
        <v>6829312.0000000009</v>
      </c>
      <c r="Q26" s="19">
        <v>112250</v>
      </c>
      <c r="R26" s="20">
        <v>6.38</v>
      </c>
      <c r="S26" s="21">
        <v>1758685</v>
      </c>
      <c r="T26" s="21">
        <v>81667</v>
      </c>
      <c r="U26" s="20">
        <v>4.6399999999999997</v>
      </c>
      <c r="V26" s="20">
        <v>1758685</v>
      </c>
    </row>
    <row r="27" spans="1:22" x14ac:dyDescent="0.25">
      <c r="A27" s="1" t="s">
        <v>25</v>
      </c>
      <c r="B27" s="3" t="s">
        <v>26</v>
      </c>
      <c r="C27" s="11" t="s">
        <v>56</v>
      </c>
      <c r="D27" s="11" t="s">
        <v>79</v>
      </c>
      <c r="E27" s="6">
        <v>1</v>
      </c>
      <c r="F27" s="7" t="s">
        <v>78</v>
      </c>
      <c r="G27" s="7" t="s">
        <v>76</v>
      </c>
      <c r="H27" s="6" t="s">
        <v>24</v>
      </c>
      <c r="I27" s="12" t="s">
        <v>63</v>
      </c>
      <c r="J27" s="8">
        <v>1</v>
      </c>
      <c r="K27" s="11">
        <v>320</v>
      </c>
      <c r="L27" s="9">
        <v>0</v>
      </c>
      <c r="M27" s="10">
        <v>3307500</v>
      </c>
      <c r="N27" s="23">
        <v>0.03</v>
      </c>
      <c r="O27" s="9">
        <f t="shared" si="1"/>
        <v>99225</v>
      </c>
      <c r="P27" s="9">
        <f t="shared" si="0"/>
        <v>3815532.0000000005</v>
      </c>
      <c r="Q27" s="19">
        <v>104199</v>
      </c>
      <c r="R27" s="20">
        <v>43.14</v>
      </c>
      <c r="S27" s="21">
        <v>241528</v>
      </c>
      <c r="T27" s="21">
        <v>113369</v>
      </c>
      <c r="U27" s="20">
        <v>46.94</v>
      </c>
      <c r="V27" s="20">
        <v>241528</v>
      </c>
    </row>
    <row r="28" spans="1:22" x14ac:dyDescent="0.25">
      <c r="A28" s="1" t="s">
        <v>25</v>
      </c>
      <c r="B28" s="3" t="s">
        <v>26</v>
      </c>
      <c r="C28" s="11" t="s">
        <v>56</v>
      </c>
      <c r="D28" s="11" t="s">
        <v>80</v>
      </c>
      <c r="E28" s="6">
        <v>1</v>
      </c>
      <c r="F28" s="7" t="s">
        <v>78</v>
      </c>
      <c r="G28" s="7" t="s">
        <v>76</v>
      </c>
      <c r="H28" s="6" t="s">
        <v>24</v>
      </c>
      <c r="I28" s="12" t="s">
        <v>63</v>
      </c>
      <c r="J28" s="8">
        <v>1</v>
      </c>
      <c r="K28" s="11">
        <v>303</v>
      </c>
      <c r="L28" s="9">
        <v>0</v>
      </c>
      <c r="M28" s="10">
        <v>3307500</v>
      </c>
      <c r="N28" s="23">
        <v>0.03</v>
      </c>
      <c r="O28" s="9">
        <f t="shared" si="1"/>
        <v>99225</v>
      </c>
      <c r="P28" s="9">
        <f t="shared" si="0"/>
        <v>3815532.0000000005</v>
      </c>
      <c r="Q28" s="19">
        <v>47756</v>
      </c>
      <c r="R28" s="20">
        <v>19.77</v>
      </c>
      <c r="S28" s="21">
        <v>241528</v>
      </c>
      <c r="T28" s="21">
        <v>52534</v>
      </c>
      <c r="U28" s="20">
        <v>21.75</v>
      </c>
      <c r="V28" s="20">
        <v>241528</v>
      </c>
    </row>
    <row r="29" spans="1:22" x14ac:dyDescent="0.25">
      <c r="A29" s="1" t="s">
        <v>25</v>
      </c>
      <c r="B29" s="3" t="s">
        <v>26</v>
      </c>
      <c r="C29" s="11" t="s">
        <v>56</v>
      </c>
      <c r="D29" s="11" t="s">
        <v>81</v>
      </c>
      <c r="E29" s="6">
        <v>1</v>
      </c>
      <c r="F29" s="7" t="s">
        <v>78</v>
      </c>
      <c r="G29" s="7" t="s">
        <v>76</v>
      </c>
      <c r="H29" s="6" t="s">
        <v>24</v>
      </c>
      <c r="I29" s="12" t="s">
        <v>70</v>
      </c>
      <c r="J29" s="8">
        <v>1</v>
      </c>
      <c r="K29" s="11">
        <v>240</v>
      </c>
      <c r="L29" s="9">
        <v>0</v>
      </c>
      <c r="M29" s="10">
        <v>6105000</v>
      </c>
      <c r="N29" s="23">
        <v>0.03</v>
      </c>
      <c r="O29" s="9">
        <f t="shared" si="1"/>
        <v>183150</v>
      </c>
      <c r="P29" s="9">
        <f t="shared" si="0"/>
        <v>7042728.0000000009</v>
      </c>
      <c r="Q29" s="19">
        <v>75371</v>
      </c>
      <c r="R29" s="20">
        <v>31.21</v>
      </c>
      <c r="S29" s="21">
        <v>241528</v>
      </c>
      <c r="T29" s="21">
        <v>82911</v>
      </c>
      <c r="U29" s="20">
        <v>34.33</v>
      </c>
      <c r="V29" s="20">
        <v>241528</v>
      </c>
    </row>
    <row r="30" spans="1:22" x14ac:dyDescent="0.25">
      <c r="A30" s="1" t="s">
        <v>25</v>
      </c>
      <c r="B30" s="3" t="s">
        <v>26</v>
      </c>
      <c r="C30" s="11" t="s">
        <v>56</v>
      </c>
      <c r="D30" s="11" t="s">
        <v>82</v>
      </c>
      <c r="E30" s="6">
        <v>1</v>
      </c>
      <c r="F30" s="7" t="s">
        <v>78</v>
      </c>
      <c r="G30" s="7" t="s">
        <v>76</v>
      </c>
      <c r="H30" s="6" t="s">
        <v>24</v>
      </c>
      <c r="I30" s="12" t="s">
        <v>63</v>
      </c>
      <c r="J30" s="8">
        <v>1</v>
      </c>
      <c r="K30" s="11">
        <v>384</v>
      </c>
      <c r="L30" s="9">
        <v>0</v>
      </c>
      <c r="M30" s="10">
        <v>3307500</v>
      </c>
      <c r="N30" s="23">
        <v>0.03</v>
      </c>
      <c r="O30" s="9">
        <f t="shared" si="1"/>
        <v>99225</v>
      </c>
      <c r="P30" s="9">
        <f t="shared" si="0"/>
        <v>3815532.0000000005</v>
      </c>
      <c r="Q30" s="19">
        <v>48778</v>
      </c>
      <c r="R30" s="20">
        <v>20.2</v>
      </c>
      <c r="S30" s="21">
        <v>241528</v>
      </c>
      <c r="T30" s="21">
        <v>53657</v>
      </c>
      <c r="U30" s="20">
        <v>22.22</v>
      </c>
      <c r="V30" s="20">
        <v>241528</v>
      </c>
    </row>
    <row r="31" spans="1:22" x14ac:dyDescent="0.25">
      <c r="A31" s="1" t="s">
        <v>25</v>
      </c>
      <c r="B31" s="3" t="s">
        <v>26</v>
      </c>
      <c r="C31" s="11" t="s">
        <v>56</v>
      </c>
      <c r="D31" s="11" t="s">
        <v>83</v>
      </c>
      <c r="E31" s="6">
        <v>1</v>
      </c>
      <c r="F31" s="7" t="s">
        <v>78</v>
      </c>
      <c r="G31" s="7" t="s">
        <v>76</v>
      </c>
      <c r="H31" s="6" t="s">
        <v>24</v>
      </c>
      <c r="I31" s="12" t="s">
        <v>63</v>
      </c>
      <c r="J31" s="8">
        <v>1</v>
      </c>
      <c r="K31" s="11">
        <v>384</v>
      </c>
      <c r="L31" s="9">
        <v>0</v>
      </c>
      <c r="M31" s="10">
        <v>3307500</v>
      </c>
      <c r="N31" s="23">
        <v>0.03</v>
      </c>
      <c r="O31" s="9">
        <f t="shared" si="1"/>
        <v>99225</v>
      </c>
      <c r="P31" s="9">
        <f t="shared" si="0"/>
        <v>3815532.0000000005</v>
      </c>
      <c r="Q31" s="19">
        <v>44453</v>
      </c>
      <c r="R31" s="20">
        <v>18.399999999999999</v>
      </c>
      <c r="S31" s="21">
        <v>241528</v>
      </c>
      <c r="T31" s="21">
        <v>48900</v>
      </c>
      <c r="U31" s="20">
        <v>20.25</v>
      </c>
      <c r="V31" s="20">
        <v>241528</v>
      </c>
    </row>
    <row r="32" spans="1:22" x14ac:dyDescent="0.25">
      <c r="A32" s="1" t="s">
        <v>25</v>
      </c>
      <c r="B32" s="3" t="s">
        <v>26</v>
      </c>
      <c r="C32" s="11" t="s">
        <v>84</v>
      </c>
      <c r="D32" s="11" t="s">
        <v>48</v>
      </c>
      <c r="E32" s="6">
        <v>1</v>
      </c>
      <c r="F32" s="7" t="s">
        <v>78</v>
      </c>
      <c r="G32" s="7" t="s">
        <v>76</v>
      </c>
      <c r="H32" s="6" t="s">
        <v>24</v>
      </c>
      <c r="I32" s="12" t="s">
        <v>59</v>
      </c>
      <c r="J32" s="8">
        <v>1</v>
      </c>
      <c r="K32" s="11">
        <v>411</v>
      </c>
      <c r="L32" s="9">
        <v>0</v>
      </c>
      <c r="M32" s="10">
        <v>3307500</v>
      </c>
      <c r="N32" s="23">
        <v>0.03</v>
      </c>
      <c r="O32" s="9">
        <f t="shared" si="1"/>
        <v>99225</v>
      </c>
      <c r="P32" s="9">
        <f t="shared" si="0"/>
        <v>3815532.0000000005</v>
      </c>
      <c r="Q32" s="19">
        <v>29664</v>
      </c>
      <c r="R32" s="20">
        <v>19.329999999999998</v>
      </c>
      <c r="S32" s="21">
        <v>153437</v>
      </c>
      <c r="T32" s="21">
        <v>32635</v>
      </c>
      <c r="U32" s="20">
        <v>21.27</v>
      </c>
      <c r="V32" s="20">
        <v>153437</v>
      </c>
    </row>
    <row r="33" spans="1:22" x14ac:dyDescent="0.25">
      <c r="A33" s="1" t="s">
        <v>25</v>
      </c>
      <c r="B33" s="3" t="s">
        <v>26</v>
      </c>
      <c r="C33" s="11" t="s">
        <v>84</v>
      </c>
      <c r="D33" s="11" t="s">
        <v>85</v>
      </c>
      <c r="E33" s="6">
        <v>1</v>
      </c>
      <c r="F33" s="7" t="s">
        <v>78</v>
      </c>
      <c r="G33" s="7" t="s">
        <v>76</v>
      </c>
      <c r="H33" s="6" t="s">
        <v>24</v>
      </c>
      <c r="I33" s="12" t="s">
        <v>71</v>
      </c>
      <c r="J33" s="8">
        <v>1</v>
      </c>
      <c r="K33" s="11">
        <v>339</v>
      </c>
      <c r="L33" s="9">
        <v>0</v>
      </c>
      <c r="M33" s="10">
        <v>5180000</v>
      </c>
      <c r="N33" s="23">
        <v>0.03</v>
      </c>
      <c r="O33" s="9">
        <f t="shared" si="1"/>
        <v>155400</v>
      </c>
      <c r="P33" s="9">
        <f t="shared" si="0"/>
        <v>5975648.0000000009</v>
      </c>
      <c r="Q33" s="19">
        <v>23371</v>
      </c>
      <c r="R33" s="20">
        <v>15.23</v>
      </c>
      <c r="S33" s="21">
        <v>153437</v>
      </c>
      <c r="T33" s="21">
        <v>25710</v>
      </c>
      <c r="U33" s="20">
        <v>16.760000000000002</v>
      </c>
      <c r="V33" s="20">
        <v>153437</v>
      </c>
    </row>
    <row r="34" spans="1:22" x14ac:dyDescent="0.25">
      <c r="A34" s="1" t="s">
        <v>25</v>
      </c>
      <c r="B34" s="3" t="s">
        <v>26</v>
      </c>
      <c r="C34" s="11" t="s">
        <v>84</v>
      </c>
      <c r="D34" s="11" t="s">
        <v>86</v>
      </c>
      <c r="E34" s="6">
        <v>1</v>
      </c>
      <c r="F34" s="7" t="s">
        <v>78</v>
      </c>
      <c r="G34" s="7" t="s">
        <v>76</v>
      </c>
      <c r="H34" s="6" t="s">
        <v>24</v>
      </c>
      <c r="I34" s="12" t="s">
        <v>64</v>
      </c>
      <c r="J34" s="8">
        <v>1</v>
      </c>
      <c r="K34" s="11">
        <v>443</v>
      </c>
      <c r="L34" s="9">
        <v>0</v>
      </c>
      <c r="M34" s="10">
        <v>3307500</v>
      </c>
      <c r="N34" s="23">
        <v>0.03</v>
      </c>
      <c r="O34" s="9">
        <f t="shared" si="1"/>
        <v>99225</v>
      </c>
      <c r="P34" s="9">
        <f t="shared" si="0"/>
        <v>3815532.0000000005</v>
      </c>
      <c r="Q34" s="19">
        <v>67674</v>
      </c>
      <c r="R34" s="20">
        <v>44.11</v>
      </c>
      <c r="S34" s="21">
        <v>153437</v>
      </c>
      <c r="T34" s="21">
        <v>74444</v>
      </c>
      <c r="U34" s="20">
        <v>48.52</v>
      </c>
      <c r="V34" s="20">
        <v>153437</v>
      </c>
    </row>
    <row r="35" spans="1:22" x14ac:dyDescent="0.25">
      <c r="A35" s="1" t="s">
        <v>25</v>
      </c>
      <c r="B35" s="3" t="s">
        <v>26</v>
      </c>
      <c r="C35" s="11" t="s">
        <v>84</v>
      </c>
      <c r="D35" s="11" t="s">
        <v>87</v>
      </c>
      <c r="E35" s="6">
        <v>1</v>
      </c>
      <c r="F35" s="7" t="s">
        <v>78</v>
      </c>
      <c r="G35" s="7" t="s">
        <v>76</v>
      </c>
      <c r="H35" s="6" t="s">
        <v>24</v>
      </c>
      <c r="I35" s="12" t="s">
        <v>64</v>
      </c>
      <c r="J35" s="8">
        <v>1</v>
      </c>
      <c r="K35" s="11">
        <v>524</v>
      </c>
      <c r="L35" s="9">
        <v>0</v>
      </c>
      <c r="M35" s="10">
        <v>3307500</v>
      </c>
      <c r="N35" s="23">
        <v>0.03</v>
      </c>
      <c r="O35" s="9">
        <f t="shared" si="1"/>
        <v>99225</v>
      </c>
      <c r="P35" s="9">
        <f t="shared" si="0"/>
        <v>3815532.0000000005</v>
      </c>
      <c r="Q35" s="19">
        <v>46117</v>
      </c>
      <c r="R35" s="20">
        <v>30.06</v>
      </c>
      <c r="S35" s="21">
        <v>153437</v>
      </c>
      <c r="T35" s="21">
        <v>50729</v>
      </c>
      <c r="U35" s="20">
        <v>33.06</v>
      </c>
      <c r="V35" s="20">
        <v>153437</v>
      </c>
    </row>
    <row r="36" spans="1:22" x14ac:dyDescent="0.25">
      <c r="A36" s="1" t="s">
        <v>25</v>
      </c>
      <c r="B36" s="3" t="s">
        <v>26</v>
      </c>
      <c r="C36" s="11" t="s">
        <v>84</v>
      </c>
      <c r="D36" s="11" t="s">
        <v>88</v>
      </c>
      <c r="E36" s="6">
        <v>1</v>
      </c>
      <c r="F36" s="7" t="s">
        <v>78</v>
      </c>
      <c r="G36" s="7" t="s">
        <v>76</v>
      </c>
      <c r="H36" s="6" t="s">
        <v>24</v>
      </c>
      <c r="I36" s="12" t="s">
        <v>63</v>
      </c>
      <c r="J36" s="8">
        <v>1</v>
      </c>
      <c r="K36" s="11">
        <v>524</v>
      </c>
      <c r="L36" s="9">
        <v>0</v>
      </c>
      <c r="M36" s="10">
        <v>3307500</v>
      </c>
      <c r="N36" s="23">
        <v>0.03</v>
      </c>
      <c r="O36" s="9">
        <f t="shared" si="1"/>
        <v>99225</v>
      </c>
      <c r="P36" s="9">
        <f t="shared" si="0"/>
        <v>3815532.0000000005</v>
      </c>
      <c r="Q36" s="19">
        <v>81562</v>
      </c>
      <c r="R36" s="20">
        <v>53.16</v>
      </c>
      <c r="S36" s="21">
        <v>153437</v>
      </c>
      <c r="T36" s="21">
        <v>89713</v>
      </c>
      <c r="U36" s="20">
        <v>58.47</v>
      </c>
      <c r="V36" s="20">
        <v>153437</v>
      </c>
    </row>
    <row r="37" spans="1:22" x14ac:dyDescent="0.25">
      <c r="A37" s="1" t="s">
        <v>25</v>
      </c>
      <c r="B37" s="3" t="s">
        <v>26</v>
      </c>
      <c r="C37" s="11" t="s">
        <v>84</v>
      </c>
      <c r="D37" s="11" t="s">
        <v>49</v>
      </c>
      <c r="E37" s="6">
        <v>1</v>
      </c>
      <c r="F37" s="7" t="s">
        <v>78</v>
      </c>
      <c r="G37" s="7" t="s">
        <v>76</v>
      </c>
      <c r="H37" s="6" t="s">
        <v>24</v>
      </c>
      <c r="I37" s="12" t="s">
        <v>59</v>
      </c>
      <c r="J37" s="8">
        <v>1</v>
      </c>
      <c r="K37" s="11">
        <v>411</v>
      </c>
      <c r="L37" s="9">
        <v>0</v>
      </c>
      <c r="M37" s="10">
        <v>3307500</v>
      </c>
      <c r="N37" s="23">
        <v>0.03</v>
      </c>
      <c r="O37" s="9">
        <f t="shared" si="1"/>
        <v>99225</v>
      </c>
      <c r="P37" s="9">
        <f t="shared" si="0"/>
        <v>3815532.0000000005</v>
      </c>
      <c r="Q37" s="19">
        <v>46029</v>
      </c>
      <c r="R37" s="20">
        <v>30</v>
      </c>
      <c r="S37" s="21">
        <v>153437</v>
      </c>
      <c r="T37" s="21">
        <v>50632</v>
      </c>
      <c r="U37" s="20">
        <v>33</v>
      </c>
      <c r="V37" s="20">
        <v>153437</v>
      </c>
    </row>
    <row r="38" spans="1:22" x14ac:dyDescent="0.25">
      <c r="A38" s="1" t="s">
        <v>25</v>
      </c>
      <c r="B38" s="3" t="s">
        <v>26</v>
      </c>
      <c r="C38" s="11" t="s">
        <v>84</v>
      </c>
      <c r="D38" s="11" t="s">
        <v>89</v>
      </c>
      <c r="E38" s="6">
        <v>1</v>
      </c>
      <c r="F38" s="7" t="s">
        <v>78</v>
      </c>
      <c r="G38" s="7" t="s">
        <v>76</v>
      </c>
      <c r="H38" s="6" t="s">
        <v>24</v>
      </c>
      <c r="I38" s="12" t="s">
        <v>59</v>
      </c>
      <c r="J38" s="8">
        <v>1</v>
      </c>
      <c r="K38" s="11">
        <v>320</v>
      </c>
      <c r="L38" s="9">
        <v>0</v>
      </c>
      <c r="M38" s="10">
        <v>3307500</v>
      </c>
      <c r="N38" s="23">
        <v>0.03</v>
      </c>
      <c r="O38" s="9">
        <f t="shared" si="1"/>
        <v>99225</v>
      </c>
      <c r="P38" s="9">
        <f t="shared" si="0"/>
        <v>3815532.0000000005</v>
      </c>
      <c r="Q38" s="19">
        <v>24951</v>
      </c>
      <c r="R38" s="20">
        <v>16.260000000000002</v>
      </c>
      <c r="S38" s="21">
        <v>153437</v>
      </c>
      <c r="T38" s="21">
        <v>27451</v>
      </c>
      <c r="U38" s="20">
        <v>17.89</v>
      </c>
      <c r="V38" s="20">
        <v>153437</v>
      </c>
    </row>
    <row r="39" spans="1:22" x14ac:dyDescent="0.25">
      <c r="A39" s="1" t="s">
        <v>25</v>
      </c>
      <c r="B39" s="3" t="s">
        <v>26</v>
      </c>
      <c r="C39" s="6" t="s">
        <v>57</v>
      </c>
      <c r="D39" s="6" t="s">
        <v>50</v>
      </c>
      <c r="E39" s="6">
        <v>1</v>
      </c>
      <c r="F39" s="7" t="s">
        <v>78</v>
      </c>
      <c r="G39" s="7" t="s">
        <v>76</v>
      </c>
      <c r="H39" s="6" t="s">
        <v>24</v>
      </c>
      <c r="I39" s="8" t="s">
        <v>63</v>
      </c>
      <c r="J39" s="8">
        <v>1</v>
      </c>
      <c r="K39" s="11">
        <v>288</v>
      </c>
      <c r="L39" s="9">
        <v>0</v>
      </c>
      <c r="M39" s="10">
        <v>3307500</v>
      </c>
      <c r="N39" s="23">
        <v>0.03</v>
      </c>
      <c r="O39" s="9">
        <f t="shared" si="1"/>
        <v>99225</v>
      </c>
      <c r="P39" s="9">
        <f t="shared" si="0"/>
        <v>3815532.0000000005</v>
      </c>
      <c r="Q39" s="19">
        <v>26865</v>
      </c>
      <c r="R39" s="20">
        <v>23.41</v>
      </c>
      <c r="S39" s="21">
        <v>114749</v>
      </c>
      <c r="T39" s="21">
        <v>29553</v>
      </c>
      <c r="U39" s="20">
        <v>25.75</v>
      </c>
      <c r="V39" s="20">
        <v>114749</v>
      </c>
    </row>
    <row r="40" spans="1:22" x14ac:dyDescent="0.25">
      <c r="A40" s="1" t="s">
        <v>25</v>
      </c>
      <c r="B40" s="3" t="s">
        <v>26</v>
      </c>
      <c r="C40" s="6" t="s">
        <v>57</v>
      </c>
      <c r="D40" s="6" t="s">
        <v>51</v>
      </c>
      <c r="E40" s="6">
        <v>1</v>
      </c>
      <c r="F40" s="7" t="s">
        <v>78</v>
      </c>
      <c r="G40" s="7" t="s">
        <v>76</v>
      </c>
      <c r="H40" s="6" t="s">
        <v>24</v>
      </c>
      <c r="I40" s="8" t="s">
        <v>63</v>
      </c>
      <c r="J40" s="8">
        <v>1</v>
      </c>
      <c r="K40" s="11">
        <v>480</v>
      </c>
      <c r="L40" s="9">
        <v>0</v>
      </c>
      <c r="M40" s="10">
        <v>3307500</v>
      </c>
      <c r="N40" s="23">
        <v>0.03</v>
      </c>
      <c r="O40" s="9">
        <f t="shared" si="1"/>
        <v>99225</v>
      </c>
      <c r="P40" s="9">
        <f t="shared" si="0"/>
        <v>3815532.0000000005</v>
      </c>
      <c r="Q40" s="19">
        <v>21849</v>
      </c>
      <c r="R40" s="20">
        <v>19.04</v>
      </c>
      <c r="S40" s="21">
        <v>114749</v>
      </c>
      <c r="T40" s="21">
        <v>24039</v>
      </c>
      <c r="U40" s="20">
        <v>20.95</v>
      </c>
      <c r="V40" s="20">
        <v>114749</v>
      </c>
    </row>
    <row r="41" spans="1:22" x14ac:dyDescent="0.25">
      <c r="A41" s="1" t="s">
        <v>25</v>
      </c>
      <c r="B41" s="3" t="s">
        <v>26</v>
      </c>
      <c r="C41" s="6" t="s">
        <v>57</v>
      </c>
      <c r="D41" s="6" t="s">
        <v>52</v>
      </c>
      <c r="E41" s="6">
        <v>1</v>
      </c>
      <c r="F41" s="7" t="s">
        <v>78</v>
      </c>
      <c r="G41" s="7" t="s">
        <v>76</v>
      </c>
      <c r="H41" s="6" t="s">
        <v>24</v>
      </c>
      <c r="I41" s="8" t="s">
        <v>63</v>
      </c>
      <c r="J41" s="8">
        <v>1</v>
      </c>
      <c r="K41" s="11">
        <v>443</v>
      </c>
      <c r="L41" s="9">
        <v>0</v>
      </c>
      <c r="M41" s="10">
        <v>3307500</v>
      </c>
      <c r="N41" s="23">
        <v>0.03</v>
      </c>
      <c r="O41" s="9">
        <f t="shared" si="1"/>
        <v>99225</v>
      </c>
      <c r="P41" s="9">
        <f t="shared" si="0"/>
        <v>3815532.0000000005</v>
      </c>
      <c r="Q41" s="19">
        <v>33042</v>
      </c>
      <c r="R41" s="20">
        <v>28.8</v>
      </c>
      <c r="S41" s="21">
        <v>114749</v>
      </c>
      <c r="T41" s="21">
        <v>36348</v>
      </c>
      <c r="U41" s="20">
        <v>31.68</v>
      </c>
      <c r="V41" s="20">
        <v>114749</v>
      </c>
    </row>
    <row r="42" spans="1:22" x14ac:dyDescent="0.25">
      <c r="A42" s="1" t="s">
        <v>25</v>
      </c>
      <c r="B42" s="3" t="s">
        <v>26</v>
      </c>
      <c r="C42" s="6" t="s">
        <v>57</v>
      </c>
      <c r="D42" s="6" t="s">
        <v>53</v>
      </c>
      <c r="E42" s="6">
        <v>1</v>
      </c>
      <c r="F42" s="7" t="s">
        <v>78</v>
      </c>
      <c r="G42" s="7" t="s">
        <v>76</v>
      </c>
      <c r="H42" s="6" t="s">
        <v>24</v>
      </c>
      <c r="I42" s="8" t="s">
        <v>63</v>
      </c>
      <c r="J42" s="8">
        <v>1</v>
      </c>
      <c r="K42" s="11">
        <v>443</v>
      </c>
      <c r="L42" s="9">
        <v>0</v>
      </c>
      <c r="M42" s="10">
        <v>3307500</v>
      </c>
      <c r="N42" s="23">
        <v>0.03</v>
      </c>
      <c r="O42" s="9">
        <f t="shared" si="1"/>
        <v>99225</v>
      </c>
      <c r="P42" s="9">
        <f t="shared" si="0"/>
        <v>3815532.0000000005</v>
      </c>
      <c r="Q42" s="19">
        <v>28176</v>
      </c>
      <c r="R42" s="20">
        <v>24.55</v>
      </c>
      <c r="S42" s="21">
        <v>114749</v>
      </c>
      <c r="T42" s="21">
        <v>30998</v>
      </c>
      <c r="U42" s="20">
        <v>27.01</v>
      </c>
      <c r="V42" s="20">
        <v>114749</v>
      </c>
    </row>
    <row r="43" spans="1:22" x14ac:dyDescent="0.25">
      <c r="A43" s="1" t="s">
        <v>25</v>
      </c>
      <c r="B43" s="3" t="s">
        <v>26</v>
      </c>
      <c r="C43" s="6" t="s">
        <v>57</v>
      </c>
      <c r="D43" s="6" t="s">
        <v>54</v>
      </c>
      <c r="E43" s="6">
        <v>1</v>
      </c>
      <c r="F43" s="7" t="s">
        <v>78</v>
      </c>
      <c r="G43" s="7" t="s">
        <v>76</v>
      </c>
      <c r="H43" s="6" t="s">
        <v>24</v>
      </c>
      <c r="I43" s="8" t="s">
        <v>63</v>
      </c>
      <c r="J43" s="8">
        <v>1</v>
      </c>
      <c r="K43" s="11">
        <v>360</v>
      </c>
      <c r="L43" s="9">
        <v>0</v>
      </c>
      <c r="M43" s="10">
        <v>3307500</v>
      </c>
      <c r="N43" s="23">
        <v>0.03</v>
      </c>
      <c r="O43" s="9">
        <f t="shared" si="1"/>
        <v>99225</v>
      </c>
      <c r="P43" s="9">
        <f t="shared" si="0"/>
        <v>3815532.0000000005</v>
      </c>
      <c r="Q43" s="19">
        <v>20384</v>
      </c>
      <c r="R43" s="20">
        <v>17.760000000000002</v>
      </c>
      <c r="S43" s="21">
        <v>114749</v>
      </c>
      <c r="T43" s="21">
        <v>22423</v>
      </c>
      <c r="U43" s="20">
        <v>19.54</v>
      </c>
      <c r="V43" s="20">
        <v>114749</v>
      </c>
    </row>
    <row r="44" spans="1:22" x14ac:dyDescent="0.25">
      <c r="A44" s="1" t="s">
        <v>25</v>
      </c>
      <c r="B44" s="3" t="s">
        <v>26</v>
      </c>
      <c r="C44" s="6" t="s">
        <v>57</v>
      </c>
      <c r="D44" s="6" t="s">
        <v>55</v>
      </c>
      <c r="E44" s="6">
        <v>1</v>
      </c>
      <c r="F44" s="7" t="s">
        <v>78</v>
      </c>
      <c r="G44" s="7" t="s">
        <v>76</v>
      </c>
      <c r="H44" s="6" t="s">
        <v>24</v>
      </c>
      <c r="I44" s="8" t="s">
        <v>63</v>
      </c>
      <c r="J44" s="8">
        <v>1</v>
      </c>
      <c r="K44" s="11">
        <v>480</v>
      </c>
      <c r="L44" s="9">
        <v>0</v>
      </c>
      <c r="M44" s="10">
        <v>3307500</v>
      </c>
      <c r="N44" s="23">
        <v>0.03</v>
      </c>
      <c r="O44" s="9">
        <f t="shared" si="1"/>
        <v>99225</v>
      </c>
      <c r="P44" s="9">
        <f t="shared" si="0"/>
        <v>3815532.0000000005</v>
      </c>
      <c r="Q44" s="19">
        <v>19744</v>
      </c>
      <c r="R44" s="20">
        <v>17.21</v>
      </c>
      <c r="S44" s="21">
        <v>114749</v>
      </c>
      <c r="T44" s="21">
        <v>21722</v>
      </c>
      <c r="U44" s="20">
        <v>18.93</v>
      </c>
      <c r="V44" s="20">
        <v>114749</v>
      </c>
    </row>
    <row r="45" spans="1:22" x14ac:dyDescent="0.25">
      <c r="A45" s="1" t="s">
        <v>25</v>
      </c>
      <c r="B45" s="3" t="s">
        <v>26</v>
      </c>
      <c r="C45" s="11" t="s">
        <v>58</v>
      </c>
      <c r="D45" s="11" t="s">
        <v>90</v>
      </c>
      <c r="E45" s="6">
        <v>1</v>
      </c>
      <c r="F45" s="7" t="s">
        <v>78</v>
      </c>
      <c r="G45" s="7" t="s">
        <v>76</v>
      </c>
      <c r="H45" s="6" t="s">
        <v>24</v>
      </c>
      <c r="I45" s="8" t="s">
        <v>63</v>
      </c>
      <c r="J45" s="8">
        <v>1</v>
      </c>
      <c r="K45" s="11">
        <v>576</v>
      </c>
      <c r="L45" s="9">
        <v>0</v>
      </c>
      <c r="M45" s="10">
        <v>3307500</v>
      </c>
      <c r="N45" s="23">
        <v>0.03</v>
      </c>
      <c r="O45" s="9">
        <f t="shared" si="1"/>
        <v>99225</v>
      </c>
      <c r="P45" s="9">
        <f t="shared" si="0"/>
        <v>3815532.0000000005</v>
      </c>
      <c r="Q45" s="19">
        <v>120618</v>
      </c>
      <c r="R45" s="20">
        <v>35.08</v>
      </c>
      <c r="S45" s="21">
        <v>343814</v>
      </c>
      <c r="T45" s="21">
        <v>132685</v>
      </c>
      <c r="U45" s="20">
        <v>38.590000000000003</v>
      </c>
      <c r="V45" s="20">
        <v>343814</v>
      </c>
    </row>
    <row r="46" spans="1:22" x14ac:dyDescent="0.25">
      <c r="A46" s="1" t="s">
        <v>25</v>
      </c>
      <c r="B46" s="3" t="s">
        <v>26</v>
      </c>
      <c r="C46" s="11" t="s">
        <v>58</v>
      </c>
      <c r="D46" s="11" t="s">
        <v>91</v>
      </c>
      <c r="E46" s="6">
        <v>1</v>
      </c>
      <c r="F46" s="7" t="s">
        <v>78</v>
      </c>
      <c r="G46" s="7" t="s">
        <v>76</v>
      </c>
      <c r="H46" s="6" t="s">
        <v>24</v>
      </c>
      <c r="I46" s="8" t="s">
        <v>63</v>
      </c>
      <c r="J46" s="8">
        <v>1</v>
      </c>
      <c r="K46" s="11">
        <v>480</v>
      </c>
      <c r="L46" s="9">
        <v>0</v>
      </c>
      <c r="M46" s="10">
        <v>3307500</v>
      </c>
      <c r="N46" s="23">
        <v>0.03</v>
      </c>
      <c r="O46" s="9">
        <f t="shared" si="1"/>
        <v>99225</v>
      </c>
      <c r="P46" s="9">
        <f t="shared" si="0"/>
        <v>3815532.0000000005</v>
      </c>
      <c r="Q46" s="19">
        <v>107734</v>
      </c>
      <c r="R46" s="20">
        <v>31.33</v>
      </c>
      <c r="S46" s="21">
        <v>343814</v>
      </c>
      <c r="T46" s="21">
        <v>118506</v>
      </c>
      <c r="U46" s="20">
        <v>34.47</v>
      </c>
      <c r="V46" s="20">
        <v>343814</v>
      </c>
    </row>
    <row r="47" spans="1:22" x14ac:dyDescent="0.25">
      <c r="A47" s="1" t="s">
        <v>25</v>
      </c>
      <c r="B47" s="3" t="s">
        <v>26</v>
      </c>
      <c r="C47" s="11" t="s">
        <v>58</v>
      </c>
      <c r="D47" s="11" t="s">
        <v>92</v>
      </c>
      <c r="E47" s="6">
        <v>1</v>
      </c>
      <c r="F47" s="7" t="s">
        <v>78</v>
      </c>
      <c r="G47" s="7" t="s">
        <v>76</v>
      </c>
      <c r="H47" s="6" t="s">
        <v>24</v>
      </c>
      <c r="I47" s="8" t="s">
        <v>59</v>
      </c>
      <c r="J47" s="8">
        <v>1</v>
      </c>
      <c r="K47" s="11">
        <v>576</v>
      </c>
      <c r="L47" s="9">
        <v>0</v>
      </c>
      <c r="M47" s="10">
        <v>3307500</v>
      </c>
      <c r="N47" s="23">
        <v>0.03</v>
      </c>
      <c r="O47" s="9">
        <f t="shared" si="1"/>
        <v>99225</v>
      </c>
      <c r="P47" s="9">
        <f t="shared" si="0"/>
        <v>3815532.0000000005</v>
      </c>
      <c r="Q47" s="19">
        <v>132287</v>
      </c>
      <c r="R47" s="20">
        <v>38.479999999999997</v>
      </c>
      <c r="S47" s="21">
        <v>343814</v>
      </c>
      <c r="T47" s="21">
        <v>145517</v>
      </c>
      <c r="U47" s="20">
        <v>42.32</v>
      </c>
      <c r="V47" s="20">
        <v>343814</v>
      </c>
    </row>
    <row r="48" spans="1:22" x14ac:dyDescent="0.25">
      <c r="A48" s="1" t="s">
        <v>25</v>
      </c>
      <c r="B48" s="3" t="s">
        <v>26</v>
      </c>
      <c r="C48" s="11" t="s">
        <v>58</v>
      </c>
      <c r="D48" s="11" t="s">
        <v>93</v>
      </c>
      <c r="E48" s="6">
        <v>1</v>
      </c>
      <c r="F48" s="7" t="s">
        <v>78</v>
      </c>
      <c r="G48" s="7" t="s">
        <v>76</v>
      </c>
      <c r="H48" s="6" t="s">
        <v>24</v>
      </c>
      <c r="I48" s="8" t="s">
        <v>59</v>
      </c>
      <c r="J48" s="8">
        <v>1</v>
      </c>
      <c r="K48" s="11">
        <v>288</v>
      </c>
      <c r="L48" s="9">
        <v>0</v>
      </c>
      <c r="M48" s="10">
        <v>3307500</v>
      </c>
      <c r="N48" s="23">
        <v>0.03</v>
      </c>
      <c r="O48" s="9">
        <f t="shared" si="1"/>
        <v>99225</v>
      </c>
      <c r="P48" s="9">
        <f t="shared" si="0"/>
        <v>3815532.0000000005</v>
      </c>
      <c r="Q48" s="19">
        <v>78279</v>
      </c>
      <c r="R48" s="20">
        <v>22.77</v>
      </c>
      <c r="S48" s="21">
        <v>343814</v>
      </c>
      <c r="T48" s="21">
        <v>86109</v>
      </c>
      <c r="U48" s="20">
        <v>25.05</v>
      </c>
      <c r="V48" s="20">
        <v>343814</v>
      </c>
    </row>
    <row r="49" spans="1:22" x14ac:dyDescent="0.25">
      <c r="A49" s="1" t="s">
        <v>25</v>
      </c>
      <c r="B49" s="3" t="s">
        <v>26</v>
      </c>
      <c r="C49" s="11" t="s">
        <v>58</v>
      </c>
      <c r="D49" s="11" t="s">
        <v>94</v>
      </c>
      <c r="E49" s="6">
        <v>1</v>
      </c>
      <c r="F49" s="7" t="s">
        <v>78</v>
      </c>
      <c r="G49" s="7" t="s">
        <v>76</v>
      </c>
      <c r="H49" s="6" t="s">
        <v>24</v>
      </c>
      <c r="I49" s="8" t="s">
        <v>59</v>
      </c>
      <c r="J49" s="8">
        <v>1</v>
      </c>
      <c r="K49" s="11">
        <v>288</v>
      </c>
      <c r="L49" s="9">
        <v>0</v>
      </c>
      <c r="M49" s="10">
        <v>3307500</v>
      </c>
      <c r="N49" s="23">
        <v>0.03</v>
      </c>
      <c r="O49" s="9">
        <f t="shared" si="1"/>
        <v>99225</v>
      </c>
      <c r="P49" s="9">
        <f t="shared" si="0"/>
        <v>3815532.0000000005</v>
      </c>
      <c r="Q49" s="19">
        <v>88329</v>
      </c>
      <c r="R49" s="20">
        <v>25.69</v>
      </c>
      <c r="S49" s="21">
        <v>343814</v>
      </c>
      <c r="T49" s="21">
        <v>97167</v>
      </c>
      <c r="U49" s="20">
        <v>28.26</v>
      </c>
      <c r="V49" s="20">
        <v>343814</v>
      </c>
    </row>
    <row r="50" spans="1:22" x14ac:dyDescent="0.25">
      <c r="A50" s="1" t="s">
        <v>25</v>
      </c>
      <c r="B50" s="3" t="s">
        <v>26</v>
      </c>
      <c r="C50" s="11" t="s">
        <v>95</v>
      </c>
      <c r="D50" s="11" t="s">
        <v>96</v>
      </c>
      <c r="E50" s="6">
        <v>1</v>
      </c>
      <c r="F50" s="7" t="s">
        <v>78</v>
      </c>
      <c r="G50" s="7" t="s">
        <v>76</v>
      </c>
      <c r="H50" s="6" t="s">
        <v>24</v>
      </c>
      <c r="I50" s="8" t="s">
        <v>59</v>
      </c>
      <c r="J50" s="8">
        <v>1</v>
      </c>
      <c r="K50" s="11">
        <v>288</v>
      </c>
      <c r="L50" s="9">
        <v>0</v>
      </c>
      <c r="M50" s="10">
        <v>3307500</v>
      </c>
      <c r="N50" s="23">
        <v>0.03</v>
      </c>
      <c r="O50" s="9">
        <f t="shared" si="1"/>
        <v>99225</v>
      </c>
      <c r="P50" s="9">
        <f t="shared" si="0"/>
        <v>3815532.0000000005</v>
      </c>
      <c r="Q50" s="19">
        <v>26625</v>
      </c>
      <c r="R50" s="20">
        <v>19.11</v>
      </c>
      <c r="S50" s="21">
        <v>139360</v>
      </c>
      <c r="T50" s="21">
        <v>29288</v>
      </c>
      <c r="U50" s="20">
        <v>21.02</v>
      </c>
      <c r="V50" s="20">
        <v>139360</v>
      </c>
    </row>
    <row r="51" spans="1:22" x14ac:dyDescent="0.25">
      <c r="A51" s="1" t="s">
        <v>25</v>
      </c>
      <c r="B51" s="3" t="s">
        <v>26</v>
      </c>
      <c r="C51" s="11" t="s">
        <v>95</v>
      </c>
      <c r="D51" s="11" t="s">
        <v>97</v>
      </c>
      <c r="E51" s="6">
        <v>1</v>
      </c>
      <c r="F51" s="7" t="s">
        <v>78</v>
      </c>
      <c r="G51" s="7" t="s">
        <v>76</v>
      </c>
      <c r="H51" s="6" t="s">
        <v>24</v>
      </c>
      <c r="I51" s="8" t="s">
        <v>59</v>
      </c>
      <c r="J51" s="8">
        <v>1</v>
      </c>
      <c r="K51" s="11">
        <v>230</v>
      </c>
      <c r="L51" s="9">
        <v>0</v>
      </c>
      <c r="M51" s="10">
        <v>3307500</v>
      </c>
      <c r="N51" s="23">
        <v>0.03</v>
      </c>
      <c r="O51" s="9">
        <f t="shared" si="1"/>
        <v>99225</v>
      </c>
      <c r="P51" s="9">
        <f t="shared" si="0"/>
        <v>3815532.0000000005</v>
      </c>
      <c r="Q51" s="19">
        <v>40725</v>
      </c>
      <c r="R51" s="20">
        <v>29.22</v>
      </c>
      <c r="S51" s="21">
        <v>139360</v>
      </c>
      <c r="T51" s="21">
        <v>44805</v>
      </c>
      <c r="U51" s="20">
        <v>32.15</v>
      </c>
      <c r="V51" s="20">
        <v>139360</v>
      </c>
    </row>
    <row r="52" spans="1:22" x14ac:dyDescent="0.25">
      <c r="A52" s="1" t="s">
        <v>25</v>
      </c>
      <c r="B52" s="3" t="s">
        <v>26</v>
      </c>
      <c r="C52" s="11" t="s">
        <v>95</v>
      </c>
      <c r="D52" s="11" t="s">
        <v>98</v>
      </c>
      <c r="E52" s="6">
        <v>1</v>
      </c>
      <c r="F52" s="7" t="s">
        <v>78</v>
      </c>
      <c r="G52" s="7" t="s">
        <v>76</v>
      </c>
      <c r="H52" s="6" t="s">
        <v>24</v>
      </c>
      <c r="I52" s="8" t="s">
        <v>59</v>
      </c>
      <c r="J52" s="8">
        <v>1</v>
      </c>
      <c r="K52" s="11">
        <v>230</v>
      </c>
      <c r="L52" s="9">
        <v>0</v>
      </c>
      <c r="M52" s="10">
        <v>3307500</v>
      </c>
      <c r="N52" s="23">
        <v>0.03</v>
      </c>
      <c r="O52" s="9">
        <f t="shared" si="1"/>
        <v>99225</v>
      </c>
      <c r="P52" s="9">
        <f t="shared" si="0"/>
        <v>3815532.0000000005</v>
      </c>
      <c r="Q52" s="19">
        <v>34432</v>
      </c>
      <c r="R52" s="20">
        <v>24.71</v>
      </c>
      <c r="S52" s="21">
        <v>139360</v>
      </c>
      <c r="T52" s="21">
        <v>37879</v>
      </c>
      <c r="U52" s="20">
        <v>27.18</v>
      </c>
      <c r="V52" s="20">
        <v>139360</v>
      </c>
    </row>
    <row r="53" spans="1:22" x14ac:dyDescent="0.25">
      <c r="A53" s="1" t="s">
        <v>25</v>
      </c>
      <c r="B53" s="3" t="s">
        <v>26</v>
      </c>
      <c r="C53" s="11" t="s">
        <v>95</v>
      </c>
      <c r="D53" s="11" t="s">
        <v>99</v>
      </c>
      <c r="E53" s="6">
        <v>1</v>
      </c>
      <c r="F53" s="7" t="s">
        <v>78</v>
      </c>
      <c r="G53" s="7" t="s">
        <v>76</v>
      </c>
      <c r="H53" s="6" t="s">
        <v>24</v>
      </c>
      <c r="I53" s="8" t="s">
        <v>59</v>
      </c>
      <c r="J53" s="8">
        <v>1</v>
      </c>
      <c r="K53" s="11">
        <v>576</v>
      </c>
      <c r="L53" s="9">
        <v>0</v>
      </c>
      <c r="M53" s="10">
        <v>3307500</v>
      </c>
      <c r="N53" s="23">
        <v>0.03</v>
      </c>
      <c r="O53" s="9">
        <f t="shared" si="1"/>
        <v>99225</v>
      </c>
      <c r="P53" s="9">
        <f t="shared" si="0"/>
        <v>3815532.0000000005</v>
      </c>
      <c r="Q53" s="19">
        <v>37647</v>
      </c>
      <c r="R53" s="20">
        <v>27.01</v>
      </c>
      <c r="S53" s="21">
        <v>139360</v>
      </c>
      <c r="T53" s="21">
        <v>41414</v>
      </c>
      <c r="U53" s="20">
        <v>29.72</v>
      </c>
      <c r="V53" s="20">
        <v>139360</v>
      </c>
    </row>
    <row r="54" spans="1:22" x14ac:dyDescent="0.25">
      <c r="A54" s="1" t="s">
        <v>25</v>
      </c>
      <c r="B54" s="3" t="s">
        <v>26</v>
      </c>
      <c r="C54" s="11" t="s">
        <v>100</v>
      </c>
      <c r="D54" s="11" t="s">
        <v>101</v>
      </c>
      <c r="E54" s="6">
        <v>1</v>
      </c>
      <c r="F54" s="7" t="s">
        <v>78</v>
      </c>
      <c r="G54" s="7" t="s">
        <v>76</v>
      </c>
      <c r="H54" s="6" t="s">
        <v>24</v>
      </c>
      <c r="I54" s="8" t="s">
        <v>64</v>
      </c>
      <c r="J54" s="8">
        <v>1</v>
      </c>
      <c r="K54" s="11">
        <v>384</v>
      </c>
      <c r="L54" s="9">
        <v>0</v>
      </c>
      <c r="M54" s="10">
        <v>3307500</v>
      </c>
      <c r="N54" s="23">
        <v>0.03</v>
      </c>
      <c r="O54" s="9">
        <f t="shared" si="1"/>
        <v>99225</v>
      </c>
      <c r="P54" s="9">
        <f t="shared" si="0"/>
        <v>3815532.0000000005</v>
      </c>
      <c r="Q54" s="19">
        <v>35863</v>
      </c>
      <c r="R54" s="20">
        <v>25.22</v>
      </c>
      <c r="S54" s="21">
        <v>142197</v>
      </c>
      <c r="T54" s="21">
        <v>39451</v>
      </c>
      <c r="U54" s="20">
        <v>27.74</v>
      </c>
      <c r="V54" s="20">
        <v>142197</v>
      </c>
    </row>
    <row r="55" spans="1:22" x14ac:dyDescent="0.25">
      <c r="A55" s="1" t="s">
        <v>25</v>
      </c>
      <c r="B55" s="3" t="s">
        <v>26</v>
      </c>
      <c r="C55" s="11" t="s">
        <v>100</v>
      </c>
      <c r="D55" s="11" t="s">
        <v>102</v>
      </c>
      <c r="E55" s="6">
        <v>1</v>
      </c>
      <c r="F55" s="7" t="s">
        <v>78</v>
      </c>
      <c r="G55" s="7" t="s">
        <v>76</v>
      </c>
      <c r="H55" s="6" t="s">
        <v>24</v>
      </c>
      <c r="I55" s="8" t="s">
        <v>64</v>
      </c>
      <c r="J55" s="8">
        <v>1</v>
      </c>
      <c r="K55" s="11">
        <v>384</v>
      </c>
      <c r="L55" s="9">
        <v>0</v>
      </c>
      <c r="M55" s="10">
        <v>3307500</v>
      </c>
      <c r="N55" s="23">
        <v>0.03</v>
      </c>
      <c r="O55" s="9">
        <f t="shared" si="1"/>
        <v>99225</v>
      </c>
      <c r="P55" s="9">
        <f t="shared" si="0"/>
        <v>3815532.0000000005</v>
      </c>
      <c r="Q55" s="19">
        <v>43141</v>
      </c>
      <c r="R55" s="20">
        <v>30.34</v>
      </c>
      <c r="S55" s="21">
        <v>142197</v>
      </c>
      <c r="T55" s="21">
        <v>47457</v>
      </c>
      <c r="U55" s="20">
        <v>33.369999999999997</v>
      </c>
      <c r="V55" s="20">
        <v>142197</v>
      </c>
    </row>
    <row r="56" spans="1:22" x14ac:dyDescent="0.25">
      <c r="A56" s="1" t="s">
        <v>25</v>
      </c>
      <c r="B56" s="3" t="s">
        <v>26</v>
      </c>
      <c r="C56" s="11" t="s">
        <v>100</v>
      </c>
      <c r="D56" s="11" t="s">
        <v>103</v>
      </c>
      <c r="E56" s="6">
        <v>1</v>
      </c>
      <c r="F56" s="7" t="s">
        <v>78</v>
      </c>
      <c r="G56" s="7" t="s">
        <v>76</v>
      </c>
      <c r="H56" s="6" t="s">
        <v>24</v>
      </c>
      <c r="I56" s="8" t="s">
        <v>64</v>
      </c>
      <c r="J56" s="8">
        <v>1</v>
      </c>
      <c r="K56" s="11">
        <v>320</v>
      </c>
      <c r="L56" s="9">
        <v>0</v>
      </c>
      <c r="M56" s="10">
        <v>3307500</v>
      </c>
      <c r="N56" s="23">
        <v>0.03</v>
      </c>
      <c r="O56" s="9">
        <f t="shared" si="1"/>
        <v>99225</v>
      </c>
      <c r="P56" s="9">
        <f t="shared" si="0"/>
        <v>3815532.0000000005</v>
      </c>
      <c r="Q56" s="19">
        <v>50580</v>
      </c>
      <c r="R56" s="20">
        <v>35.57</v>
      </c>
      <c r="S56" s="21">
        <v>142197</v>
      </c>
      <c r="T56" s="21">
        <v>55641</v>
      </c>
      <c r="U56" s="20">
        <v>39.130000000000003</v>
      </c>
      <c r="V56" s="20">
        <v>142197</v>
      </c>
    </row>
    <row r="57" spans="1:22" x14ac:dyDescent="0.25">
      <c r="A57" s="1" t="s">
        <v>25</v>
      </c>
      <c r="B57" s="3" t="s">
        <v>26</v>
      </c>
      <c r="C57" s="11" t="s">
        <v>100</v>
      </c>
      <c r="D57" s="11" t="s">
        <v>104</v>
      </c>
      <c r="E57" s="6">
        <v>1</v>
      </c>
      <c r="F57" s="7" t="s">
        <v>78</v>
      </c>
      <c r="G57" s="7" t="s">
        <v>76</v>
      </c>
      <c r="H57" s="6" t="s">
        <v>24</v>
      </c>
      <c r="I57" s="8" t="s">
        <v>64</v>
      </c>
      <c r="J57" s="8">
        <v>1</v>
      </c>
      <c r="K57" s="11">
        <v>576</v>
      </c>
      <c r="L57" s="9">
        <v>0</v>
      </c>
      <c r="M57" s="10">
        <v>3307500</v>
      </c>
      <c r="N57" s="23">
        <v>0.03</v>
      </c>
      <c r="O57" s="9">
        <f t="shared" si="1"/>
        <v>99225</v>
      </c>
      <c r="P57" s="9">
        <f t="shared" si="0"/>
        <v>3815532.0000000005</v>
      </c>
      <c r="Q57" s="19">
        <v>28827</v>
      </c>
      <c r="R57" s="20">
        <v>20.27</v>
      </c>
      <c r="S57" s="21">
        <v>142197</v>
      </c>
      <c r="T57" s="21">
        <v>31712</v>
      </c>
      <c r="U57" s="20">
        <v>22.3</v>
      </c>
      <c r="V57" s="20">
        <v>142197</v>
      </c>
    </row>
    <row r="58" spans="1:22" x14ac:dyDescent="0.25">
      <c r="A58" s="1" t="s">
        <v>25</v>
      </c>
      <c r="B58" s="3" t="s">
        <v>26</v>
      </c>
      <c r="C58" s="11" t="s">
        <v>105</v>
      </c>
      <c r="D58" s="11" t="s">
        <v>106</v>
      </c>
      <c r="E58" s="6">
        <v>1</v>
      </c>
      <c r="F58" s="7" t="s">
        <v>78</v>
      </c>
      <c r="G58" s="7" t="s">
        <v>76</v>
      </c>
      <c r="H58" s="6" t="s">
        <v>24</v>
      </c>
      <c r="I58" s="8" t="s">
        <v>59</v>
      </c>
      <c r="J58" s="8">
        <v>1</v>
      </c>
      <c r="K58" s="11">
        <v>576</v>
      </c>
      <c r="L58" s="9">
        <v>0</v>
      </c>
      <c r="M58" s="10">
        <v>3307500</v>
      </c>
      <c r="N58" s="23">
        <v>0.03</v>
      </c>
      <c r="O58" s="9">
        <f t="shared" si="1"/>
        <v>99225</v>
      </c>
      <c r="P58" s="9">
        <f t="shared" si="0"/>
        <v>3815532.0000000005</v>
      </c>
      <c r="Q58" s="19">
        <v>32387</v>
      </c>
      <c r="R58" s="20">
        <v>33.799999999999997</v>
      </c>
      <c r="S58" s="21">
        <v>95816</v>
      </c>
      <c r="T58" s="21">
        <v>35627</v>
      </c>
      <c r="U58" s="20">
        <v>37.18</v>
      </c>
      <c r="V58" s="20">
        <v>95816</v>
      </c>
    </row>
    <row r="59" spans="1:22" x14ac:dyDescent="0.25">
      <c r="A59" s="1" t="s">
        <v>25</v>
      </c>
      <c r="B59" s="3" t="s">
        <v>26</v>
      </c>
      <c r="C59" s="11" t="s">
        <v>105</v>
      </c>
      <c r="D59" s="11" t="s">
        <v>107</v>
      </c>
      <c r="E59" s="6">
        <v>1</v>
      </c>
      <c r="F59" s="7" t="s">
        <v>78</v>
      </c>
      <c r="G59" s="7" t="s">
        <v>76</v>
      </c>
      <c r="H59" s="6" t="s">
        <v>24</v>
      </c>
      <c r="I59" s="8" t="s">
        <v>72</v>
      </c>
      <c r="J59" s="8">
        <v>1</v>
      </c>
      <c r="K59" s="11">
        <v>288</v>
      </c>
      <c r="L59" s="9">
        <v>0</v>
      </c>
      <c r="M59" s="10">
        <v>3307500</v>
      </c>
      <c r="N59" s="23">
        <v>0.03</v>
      </c>
      <c r="O59" s="9">
        <f t="shared" si="1"/>
        <v>99225</v>
      </c>
      <c r="P59" s="9">
        <f t="shared" si="0"/>
        <v>3815532.0000000005</v>
      </c>
      <c r="Q59" s="19">
        <v>23690</v>
      </c>
      <c r="R59" s="20">
        <v>24.72</v>
      </c>
      <c r="S59" s="21">
        <v>95816</v>
      </c>
      <c r="T59" s="21">
        <v>26058</v>
      </c>
      <c r="U59" s="20">
        <v>27.2</v>
      </c>
      <c r="V59" s="20">
        <v>95816</v>
      </c>
    </row>
    <row r="60" spans="1:22" x14ac:dyDescent="0.25">
      <c r="A60" s="1" t="s">
        <v>25</v>
      </c>
      <c r="B60" s="3" t="s">
        <v>26</v>
      </c>
      <c r="C60" s="11" t="s">
        <v>105</v>
      </c>
      <c r="D60" s="11" t="s">
        <v>108</v>
      </c>
      <c r="E60" s="6">
        <v>1</v>
      </c>
      <c r="F60" s="7" t="s">
        <v>78</v>
      </c>
      <c r="G60" s="7" t="s">
        <v>76</v>
      </c>
      <c r="H60" s="6" t="s">
        <v>24</v>
      </c>
      <c r="I60" s="8" t="s">
        <v>73</v>
      </c>
      <c r="J60" s="8">
        <v>1</v>
      </c>
      <c r="K60" s="11">
        <v>576</v>
      </c>
      <c r="L60" s="9">
        <v>0</v>
      </c>
      <c r="M60" s="10">
        <v>3307500</v>
      </c>
      <c r="N60" s="23">
        <v>0.03</v>
      </c>
      <c r="O60" s="9">
        <f t="shared" si="1"/>
        <v>99225</v>
      </c>
      <c r="P60" s="9">
        <f t="shared" si="0"/>
        <v>3815532.0000000005</v>
      </c>
      <c r="Q60" s="19">
        <v>50979</v>
      </c>
      <c r="R60" s="20">
        <v>53.21</v>
      </c>
      <c r="S60" s="21">
        <v>95816</v>
      </c>
      <c r="T60" s="21">
        <v>56080</v>
      </c>
      <c r="U60" s="20">
        <v>58.53</v>
      </c>
      <c r="V60" s="20">
        <v>95816</v>
      </c>
    </row>
    <row r="61" spans="1:22" x14ac:dyDescent="0.25">
      <c r="A61" s="1" t="s">
        <v>25</v>
      </c>
      <c r="B61" s="3" t="s">
        <v>26</v>
      </c>
      <c r="C61" s="11" t="s">
        <v>105</v>
      </c>
      <c r="D61" s="11" t="s">
        <v>109</v>
      </c>
      <c r="E61" s="6">
        <v>1</v>
      </c>
      <c r="F61" s="7" t="s">
        <v>78</v>
      </c>
      <c r="G61" s="7" t="s">
        <v>76</v>
      </c>
      <c r="H61" s="6" t="s">
        <v>24</v>
      </c>
      <c r="I61" s="8" t="s">
        <v>74</v>
      </c>
      <c r="J61" s="8">
        <v>1</v>
      </c>
      <c r="K61" s="11">
        <v>576</v>
      </c>
      <c r="L61" s="9">
        <v>0</v>
      </c>
      <c r="M61" s="10">
        <v>3307500</v>
      </c>
      <c r="N61" s="23">
        <v>0.03</v>
      </c>
      <c r="O61" s="9">
        <f t="shared" si="1"/>
        <v>99225</v>
      </c>
      <c r="P61" s="9">
        <f t="shared" si="0"/>
        <v>3815532.0000000005</v>
      </c>
      <c r="Q61" s="19">
        <v>34453</v>
      </c>
      <c r="R61" s="20">
        <v>35.96</v>
      </c>
      <c r="S61" s="21">
        <v>95816</v>
      </c>
      <c r="T61" s="21">
        <v>37898</v>
      </c>
      <c r="U61" s="20">
        <v>39.549999999999997</v>
      </c>
      <c r="V61" s="20">
        <v>95816</v>
      </c>
    </row>
    <row r="62" spans="1:22" x14ac:dyDescent="0.25">
      <c r="A62" s="1" t="s">
        <v>25</v>
      </c>
      <c r="B62" s="3" t="s">
        <v>26</v>
      </c>
      <c r="C62" s="11" t="s">
        <v>17</v>
      </c>
      <c r="D62" s="11" t="s">
        <v>110</v>
      </c>
      <c r="E62" s="6">
        <v>1</v>
      </c>
      <c r="F62" s="7" t="s">
        <v>78</v>
      </c>
      <c r="G62" s="7" t="s">
        <v>76</v>
      </c>
      <c r="H62" s="6" t="s">
        <v>24</v>
      </c>
      <c r="I62" s="8" t="s">
        <v>63</v>
      </c>
      <c r="J62" s="8">
        <v>1</v>
      </c>
      <c r="K62" s="11">
        <v>384</v>
      </c>
      <c r="L62" s="9">
        <v>0</v>
      </c>
      <c r="M62" s="10">
        <v>3307500</v>
      </c>
      <c r="N62" s="23">
        <v>0.03</v>
      </c>
      <c r="O62" s="9">
        <f t="shared" si="1"/>
        <v>99225</v>
      </c>
      <c r="P62" s="9">
        <f t="shared" si="0"/>
        <v>3815532.0000000005</v>
      </c>
      <c r="Q62" s="19">
        <v>85436</v>
      </c>
      <c r="R62" s="20">
        <v>40.69</v>
      </c>
      <c r="S62" s="21">
        <v>209957</v>
      </c>
      <c r="T62" s="21">
        <v>93977</v>
      </c>
      <c r="U62" s="20">
        <v>44.76</v>
      </c>
      <c r="V62" s="20">
        <v>209957</v>
      </c>
    </row>
    <row r="63" spans="1:22" x14ac:dyDescent="0.25">
      <c r="A63" s="1" t="s">
        <v>25</v>
      </c>
      <c r="B63" s="3" t="s">
        <v>26</v>
      </c>
      <c r="C63" s="11" t="s">
        <v>17</v>
      </c>
      <c r="D63" s="11" t="s">
        <v>111</v>
      </c>
      <c r="E63" s="6">
        <v>1</v>
      </c>
      <c r="F63" s="7" t="s">
        <v>78</v>
      </c>
      <c r="G63" s="7" t="s">
        <v>76</v>
      </c>
      <c r="H63" s="6" t="s">
        <v>24</v>
      </c>
      <c r="I63" s="8" t="s">
        <v>63</v>
      </c>
      <c r="J63" s="8">
        <v>1</v>
      </c>
      <c r="K63" s="11">
        <v>384</v>
      </c>
      <c r="L63" s="9">
        <v>0</v>
      </c>
      <c r="M63" s="10">
        <v>3307500</v>
      </c>
      <c r="N63" s="23">
        <v>0.03</v>
      </c>
      <c r="O63" s="9">
        <f t="shared" si="1"/>
        <v>99225</v>
      </c>
      <c r="P63" s="9">
        <f t="shared" si="0"/>
        <v>3815532.0000000005</v>
      </c>
      <c r="Q63" s="19">
        <v>68173</v>
      </c>
      <c r="R63" s="20">
        <v>32.47</v>
      </c>
      <c r="S63" s="21">
        <v>209957</v>
      </c>
      <c r="T63" s="21">
        <v>74989</v>
      </c>
      <c r="U63" s="20">
        <v>35.72</v>
      </c>
      <c r="V63" s="20">
        <v>209957</v>
      </c>
    </row>
    <row r="64" spans="1:22" x14ac:dyDescent="0.25">
      <c r="A64" s="1" t="s">
        <v>25</v>
      </c>
      <c r="B64" s="3" t="s">
        <v>26</v>
      </c>
      <c r="C64" s="11" t="s">
        <v>17</v>
      </c>
      <c r="D64" s="11" t="s">
        <v>112</v>
      </c>
      <c r="E64" s="6">
        <v>1</v>
      </c>
      <c r="F64" s="7" t="s">
        <v>78</v>
      </c>
      <c r="G64" s="7" t="s">
        <v>76</v>
      </c>
      <c r="H64" s="6" t="s">
        <v>24</v>
      </c>
      <c r="I64" s="8" t="s">
        <v>63</v>
      </c>
      <c r="J64" s="8">
        <v>1</v>
      </c>
      <c r="K64" s="11">
        <v>320</v>
      </c>
      <c r="L64" s="9">
        <v>0</v>
      </c>
      <c r="M64" s="10">
        <v>3307500</v>
      </c>
      <c r="N64" s="23">
        <v>0.03</v>
      </c>
      <c r="O64" s="9">
        <f t="shared" si="1"/>
        <v>99225</v>
      </c>
      <c r="P64" s="9">
        <f t="shared" si="0"/>
        <v>3815532.0000000005</v>
      </c>
      <c r="Q64" s="19">
        <v>48449</v>
      </c>
      <c r="R64" s="20">
        <v>23.08</v>
      </c>
      <c r="S64" s="21">
        <v>209957</v>
      </c>
      <c r="T64" s="21">
        <v>53293</v>
      </c>
      <c r="U64" s="20">
        <v>25.38</v>
      </c>
      <c r="V64" s="20">
        <v>209957</v>
      </c>
    </row>
    <row r="65" spans="1:22" x14ac:dyDescent="0.25">
      <c r="A65" s="1" t="s">
        <v>25</v>
      </c>
      <c r="B65" s="3" t="s">
        <v>26</v>
      </c>
      <c r="C65" s="11" t="s">
        <v>17</v>
      </c>
      <c r="D65" s="11" t="s">
        <v>113</v>
      </c>
      <c r="E65" s="6">
        <v>1</v>
      </c>
      <c r="F65" s="7" t="s">
        <v>78</v>
      </c>
      <c r="G65" s="7" t="s">
        <v>76</v>
      </c>
      <c r="H65" s="6" t="s">
        <v>24</v>
      </c>
      <c r="I65" s="8" t="s">
        <v>63</v>
      </c>
      <c r="J65" s="8">
        <v>1</v>
      </c>
      <c r="K65" s="11">
        <v>576</v>
      </c>
      <c r="L65" s="9">
        <v>0</v>
      </c>
      <c r="M65" s="10">
        <v>3307500</v>
      </c>
      <c r="N65" s="23">
        <v>0.03</v>
      </c>
      <c r="O65" s="9">
        <f t="shared" si="1"/>
        <v>99225</v>
      </c>
      <c r="P65" s="9">
        <f t="shared" si="0"/>
        <v>3815532.0000000005</v>
      </c>
      <c r="Q65" s="19">
        <v>50995</v>
      </c>
      <c r="R65" s="20">
        <v>24.29</v>
      </c>
      <c r="S65" s="21">
        <v>209957</v>
      </c>
      <c r="T65" s="21">
        <v>56094</v>
      </c>
      <c r="U65" s="20">
        <v>26.72</v>
      </c>
      <c r="V65" s="20">
        <v>209957</v>
      </c>
    </row>
    <row r="66" spans="1:22" x14ac:dyDescent="0.25">
      <c r="A66" s="1" t="s">
        <v>25</v>
      </c>
      <c r="B66" s="3" t="s">
        <v>26</v>
      </c>
      <c r="C66" s="11" t="s">
        <v>17</v>
      </c>
      <c r="D66" s="11" t="s">
        <v>114</v>
      </c>
      <c r="E66" s="6">
        <v>1</v>
      </c>
      <c r="F66" s="7" t="s">
        <v>78</v>
      </c>
      <c r="G66" s="7" t="s">
        <v>76</v>
      </c>
      <c r="H66" s="6" t="s">
        <v>24</v>
      </c>
      <c r="I66" s="8" t="s">
        <v>63</v>
      </c>
      <c r="J66" s="8">
        <v>1</v>
      </c>
      <c r="K66" s="11">
        <v>576</v>
      </c>
      <c r="L66" s="9">
        <v>0</v>
      </c>
      <c r="M66" s="10">
        <v>3307500</v>
      </c>
      <c r="N66" s="23">
        <v>0.03</v>
      </c>
      <c r="O66" s="9">
        <f t="shared" si="1"/>
        <v>99225</v>
      </c>
      <c r="P66" s="9">
        <f t="shared" si="0"/>
        <v>3815532.0000000005</v>
      </c>
      <c r="Q66" s="19">
        <v>102616</v>
      </c>
      <c r="R66" s="20">
        <v>48.87</v>
      </c>
      <c r="S66" s="21">
        <v>209957</v>
      </c>
      <c r="T66" s="21">
        <v>112878</v>
      </c>
      <c r="U66" s="20">
        <v>53.76</v>
      </c>
      <c r="V66" s="20">
        <v>209957</v>
      </c>
    </row>
    <row r="67" spans="1:22" x14ac:dyDescent="0.25">
      <c r="A67" s="1" t="s">
        <v>25</v>
      </c>
      <c r="B67" s="3" t="s">
        <v>26</v>
      </c>
      <c r="C67" s="11" t="s">
        <v>18</v>
      </c>
      <c r="D67" s="11" t="s">
        <v>115</v>
      </c>
      <c r="E67" s="6">
        <v>1</v>
      </c>
      <c r="F67" s="7" t="s">
        <v>78</v>
      </c>
      <c r="G67" s="7" t="s">
        <v>76</v>
      </c>
      <c r="H67" s="6" t="s">
        <v>24</v>
      </c>
      <c r="I67" s="8" t="s">
        <v>64</v>
      </c>
      <c r="J67" s="8">
        <v>1</v>
      </c>
      <c r="K67" s="11">
        <v>288</v>
      </c>
      <c r="L67" s="9">
        <v>0</v>
      </c>
      <c r="M67" s="10">
        <v>3307500</v>
      </c>
      <c r="N67" s="23">
        <v>0.03</v>
      </c>
      <c r="O67" s="9">
        <f t="shared" si="1"/>
        <v>99225</v>
      </c>
      <c r="P67" s="9">
        <f t="shared" si="0"/>
        <v>3815532.0000000005</v>
      </c>
      <c r="Q67" s="19">
        <v>69255</v>
      </c>
      <c r="R67" s="20">
        <v>22.73</v>
      </c>
      <c r="S67" s="21">
        <v>304698</v>
      </c>
      <c r="T67" s="21">
        <v>76179</v>
      </c>
      <c r="U67" s="20">
        <v>25</v>
      </c>
      <c r="V67" s="20">
        <v>304698</v>
      </c>
    </row>
    <row r="68" spans="1:22" x14ac:dyDescent="0.25">
      <c r="A68" s="1" t="s">
        <v>25</v>
      </c>
      <c r="B68" s="3" t="s">
        <v>26</v>
      </c>
      <c r="C68" s="11" t="s">
        <v>18</v>
      </c>
      <c r="D68" s="11" t="s">
        <v>116</v>
      </c>
      <c r="E68" s="6">
        <v>1</v>
      </c>
      <c r="F68" s="7" t="s">
        <v>78</v>
      </c>
      <c r="G68" s="7" t="s">
        <v>76</v>
      </c>
      <c r="H68" s="6" t="s">
        <v>24</v>
      </c>
      <c r="I68" s="8" t="s">
        <v>75</v>
      </c>
      <c r="J68" s="8">
        <v>1</v>
      </c>
      <c r="K68" s="11">
        <v>576</v>
      </c>
      <c r="L68" s="9">
        <v>0</v>
      </c>
      <c r="M68" s="10">
        <v>3307500</v>
      </c>
      <c r="N68" s="23">
        <v>0.03</v>
      </c>
      <c r="O68" s="9">
        <f t="shared" si="1"/>
        <v>99225</v>
      </c>
      <c r="P68" s="9">
        <f t="shared" ref="P68:P71" si="2">(M68+O68)*1.12</f>
        <v>3815532.0000000005</v>
      </c>
      <c r="Q68" s="19">
        <v>93055</v>
      </c>
      <c r="R68" s="20">
        <v>30.54</v>
      </c>
      <c r="S68" s="21">
        <v>304698</v>
      </c>
      <c r="T68" s="21">
        <v>102362</v>
      </c>
      <c r="U68" s="20">
        <v>33.590000000000003</v>
      </c>
      <c r="V68" s="20">
        <v>304698</v>
      </c>
    </row>
    <row r="69" spans="1:22" x14ac:dyDescent="0.25">
      <c r="A69" s="1" t="s">
        <v>25</v>
      </c>
      <c r="B69" s="3" t="s">
        <v>26</v>
      </c>
      <c r="C69" s="11" t="s">
        <v>18</v>
      </c>
      <c r="D69" s="11" t="s">
        <v>117</v>
      </c>
      <c r="E69" s="6">
        <v>1</v>
      </c>
      <c r="F69" s="7" t="s">
        <v>78</v>
      </c>
      <c r="G69" s="7" t="s">
        <v>76</v>
      </c>
      <c r="H69" s="6" t="s">
        <v>24</v>
      </c>
      <c r="I69" s="8" t="s">
        <v>64</v>
      </c>
      <c r="J69" s="8">
        <v>1</v>
      </c>
      <c r="K69" s="11">
        <v>451</v>
      </c>
      <c r="L69" s="9">
        <v>0</v>
      </c>
      <c r="M69" s="10">
        <v>3307500</v>
      </c>
      <c r="N69" s="23">
        <v>0.03</v>
      </c>
      <c r="O69" s="9">
        <f t="shared" ref="O69:O73" si="3">M69*N69</f>
        <v>99225</v>
      </c>
      <c r="P69" s="9">
        <f t="shared" si="2"/>
        <v>3815532.0000000005</v>
      </c>
      <c r="Q69" s="19">
        <v>57935</v>
      </c>
      <c r="R69" s="20">
        <v>19.010000000000002</v>
      </c>
      <c r="S69" s="21">
        <v>304698</v>
      </c>
      <c r="T69" s="21">
        <v>63729</v>
      </c>
      <c r="U69" s="20">
        <v>20.92</v>
      </c>
      <c r="V69" s="20">
        <v>304698</v>
      </c>
    </row>
    <row r="70" spans="1:22" x14ac:dyDescent="0.25">
      <c r="A70" s="1" t="s">
        <v>25</v>
      </c>
      <c r="B70" s="3" t="s">
        <v>26</v>
      </c>
      <c r="C70" s="11" t="s">
        <v>18</v>
      </c>
      <c r="D70" s="11" t="s">
        <v>118</v>
      </c>
      <c r="E70" s="6">
        <v>1</v>
      </c>
      <c r="F70" s="7" t="s">
        <v>78</v>
      </c>
      <c r="G70" s="7" t="s">
        <v>76</v>
      </c>
      <c r="H70" s="6" t="s">
        <v>24</v>
      </c>
      <c r="I70" s="8" t="s">
        <v>75</v>
      </c>
      <c r="J70" s="8">
        <v>1</v>
      </c>
      <c r="K70" s="11">
        <v>331</v>
      </c>
      <c r="L70" s="9">
        <v>0</v>
      </c>
      <c r="M70" s="10">
        <v>3307500</v>
      </c>
      <c r="N70" s="23">
        <v>0.03</v>
      </c>
      <c r="O70" s="9">
        <f t="shared" si="3"/>
        <v>99225</v>
      </c>
      <c r="P70" s="9">
        <f t="shared" si="2"/>
        <v>3815532.0000000005</v>
      </c>
      <c r="Q70" s="19">
        <v>40267</v>
      </c>
      <c r="R70" s="20">
        <v>13.22</v>
      </c>
      <c r="S70" s="21">
        <v>304698</v>
      </c>
      <c r="T70" s="21">
        <v>44293</v>
      </c>
      <c r="U70" s="20">
        <v>14.54</v>
      </c>
      <c r="V70" s="20">
        <v>304698</v>
      </c>
    </row>
    <row r="71" spans="1:22" x14ac:dyDescent="0.25">
      <c r="A71" s="1" t="s">
        <v>25</v>
      </c>
      <c r="B71" s="3" t="s">
        <v>26</v>
      </c>
      <c r="C71" s="11" t="s">
        <v>18</v>
      </c>
      <c r="D71" s="11" t="s">
        <v>119</v>
      </c>
      <c r="E71" s="6">
        <v>1</v>
      </c>
      <c r="F71" s="7" t="s">
        <v>78</v>
      </c>
      <c r="G71" s="7" t="s">
        <v>76</v>
      </c>
      <c r="H71" s="6" t="s">
        <v>24</v>
      </c>
      <c r="I71" s="8" t="s">
        <v>59</v>
      </c>
      <c r="J71" s="8">
        <v>1</v>
      </c>
      <c r="K71" s="11">
        <v>330</v>
      </c>
      <c r="L71" s="9">
        <v>0</v>
      </c>
      <c r="M71" s="10">
        <v>3307500</v>
      </c>
      <c r="N71" s="23">
        <v>0.03</v>
      </c>
      <c r="O71" s="9">
        <f t="shared" si="3"/>
        <v>99225</v>
      </c>
      <c r="P71" s="9">
        <f t="shared" si="2"/>
        <v>3815532.0000000005</v>
      </c>
      <c r="Q71" s="19">
        <v>157687</v>
      </c>
      <c r="R71" s="20">
        <v>51.75</v>
      </c>
      <c r="S71" s="21">
        <v>304698</v>
      </c>
      <c r="T71" s="21">
        <v>173463</v>
      </c>
      <c r="U71" s="20">
        <v>56.93</v>
      </c>
      <c r="V71" s="20">
        <v>304698</v>
      </c>
    </row>
    <row r="72" spans="1:22" x14ac:dyDescent="0.25">
      <c r="A72" s="1" t="s">
        <v>25</v>
      </c>
      <c r="B72" s="3" t="s">
        <v>26</v>
      </c>
      <c r="C72" s="11" t="s">
        <v>18</v>
      </c>
      <c r="D72" s="11" t="s">
        <v>120</v>
      </c>
      <c r="E72" s="6">
        <v>1</v>
      </c>
      <c r="F72" s="7" t="s">
        <v>78</v>
      </c>
      <c r="G72" s="7" t="s">
        <v>76</v>
      </c>
      <c r="H72" s="6" t="s">
        <v>24</v>
      </c>
      <c r="I72" s="8" t="s">
        <v>59</v>
      </c>
      <c r="J72" s="8">
        <v>1</v>
      </c>
      <c r="K72" s="11">
        <v>361</v>
      </c>
      <c r="L72" s="9">
        <v>0</v>
      </c>
      <c r="M72" s="10">
        <v>3307500</v>
      </c>
      <c r="N72" s="23">
        <v>0.03</v>
      </c>
      <c r="O72" s="9">
        <f t="shared" si="3"/>
        <v>99225</v>
      </c>
      <c r="P72" s="9">
        <f>(M72+O72+L72)*1.12</f>
        <v>3815532.0000000005</v>
      </c>
      <c r="Q72" s="19">
        <v>218822</v>
      </c>
      <c r="R72" s="20">
        <v>71.819999999999993</v>
      </c>
      <c r="S72" s="21">
        <v>304698</v>
      </c>
      <c r="T72" s="21">
        <v>240704</v>
      </c>
      <c r="U72" s="20">
        <v>79</v>
      </c>
      <c r="V72" s="20">
        <v>304698</v>
      </c>
    </row>
    <row r="73" spans="1:22" x14ac:dyDescent="0.25">
      <c r="A73" s="1" t="s">
        <v>25</v>
      </c>
      <c r="B73" s="3" t="s">
        <v>26</v>
      </c>
      <c r="C73" s="11" t="s">
        <v>18</v>
      </c>
      <c r="D73" s="11" t="s">
        <v>121</v>
      </c>
      <c r="E73" s="6">
        <v>1</v>
      </c>
      <c r="F73" s="7" t="s">
        <v>78</v>
      </c>
      <c r="G73" s="7" t="s">
        <v>76</v>
      </c>
      <c r="H73" s="6" t="s">
        <v>24</v>
      </c>
      <c r="I73" s="8" t="s">
        <v>59</v>
      </c>
      <c r="J73" s="8">
        <v>1</v>
      </c>
      <c r="K73" s="11">
        <v>373</v>
      </c>
      <c r="L73" s="9">
        <v>0</v>
      </c>
      <c r="M73" s="10">
        <v>3307500</v>
      </c>
      <c r="N73" s="23">
        <v>0.03</v>
      </c>
      <c r="O73" s="9">
        <f t="shared" si="3"/>
        <v>99225</v>
      </c>
      <c r="P73" s="9">
        <f t="shared" ref="P73" si="4">(M73+O73+L73)*1.12</f>
        <v>3815532.0000000005</v>
      </c>
      <c r="Q73" s="19">
        <v>43011</v>
      </c>
      <c r="R73" s="20">
        <v>14.12</v>
      </c>
      <c r="S73" s="21">
        <v>304698</v>
      </c>
      <c r="T73" s="21">
        <v>47314</v>
      </c>
      <c r="U73" s="20">
        <v>15.53</v>
      </c>
      <c r="V73" s="20">
        <v>304698</v>
      </c>
    </row>
    <row r="74" spans="1:22" x14ac:dyDescent="0.25">
      <c r="Q74" s="21"/>
      <c r="R74" s="21"/>
      <c r="S74" s="21"/>
      <c r="T74" s="21"/>
      <c r="U74" s="21"/>
      <c r="V74" s="21"/>
    </row>
    <row r="75" spans="1:22" x14ac:dyDescent="0.25">
      <c r="Q75" s="21"/>
      <c r="R75" s="21"/>
      <c r="S75" s="21"/>
      <c r="T75" s="21"/>
      <c r="U75" s="21"/>
      <c r="V75" s="21"/>
    </row>
    <row r="76" spans="1:22" x14ac:dyDescent="0.25">
      <c r="Q76" s="21"/>
      <c r="R76" s="21"/>
      <c r="S76" s="21"/>
      <c r="T76" s="21"/>
      <c r="U76" s="21"/>
      <c r="V76" s="21"/>
    </row>
    <row r="77" spans="1:22" x14ac:dyDescent="0.25">
      <c r="Q77" s="21"/>
      <c r="R77" s="21"/>
      <c r="S77" s="21"/>
      <c r="T77" s="21"/>
      <c r="U77" s="21"/>
      <c r="V77" s="21"/>
    </row>
    <row r="78" spans="1:22" x14ac:dyDescent="0.25">
      <c r="Q78" s="21"/>
      <c r="R78" s="21"/>
      <c r="S78" s="21"/>
      <c r="T78" s="21"/>
      <c r="U78" s="21"/>
      <c r="V78" s="21"/>
    </row>
    <row r="79" spans="1:22" x14ac:dyDescent="0.25">
      <c r="Q79" s="21"/>
      <c r="R79" s="21"/>
      <c r="S79" s="21"/>
      <c r="T79" s="21"/>
      <c r="U79" s="21"/>
      <c r="V79" s="21"/>
    </row>
    <row r="80" spans="1:22" x14ac:dyDescent="0.25">
      <c r="Q80" s="21"/>
      <c r="R80" s="21"/>
      <c r="S80" s="21"/>
      <c r="T80" s="21"/>
      <c r="U80" s="21"/>
      <c r="V80" s="21"/>
    </row>
    <row r="81" spans="17:22" x14ac:dyDescent="0.25">
      <c r="Q81" s="21"/>
      <c r="R81" s="21"/>
      <c r="S81" s="21"/>
      <c r="T81" s="21"/>
      <c r="U81" s="21"/>
      <c r="V81" s="21"/>
    </row>
    <row r="82" spans="17:22" x14ac:dyDescent="0.25">
      <c r="Q82" s="21"/>
      <c r="R82" s="21"/>
      <c r="S82" s="21"/>
      <c r="T82" s="21"/>
      <c r="U82" s="21"/>
      <c r="V82" s="21"/>
    </row>
    <row r="83" spans="17:22" x14ac:dyDescent="0.25">
      <c r="Q83" s="21"/>
      <c r="R83" s="21"/>
      <c r="S83" s="21"/>
      <c r="T83" s="21"/>
      <c r="U83" s="21"/>
      <c r="V83" s="21"/>
    </row>
    <row r="84" spans="17:22" x14ac:dyDescent="0.25">
      <c r="Q84" s="21"/>
      <c r="R84" s="21"/>
      <c r="S84" s="21"/>
      <c r="T84" s="21"/>
      <c r="U84" s="21"/>
      <c r="V84" s="21"/>
    </row>
    <row r="85" spans="17:22" x14ac:dyDescent="0.25">
      <c r="Q85" s="21"/>
      <c r="R85" s="21"/>
      <c r="S85" s="21"/>
      <c r="T85" s="21"/>
      <c r="U85" s="21"/>
      <c r="V85" s="21"/>
    </row>
    <row r="86" spans="17:22" x14ac:dyDescent="0.25">
      <c r="Q86" s="21"/>
      <c r="R86" s="21"/>
      <c r="S86" s="21"/>
      <c r="T86" s="21"/>
      <c r="U86" s="21"/>
      <c r="V86" s="21"/>
    </row>
    <row r="87" spans="17:22" x14ac:dyDescent="0.25">
      <c r="Q87" s="21"/>
      <c r="R87" s="21"/>
      <c r="S87" s="21"/>
      <c r="T87" s="21"/>
      <c r="U87" s="21"/>
      <c r="V87" s="21"/>
    </row>
    <row r="88" spans="17:22" x14ac:dyDescent="0.25">
      <c r="Q88" s="21"/>
      <c r="R88" s="21"/>
      <c r="S88" s="21"/>
      <c r="T88" s="21"/>
      <c r="U88" s="21"/>
      <c r="V88" s="21"/>
    </row>
    <row r="89" spans="17:22" x14ac:dyDescent="0.25">
      <c r="Q89" s="21"/>
      <c r="R89" s="21"/>
      <c r="S89" s="21"/>
      <c r="T89" s="21"/>
      <c r="U89" s="21"/>
      <c r="V89" s="21"/>
    </row>
    <row r="90" spans="17:22" x14ac:dyDescent="0.25">
      <c r="Q90" s="21"/>
      <c r="R90" s="21"/>
      <c r="S90" s="21"/>
      <c r="T90" s="21"/>
      <c r="U90" s="21"/>
      <c r="V90" s="21"/>
    </row>
    <row r="91" spans="17:22" x14ac:dyDescent="0.25">
      <c r="Q91" s="21"/>
      <c r="R91" s="21"/>
      <c r="S91" s="21"/>
      <c r="T91" s="21"/>
      <c r="U91" s="21"/>
      <c r="V91" s="21"/>
    </row>
    <row r="92" spans="17:22" x14ac:dyDescent="0.25">
      <c r="Q92" s="21"/>
      <c r="R92" s="21"/>
      <c r="S92" s="21"/>
      <c r="T92" s="21"/>
      <c r="U92" s="21"/>
      <c r="V92" s="21"/>
    </row>
    <row r="93" spans="17:22" x14ac:dyDescent="0.25">
      <c r="Q93" s="21"/>
      <c r="R93" s="21"/>
      <c r="S93" s="21"/>
      <c r="T93" s="21"/>
      <c r="U93" s="21"/>
      <c r="V93" s="21"/>
    </row>
    <row r="94" spans="17:22" x14ac:dyDescent="0.25">
      <c r="Q94" s="21"/>
      <c r="R94" s="21"/>
      <c r="S94" s="21"/>
      <c r="T94" s="21"/>
      <c r="U94" s="21"/>
      <c r="V94" s="21"/>
    </row>
    <row r="95" spans="17:22" x14ac:dyDescent="0.25">
      <c r="Q95" s="21"/>
      <c r="R95" s="21"/>
      <c r="S95" s="21"/>
      <c r="T95" s="21"/>
      <c r="U95" s="21"/>
      <c r="V95" s="21"/>
    </row>
    <row r="96" spans="17:22" x14ac:dyDescent="0.25">
      <c r="Q96" s="21"/>
      <c r="R96" s="21"/>
      <c r="S96" s="21"/>
      <c r="T96" s="21"/>
      <c r="U96" s="21"/>
      <c r="V96" s="21"/>
    </row>
    <row r="97" spans="17:22" x14ac:dyDescent="0.25">
      <c r="Q97" s="21"/>
      <c r="R97" s="21"/>
      <c r="S97" s="21"/>
      <c r="T97" s="21"/>
      <c r="U97" s="21"/>
      <c r="V97" s="21"/>
    </row>
    <row r="98" spans="17:22" x14ac:dyDescent="0.25">
      <c r="Q98" s="21"/>
      <c r="R98" s="21"/>
      <c r="S98" s="21"/>
      <c r="T98" s="21"/>
      <c r="U98" s="21"/>
      <c r="V98" s="21"/>
    </row>
    <row r="99" spans="17:22" x14ac:dyDescent="0.25">
      <c r="Q99" s="21"/>
      <c r="R99" s="21"/>
      <c r="S99" s="21"/>
      <c r="T99" s="21"/>
      <c r="U99" s="21"/>
      <c r="V99" s="21"/>
    </row>
    <row r="100" spans="17:22" x14ac:dyDescent="0.25">
      <c r="Q100" s="21"/>
      <c r="R100" s="21"/>
      <c r="S100" s="21"/>
      <c r="T100" s="21"/>
      <c r="U100" s="21"/>
      <c r="V100" s="21"/>
    </row>
    <row r="101" spans="17:22" x14ac:dyDescent="0.25">
      <c r="Q101" s="21"/>
      <c r="R101" s="21"/>
      <c r="S101" s="21"/>
      <c r="T101" s="21"/>
      <c r="U101" s="21"/>
      <c r="V101" s="21"/>
    </row>
    <row r="102" spans="17:22" x14ac:dyDescent="0.25">
      <c r="Q102" s="21"/>
      <c r="R102" s="21"/>
      <c r="S102" s="21"/>
      <c r="T102" s="21"/>
      <c r="U102" s="21"/>
      <c r="V102" s="21"/>
    </row>
    <row r="103" spans="17:22" x14ac:dyDescent="0.25">
      <c r="Q103" s="21"/>
      <c r="R103" s="21"/>
      <c r="S103" s="21"/>
      <c r="T103" s="21"/>
      <c r="U103" s="21"/>
      <c r="V103" s="21"/>
    </row>
    <row r="104" spans="17:22" x14ac:dyDescent="0.25">
      <c r="Q104" s="21"/>
      <c r="R104" s="21"/>
      <c r="S104" s="21"/>
      <c r="T104" s="21"/>
      <c r="U104" s="21"/>
      <c r="V104" s="21"/>
    </row>
    <row r="105" spans="17:22" x14ac:dyDescent="0.25">
      <c r="Q105" s="21"/>
      <c r="R105" s="21"/>
      <c r="S105" s="21"/>
      <c r="T105" s="21"/>
      <c r="U105" s="21"/>
      <c r="V105" s="21"/>
    </row>
    <row r="106" spans="17:22" x14ac:dyDescent="0.25">
      <c r="Q106" s="21"/>
      <c r="R106" s="21"/>
      <c r="S106" s="21"/>
      <c r="T106" s="21"/>
      <c r="U106" s="21"/>
      <c r="V106" s="21"/>
    </row>
    <row r="107" spans="17:22" x14ac:dyDescent="0.25">
      <c r="Q107" s="21"/>
      <c r="R107" s="21"/>
      <c r="S107" s="21"/>
      <c r="T107" s="21"/>
      <c r="U107" s="21"/>
      <c r="V107" s="21"/>
    </row>
    <row r="108" spans="17:22" x14ac:dyDescent="0.25">
      <c r="Q108" s="21"/>
      <c r="R108" s="21"/>
      <c r="S108" s="21"/>
      <c r="T108" s="21"/>
      <c r="U108" s="21"/>
      <c r="V108" s="21"/>
    </row>
    <row r="109" spans="17:22" x14ac:dyDescent="0.25">
      <c r="Q109" s="21"/>
      <c r="R109" s="21"/>
      <c r="S109" s="21"/>
      <c r="T109" s="21"/>
      <c r="U109" s="21"/>
      <c r="V109" s="21"/>
    </row>
    <row r="110" spans="17:22" x14ac:dyDescent="0.25">
      <c r="Q110" s="21"/>
      <c r="R110" s="21"/>
      <c r="S110" s="21"/>
      <c r="T110" s="21"/>
      <c r="U110" s="21"/>
      <c r="V110" s="21"/>
    </row>
    <row r="111" spans="17:22" x14ac:dyDescent="0.25">
      <c r="Q111" s="21"/>
      <c r="R111" s="21"/>
      <c r="S111" s="21"/>
      <c r="T111" s="21"/>
      <c r="U111" s="21"/>
      <c r="V111" s="21"/>
    </row>
    <row r="112" spans="17:22" x14ac:dyDescent="0.25">
      <c r="Q112" s="21"/>
      <c r="R112" s="21"/>
      <c r="S112" s="21"/>
      <c r="T112" s="21"/>
      <c r="U112" s="21"/>
      <c r="V112" s="21"/>
    </row>
    <row r="113" spans="17:22" x14ac:dyDescent="0.25">
      <c r="Q113" s="21"/>
      <c r="R113" s="21"/>
      <c r="S113" s="21"/>
      <c r="T113" s="21"/>
      <c r="U113" s="21"/>
      <c r="V113" s="21"/>
    </row>
    <row r="114" spans="17:22" x14ac:dyDescent="0.25">
      <c r="Q114" s="21"/>
      <c r="R114" s="21"/>
      <c r="S114" s="21"/>
      <c r="T114" s="21"/>
      <c r="U114" s="21"/>
      <c r="V114" s="21"/>
    </row>
    <row r="115" spans="17:22" x14ac:dyDescent="0.25">
      <c r="Q115" s="21"/>
      <c r="R115" s="21"/>
      <c r="S115" s="21"/>
      <c r="T115" s="21"/>
      <c r="U115" s="21"/>
      <c r="V115" s="21"/>
    </row>
    <row r="116" spans="17:22" x14ac:dyDescent="0.25">
      <c r="Q116" s="21"/>
      <c r="R116" s="21"/>
      <c r="S116" s="21"/>
      <c r="T116" s="21"/>
      <c r="U116" s="21"/>
      <c r="V116" s="21"/>
    </row>
    <row r="117" spans="17:22" x14ac:dyDescent="0.25">
      <c r="Q117" s="21"/>
      <c r="R117" s="21"/>
      <c r="S117" s="21"/>
      <c r="T117" s="21"/>
      <c r="U117" s="21"/>
      <c r="V117" s="21"/>
    </row>
    <row r="118" spans="17:22" x14ac:dyDescent="0.25">
      <c r="Q118" s="21"/>
      <c r="R118" s="21"/>
      <c r="S118" s="21"/>
      <c r="T118" s="21"/>
      <c r="U118" s="21"/>
      <c r="V118" s="21"/>
    </row>
    <row r="119" spans="17:22" x14ac:dyDescent="0.25">
      <c r="Q119" s="21"/>
      <c r="R119" s="21"/>
      <c r="S119" s="21"/>
      <c r="T119" s="21"/>
      <c r="U119" s="21"/>
      <c r="V119" s="21"/>
    </row>
    <row r="120" spans="17:22" x14ac:dyDescent="0.25">
      <c r="Q120" s="21"/>
      <c r="R120" s="21"/>
      <c r="S120" s="21"/>
      <c r="T120" s="21"/>
      <c r="U120" s="21"/>
      <c r="V120" s="21"/>
    </row>
    <row r="121" spans="17:22" x14ac:dyDescent="0.25">
      <c r="Q121" s="21"/>
      <c r="R121" s="21"/>
      <c r="S121" s="21"/>
      <c r="T121" s="21"/>
      <c r="U121" s="21"/>
      <c r="V121" s="21"/>
    </row>
    <row r="122" spans="17:22" x14ac:dyDescent="0.25">
      <c r="Q122" s="21"/>
      <c r="R122" s="21"/>
      <c r="S122" s="21"/>
      <c r="T122" s="21"/>
      <c r="U122" s="21"/>
      <c r="V122" s="21"/>
    </row>
    <row r="123" spans="17:22" x14ac:dyDescent="0.25">
      <c r="Q123" s="21"/>
      <c r="R123" s="21"/>
      <c r="S123" s="21"/>
      <c r="T123" s="21"/>
      <c r="U123" s="21"/>
      <c r="V123" s="21"/>
    </row>
    <row r="124" spans="17:22" x14ac:dyDescent="0.25">
      <c r="Q124" s="21"/>
      <c r="R124" s="21"/>
      <c r="S124" s="21"/>
      <c r="T124" s="21"/>
      <c r="U124" s="21"/>
      <c r="V124" s="21"/>
    </row>
    <row r="125" spans="17:22" x14ac:dyDescent="0.25">
      <c r="Q125" s="21"/>
      <c r="R125" s="21"/>
      <c r="S125" s="21"/>
      <c r="T125" s="21"/>
      <c r="U125" s="21"/>
      <c r="V125" s="21"/>
    </row>
    <row r="126" spans="17:22" x14ac:dyDescent="0.25">
      <c r="Q126" s="21"/>
      <c r="R126" s="21"/>
      <c r="S126" s="21"/>
      <c r="T126" s="21"/>
      <c r="U126" s="21"/>
      <c r="V126" s="21"/>
    </row>
    <row r="127" spans="17:22" x14ac:dyDescent="0.25">
      <c r="Q127" s="21"/>
      <c r="R127" s="21"/>
      <c r="S127" s="21"/>
      <c r="T127" s="21"/>
      <c r="U127" s="21"/>
      <c r="V127" s="21"/>
    </row>
    <row r="128" spans="17:22" x14ac:dyDescent="0.25">
      <c r="Q128" s="21"/>
      <c r="R128" s="21"/>
      <c r="S128" s="21"/>
      <c r="T128" s="21"/>
      <c r="U128" s="21"/>
      <c r="V128" s="21"/>
    </row>
    <row r="129" spans="17:22" x14ac:dyDescent="0.25">
      <c r="Q129" s="21"/>
      <c r="R129" s="21"/>
      <c r="S129" s="21"/>
      <c r="T129" s="21"/>
      <c r="U129" s="21"/>
      <c r="V129" s="21"/>
    </row>
    <row r="130" spans="17:22" x14ac:dyDescent="0.25">
      <c r="Q130" s="21"/>
      <c r="R130" s="21"/>
      <c r="S130" s="21"/>
      <c r="T130" s="21"/>
      <c r="U130" s="21"/>
      <c r="V130" s="21"/>
    </row>
    <row r="131" spans="17:22" x14ac:dyDescent="0.25">
      <c r="Q131" s="21"/>
      <c r="R131" s="21"/>
      <c r="S131" s="21"/>
      <c r="T131" s="21"/>
      <c r="U131" s="21"/>
      <c r="V131" s="21"/>
    </row>
    <row r="132" spans="17:22" x14ac:dyDescent="0.25">
      <c r="Q132" s="21"/>
      <c r="R132" s="21"/>
      <c r="S132" s="21"/>
      <c r="T132" s="21"/>
      <c r="U132" s="21"/>
      <c r="V132" s="21"/>
    </row>
    <row r="133" spans="17:22" x14ac:dyDescent="0.25">
      <c r="Q133" s="21"/>
      <c r="R133" s="21"/>
      <c r="S133" s="21"/>
      <c r="T133" s="21"/>
      <c r="U133" s="21"/>
      <c r="V133" s="21"/>
    </row>
    <row r="134" spans="17:22" x14ac:dyDescent="0.25">
      <c r="Q134" s="21"/>
      <c r="R134" s="21"/>
      <c r="S134" s="21"/>
      <c r="T134" s="21"/>
      <c r="U134" s="21"/>
      <c r="V134" s="21"/>
    </row>
    <row r="135" spans="17:22" x14ac:dyDescent="0.25">
      <c r="Q135" s="21"/>
      <c r="R135" s="21"/>
      <c r="S135" s="21"/>
      <c r="T135" s="21"/>
      <c r="U135" s="21"/>
      <c r="V135" s="21"/>
    </row>
    <row r="136" spans="17:22" x14ac:dyDescent="0.25">
      <c r="Q136" s="21"/>
      <c r="R136" s="21"/>
      <c r="S136" s="21"/>
      <c r="T136" s="21"/>
      <c r="U136" s="21"/>
      <c r="V136" s="21"/>
    </row>
    <row r="137" spans="17:22" x14ac:dyDescent="0.25">
      <c r="Q137" s="21"/>
      <c r="R137" s="21"/>
      <c r="S137" s="21"/>
      <c r="T137" s="21"/>
      <c r="U137" s="21"/>
      <c r="V137" s="21"/>
    </row>
    <row r="138" spans="17:22" x14ac:dyDescent="0.25">
      <c r="Q138" s="21"/>
      <c r="R138" s="21"/>
      <c r="S138" s="21"/>
      <c r="T138" s="21"/>
      <c r="U138" s="21"/>
      <c r="V138" s="21"/>
    </row>
    <row r="139" spans="17:22" x14ac:dyDescent="0.25">
      <c r="Q139" s="21"/>
      <c r="R139" s="21"/>
      <c r="S139" s="21"/>
      <c r="T139" s="21"/>
      <c r="U139" s="21"/>
      <c r="V139" s="21"/>
    </row>
    <row r="140" spans="17:22" x14ac:dyDescent="0.25">
      <c r="Q140" s="21"/>
      <c r="R140" s="21"/>
      <c r="S140" s="21"/>
      <c r="T140" s="21"/>
      <c r="U140" s="21"/>
      <c r="V140" s="21"/>
    </row>
    <row r="141" spans="17:22" x14ac:dyDescent="0.25">
      <c r="Q141" s="21"/>
      <c r="R141" s="21"/>
      <c r="S141" s="21"/>
      <c r="T141" s="21"/>
      <c r="U141" s="21"/>
      <c r="V141" s="21"/>
    </row>
    <row r="142" spans="17:22" x14ac:dyDescent="0.25">
      <c r="Q142" s="21"/>
      <c r="R142" s="21"/>
      <c r="S142" s="21"/>
      <c r="T142" s="21"/>
      <c r="U142" s="21"/>
      <c r="V142" s="21"/>
    </row>
    <row r="143" spans="17:22" x14ac:dyDescent="0.25">
      <c r="Q143" s="21"/>
      <c r="R143" s="21"/>
      <c r="S143" s="21"/>
      <c r="T143" s="21"/>
      <c r="U143" s="21"/>
      <c r="V143" s="21"/>
    </row>
    <row r="144" spans="17:22" x14ac:dyDescent="0.25">
      <c r="Q144" s="21"/>
      <c r="R144" s="21"/>
      <c r="S144" s="21"/>
      <c r="T144" s="21"/>
      <c r="U144" s="21"/>
      <c r="V144" s="21"/>
    </row>
    <row r="145" spans="17:22" x14ac:dyDescent="0.25">
      <c r="Q145" s="21"/>
      <c r="R145" s="21"/>
      <c r="S145" s="21"/>
      <c r="T145" s="21"/>
      <c r="U145" s="21"/>
      <c r="V145" s="21"/>
    </row>
    <row r="146" spans="17:22" x14ac:dyDescent="0.25">
      <c r="Q146" s="21"/>
      <c r="R146" s="21"/>
      <c r="S146" s="21"/>
      <c r="T146" s="21"/>
      <c r="U146" s="21"/>
      <c r="V146" s="21"/>
    </row>
    <row r="147" spans="17:22" x14ac:dyDescent="0.25">
      <c r="Q147" s="21"/>
      <c r="R147" s="21"/>
      <c r="S147" s="21"/>
      <c r="T147" s="21"/>
      <c r="U147" s="21"/>
      <c r="V147" s="21"/>
    </row>
    <row r="148" spans="17:22" x14ac:dyDescent="0.25">
      <c r="Q148" s="21"/>
      <c r="R148" s="21"/>
      <c r="S148" s="21"/>
      <c r="T148" s="21"/>
      <c r="U148" s="21"/>
      <c r="V148" s="21"/>
    </row>
    <row r="149" spans="17:22" x14ac:dyDescent="0.25">
      <c r="Q149" s="21"/>
      <c r="R149" s="21"/>
      <c r="S149" s="21"/>
      <c r="T149" s="21"/>
      <c r="U149" s="21"/>
      <c r="V149" s="21"/>
    </row>
    <row r="150" spans="17:22" x14ac:dyDescent="0.25">
      <c r="Q150" s="21"/>
      <c r="R150" s="21"/>
      <c r="S150" s="21"/>
      <c r="T150" s="21"/>
      <c r="U150" s="21"/>
      <c r="V150" s="21"/>
    </row>
    <row r="151" spans="17:22" x14ac:dyDescent="0.25">
      <c r="Q151" s="21"/>
      <c r="R151" s="21"/>
      <c r="S151" s="21"/>
      <c r="T151" s="21"/>
      <c r="U151" s="21"/>
      <c r="V151" s="21"/>
    </row>
    <row r="152" spans="17:22" x14ac:dyDescent="0.25">
      <c r="Q152" s="21"/>
      <c r="R152" s="21"/>
      <c r="S152" s="21"/>
      <c r="T152" s="21"/>
      <c r="U152" s="21"/>
      <c r="V152" s="21"/>
    </row>
    <row r="153" spans="17:22" x14ac:dyDescent="0.25">
      <c r="Q153" s="21"/>
      <c r="R153" s="21"/>
      <c r="S153" s="21"/>
      <c r="T153" s="21"/>
      <c r="U153" s="21"/>
      <c r="V153" s="21"/>
    </row>
    <row r="154" spans="17:22" x14ac:dyDescent="0.25">
      <c r="Q154" s="21"/>
      <c r="R154" s="21"/>
      <c r="S154" s="21"/>
      <c r="T154" s="21"/>
      <c r="U154" s="21"/>
      <c r="V154" s="21"/>
    </row>
    <row r="155" spans="17:22" x14ac:dyDescent="0.25">
      <c r="Q155" s="21"/>
      <c r="R155" s="21"/>
      <c r="S155" s="21"/>
      <c r="T155" s="21"/>
      <c r="U155" s="21"/>
      <c r="V155" s="21"/>
    </row>
    <row r="156" spans="17:22" x14ac:dyDescent="0.25">
      <c r="Q156" s="21"/>
      <c r="R156" s="21"/>
      <c r="S156" s="21"/>
      <c r="T156" s="21"/>
      <c r="U156" s="21"/>
      <c r="V156" s="21"/>
    </row>
    <row r="157" spans="17:22" x14ac:dyDescent="0.25">
      <c r="Q157" s="21"/>
      <c r="R157" s="21"/>
      <c r="S157" s="21"/>
      <c r="T157" s="21"/>
      <c r="U157" s="21"/>
      <c r="V157" s="21"/>
    </row>
    <row r="158" spans="17:22" x14ac:dyDescent="0.25">
      <c r="Q158" s="21"/>
      <c r="R158" s="21"/>
      <c r="S158" s="21"/>
      <c r="T158" s="21"/>
      <c r="U158" s="21"/>
      <c r="V158" s="21"/>
    </row>
    <row r="159" spans="17:22" x14ac:dyDescent="0.25">
      <c r="Q159" s="21"/>
      <c r="R159" s="21"/>
      <c r="S159" s="21"/>
      <c r="T159" s="21"/>
      <c r="U159" s="21"/>
      <c r="V159" s="21"/>
    </row>
    <row r="160" spans="17:22" x14ac:dyDescent="0.25">
      <c r="Q160" s="21"/>
      <c r="R160" s="21"/>
      <c r="S160" s="21"/>
      <c r="T160" s="21"/>
      <c r="U160" s="21"/>
      <c r="V160" s="21"/>
    </row>
    <row r="161" spans="17:22" x14ac:dyDescent="0.25">
      <c r="Q161" s="21"/>
      <c r="R161" s="21"/>
      <c r="S161" s="21"/>
      <c r="T161" s="21"/>
      <c r="U161" s="21"/>
      <c r="V161" s="21"/>
    </row>
    <row r="162" spans="17:22" x14ac:dyDescent="0.25">
      <c r="Q162" s="21"/>
      <c r="R162" s="21"/>
      <c r="S162" s="21"/>
      <c r="T162" s="21"/>
      <c r="U162" s="21"/>
      <c r="V162" s="21"/>
    </row>
    <row r="163" spans="17:22" x14ac:dyDescent="0.25">
      <c r="Q163" s="21"/>
      <c r="R163" s="21"/>
      <c r="S163" s="21"/>
      <c r="T163" s="21"/>
      <c r="U163" s="21"/>
      <c r="V163" s="21"/>
    </row>
    <row r="164" spans="17:22" x14ac:dyDescent="0.25">
      <c r="Q164" s="21"/>
      <c r="R164" s="21"/>
      <c r="S164" s="21"/>
      <c r="T164" s="21"/>
      <c r="U164" s="21"/>
      <c r="V164" s="21"/>
    </row>
    <row r="165" spans="17:22" x14ac:dyDescent="0.25">
      <c r="Q165" s="21"/>
      <c r="R165" s="21"/>
      <c r="S165" s="21"/>
      <c r="T165" s="21"/>
      <c r="U165" s="21"/>
      <c r="V165" s="21"/>
    </row>
    <row r="166" spans="17:22" x14ac:dyDescent="0.25">
      <c r="Q166" s="21"/>
      <c r="R166" s="21"/>
      <c r="S166" s="21"/>
      <c r="T166" s="21"/>
      <c r="U166" s="21"/>
      <c r="V166" s="21"/>
    </row>
    <row r="167" spans="17:22" x14ac:dyDescent="0.25">
      <c r="Q167" s="21"/>
      <c r="R167" s="21"/>
      <c r="S167" s="21"/>
      <c r="T167" s="21"/>
      <c r="U167" s="21"/>
      <c r="V167" s="21"/>
    </row>
    <row r="168" spans="17:22" x14ac:dyDescent="0.25">
      <c r="Q168" s="21"/>
      <c r="R168" s="21"/>
      <c r="S168" s="21"/>
      <c r="T168" s="21"/>
      <c r="U168" s="21"/>
      <c r="V168" s="21"/>
    </row>
    <row r="169" spans="17:22" x14ac:dyDescent="0.25">
      <c r="Q169" s="21"/>
      <c r="R169" s="21"/>
      <c r="S169" s="21"/>
      <c r="T169" s="21"/>
      <c r="U169" s="21"/>
      <c r="V169" s="21"/>
    </row>
    <row r="170" spans="17:22" x14ac:dyDescent="0.25">
      <c r="Q170" s="21"/>
      <c r="R170" s="21"/>
      <c r="S170" s="21"/>
      <c r="T170" s="21"/>
      <c r="U170" s="21"/>
      <c r="V170" s="21"/>
    </row>
    <row r="171" spans="17:22" x14ac:dyDescent="0.25">
      <c r="Q171" s="21"/>
      <c r="R171" s="21"/>
      <c r="S171" s="21"/>
      <c r="T171" s="21"/>
      <c r="U171" s="21"/>
      <c r="V171" s="21"/>
    </row>
    <row r="172" spans="17:22" x14ac:dyDescent="0.25">
      <c r="Q172" s="21"/>
      <c r="R172" s="21"/>
      <c r="S172" s="21"/>
      <c r="T172" s="21"/>
      <c r="U172" s="21"/>
      <c r="V172" s="21"/>
    </row>
    <row r="173" spans="17:22" x14ac:dyDescent="0.25">
      <c r="Q173" s="21"/>
      <c r="R173" s="21"/>
      <c r="S173" s="21"/>
      <c r="T173" s="21"/>
      <c r="U173" s="21"/>
      <c r="V173" s="21"/>
    </row>
    <row r="174" spans="17:22" x14ac:dyDescent="0.25">
      <c r="Q174" s="21"/>
      <c r="R174" s="21"/>
      <c r="S174" s="21"/>
      <c r="T174" s="21"/>
      <c r="U174" s="21"/>
      <c r="V174" s="21"/>
    </row>
    <row r="175" spans="17:22" x14ac:dyDescent="0.25">
      <c r="Q175" s="21"/>
      <c r="R175" s="21"/>
      <c r="S175" s="21"/>
      <c r="T175" s="21"/>
      <c r="U175" s="21"/>
      <c r="V175" s="21"/>
    </row>
    <row r="176" spans="17:22" x14ac:dyDescent="0.25">
      <c r="Q176" s="21"/>
      <c r="R176" s="21"/>
      <c r="S176" s="21"/>
      <c r="T176" s="21"/>
      <c r="U176" s="21"/>
      <c r="V176" s="21"/>
    </row>
    <row r="177" spans="17:22" x14ac:dyDescent="0.25">
      <c r="Q177" s="21"/>
      <c r="R177" s="21"/>
      <c r="S177" s="21"/>
      <c r="T177" s="21"/>
      <c r="U177" s="21"/>
      <c r="V177" s="21"/>
    </row>
    <row r="178" spans="17:22" x14ac:dyDescent="0.25">
      <c r="Q178" s="21"/>
      <c r="R178" s="21"/>
      <c r="S178" s="21"/>
      <c r="T178" s="21"/>
      <c r="U178" s="21"/>
      <c r="V178" s="21"/>
    </row>
    <row r="179" spans="17:22" x14ac:dyDescent="0.25">
      <c r="Q179" s="21"/>
      <c r="R179" s="21"/>
      <c r="S179" s="21"/>
      <c r="T179" s="21"/>
      <c r="U179" s="21"/>
      <c r="V179" s="21"/>
    </row>
    <row r="180" spans="17:22" x14ac:dyDescent="0.25">
      <c r="Q180" s="21"/>
      <c r="R180" s="21"/>
      <c r="S180" s="21"/>
      <c r="T180" s="21"/>
      <c r="U180" s="21"/>
      <c r="V180" s="21"/>
    </row>
    <row r="181" spans="17:22" x14ac:dyDescent="0.25">
      <c r="Q181" s="21"/>
      <c r="R181" s="21"/>
      <c r="S181" s="21"/>
      <c r="T181" s="21"/>
      <c r="U181" s="21"/>
      <c r="V181" s="21"/>
    </row>
    <row r="182" spans="17:22" x14ac:dyDescent="0.25">
      <c r="Q182" s="21"/>
      <c r="R182" s="21"/>
      <c r="S182" s="21"/>
      <c r="T182" s="21"/>
      <c r="U182" s="21"/>
      <c r="V182" s="21"/>
    </row>
    <row r="183" spans="17:22" x14ac:dyDescent="0.25">
      <c r="Q183" s="21"/>
      <c r="R183" s="21"/>
      <c r="S183" s="21"/>
      <c r="T183" s="21"/>
      <c r="U183" s="21"/>
      <c r="V183" s="21"/>
    </row>
    <row r="184" spans="17:22" x14ac:dyDescent="0.25">
      <c r="Q184" s="21"/>
      <c r="R184" s="21"/>
      <c r="S184" s="21"/>
      <c r="T184" s="21"/>
      <c r="U184" s="21"/>
      <c r="V184" s="21"/>
    </row>
    <row r="185" spans="17:22" x14ac:dyDescent="0.25">
      <c r="Q185" s="21"/>
      <c r="R185" s="21"/>
      <c r="S185" s="21"/>
      <c r="T185" s="21"/>
      <c r="U185" s="21"/>
      <c r="V185" s="21"/>
    </row>
    <row r="186" spans="17:22" x14ac:dyDescent="0.25">
      <c r="Q186" s="21"/>
      <c r="R186" s="21"/>
      <c r="S186" s="21"/>
      <c r="T186" s="21"/>
      <c r="U186" s="21"/>
      <c r="V186" s="21"/>
    </row>
    <row r="187" spans="17:22" x14ac:dyDescent="0.25">
      <c r="Q187" s="21"/>
      <c r="R187" s="21"/>
      <c r="S187" s="21"/>
      <c r="T187" s="21"/>
      <c r="U187" s="21"/>
      <c r="V187" s="21"/>
    </row>
    <row r="188" spans="17:22" x14ac:dyDescent="0.25">
      <c r="Q188" s="21"/>
      <c r="R188" s="21"/>
      <c r="S188" s="21"/>
      <c r="T188" s="21"/>
      <c r="U188" s="21"/>
      <c r="V188" s="21"/>
    </row>
    <row r="189" spans="17:22" x14ac:dyDescent="0.25">
      <c r="Q189" s="21"/>
      <c r="R189" s="21"/>
      <c r="S189" s="21"/>
      <c r="T189" s="21"/>
      <c r="U189" s="21"/>
      <c r="V189" s="21"/>
    </row>
    <row r="190" spans="17:22" x14ac:dyDescent="0.25">
      <c r="Q190" s="21"/>
      <c r="R190" s="21"/>
      <c r="S190" s="21"/>
      <c r="T190" s="21"/>
      <c r="U190" s="21"/>
      <c r="V190" s="21"/>
    </row>
    <row r="191" spans="17:22" x14ac:dyDescent="0.25">
      <c r="Q191" s="21"/>
      <c r="R191" s="21"/>
      <c r="S191" s="21"/>
      <c r="T191" s="21"/>
      <c r="U191" s="21"/>
      <c r="V191" s="21"/>
    </row>
    <row r="192" spans="17:22" x14ac:dyDescent="0.25">
      <c r="Q192" s="21"/>
      <c r="R192" s="21"/>
      <c r="S192" s="21"/>
      <c r="T192" s="21"/>
      <c r="U192" s="21"/>
      <c r="V192" s="21"/>
    </row>
    <row r="193" spans="17:22" x14ac:dyDescent="0.25">
      <c r="Q193" s="21"/>
      <c r="R193" s="21"/>
      <c r="S193" s="21"/>
      <c r="T193" s="21"/>
      <c r="U193" s="21"/>
      <c r="V193" s="21"/>
    </row>
    <row r="194" spans="17:22" x14ac:dyDescent="0.25">
      <c r="Q194" s="21"/>
      <c r="R194" s="21"/>
      <c r="S194" s="21"/>
      <c r="T194" s="21"/>
      <c r="U194" s="21"/>
      <c r="V194" s="21"/>
    </row>
    <row r="195" spans="17:22" x14ac:dyDescent="0.25">
      <c r="Q195" s="21"/>
      <c r="R195" s="21"/>
      <c r="S195" s="21"/>
      <c r="T195" s="21"/>
      <c r="U195" s="21"/>
      <c r="V195" s="21"/>
    </row>
    <row r="196" spans="17:22" x14ac:dyDescent="0.25">
      <c r="Q196" s="21"/>
      <c r="R196" s="21"/>
      <c r="S196" s="21"/>
      <c r="T196" s="21"/>
      <c r="U196" s="21"/>
      <c r="V196" s="21"/>
    </row>
    <row r="197" spans="17:22" x14ac:dyDescent="0.25">
      <c r="Q197" s="21"/>
      <c r="R197" s="21"/>
      <c r="S197" s="21"/>
      <c r="T197" s="21"/>
      <c r="U197" s="21"/>
      <c r="V197" s="21"/>
    </row>
    <row r="198" spans="17:22" x14ac:dyDescent="0.25">
      <c r="Q198" s="21"/>
      <c r="R198" s="21"/>
      <c r="S198" s="21"/>
      <c r="T198" s="21"/>
      <c r="U198" s="21"/>
      <c r="V198" s="21"/>
    </row>
    <row r="199" spans="17:22" x14ac:dyDescent="0.25">
      <c r="Q199" s="21"/>
      <c r="R199" s="21"/>
      <c r="S199" s="21"/>
      <c r="T199" s="21"/>
      <c r="U199" s="21"/>
      <c r="V199" s="21"/>
    </row>
    <row r="200" spans="17:22" x14ac:dyDescent="0.25">
      <c r="Q200" s="21"/>
      <c r="R200" s="21"/>
      <c r="S200" s="21"/>
      <c r="T200" s="21"/>
      <c r="U200" s="21"/>
      <c r="V200" s="21"/>
    </row>
    <row r="201" spans="17:22" x14ac:dyDescent="0.25">
      <c r="Q201" s="21"/>
      <c r="R201" s="21"/>
      <c r="S201" s="21"/>
      <c r="T201" s="21"/>
      <c r="U201" s="21"/>
      <c r="V201" s="21"/>
    </row>
    <row r="202" spans="17:22" x14ac:dyDescent="0.25">
      <c r="Q202" s="21"/>
      <c r="R202" s="21"/>
      <c r="S202" s="21"/>
      <c r="T202" s="21"/>
      <c r="U202" s="21"/>
      <c r="V202" s="21"/>
    </row>
    <row r="203" spans="17:22" x14ac:dyDescent="0.25">
      <c r="Q203" s="21"/>
      <c r="R203" s="21"/>
      <c r="S203" s="21"/>
      <c r="T203" s="21"/>
      <c r="U203" s="21"/>
      <c r="V203" s="21"/>
    </row>
    <row r="204" spans="17:22" x14ac:dyDescent="0.25">
      <c r="Q204" s="21"/>
      <c r="R204" s="21"/>
      <c r="S204" s="21"/>
      <c r="T204" s="21"/>
      <c r="U204" s="21"/>
      <c r="V204" s="21"/>
    </row>
    <row r="205" spans="17:22" x14ac:dyDescent="0.25">
      <c r="Q205" s="21"/>
      <c r="R205" s="21"/>
      <c r="S205" s="21"/>
      <c r="T205" s="21"/>
      <c r="U205" s="21"/>
      <c r="V205" s="21"/>
    </row>
    <row r="206" spans="17:22" x14ac:dyDescent="0.25">
      <c r="Q206" s="21"/>
      <c r="R206" s="21"/>
      <c r="S206" s="21"/>
      <c r="T206" s="21"/>
      <c r="U206" s="21"/>
      <c r="V206" s="21"/>
    </row>
    <row r="207" spans="17:22" x14ac:dyDescent="0.25">
      <c r="Q207" s="21"/>
      <c r="R207" s="21"/>
      <c r="S207" s="21"/>
      <c r="T207" s="21"/>
      <c r="U207" s="21"/>
      <c r="V207" s="21"/>
    </row>
    <row r="208" spans="17:22" x14ac:dyDescent="0.25">
      <c r="Q208" s="21"/>
      <c r="R208" s="21"/>
      <c r="S208" s="21"/>
      <c r="T208" s="21"/>
      <c r="U208" s="21"/>
      <c r="V208" s="21"/>
    </row>
    <row r="209" spans="17:22" x14ac:dyDescent="0.25">
      <c r="Q209" s="21"/>
      <c r="R209" s="21"/>
      <c r="S209" s="21"/>
      <c r="T209" s="21"/>
      <c r="U209" s="21"/>
      <c r="V209" s="21"/>
    </row>
    <row r="210" spans="17:22" x14ac:dyDescent="0.25">
      <c r="Q210" s="21"/>
      <c r="R210" s="21"/>
      <c r="S210" s="21"/>
      <c r="T210" s="21"/>
      <c r="U210" s="21"/>
      <c r="V210" s="21"/>
    </row>
    <row r="211" spans="17:22" x14ac:dyDescent="0.25">
      <c r="Q211" s="21"/>
      <c r="R211" s="21"/>
      <c r="S211" s="21"/>
      <c r="T211" s="21"/>
      <c r="U211" s="21"/>
      <c r="V211" s="21"/>
    </row>
    <row r="212" spans="17:22" x14ac:dyDescent="0.25">
      <c r="Q212" s="21"/>
      <c r="R212" s="21"/>
      <c r="S212" s="21"/>
      <c r="T212" s="21"/>
      <c r="U212" s="21"/>
      <c r="V212" s="21"/>
    </row>
    <row r="213" spans="17:22" x14ac:dyDescent="0.25">
      <c r="Q213" s="21"/>
      <c r="R213" s="21"/>
      <c r="S213" s="21"/>
      <c r="T213" s="21"/>
      <c r="U213" s="21"/>
      <c r="V213" s="21"/>
    </row>
    <row r="214" spans="17:22" x14ac:dyDescent="0.25">
      <c r="Q214" s="21"/>
      <c r="R214" s="21"/>
      <c r="S214" s="21"/>
      <c r="T214" s="21"/>
      <c r="U214" s="21"/>
      <c r="V214" s="21"/>
    </row>
    <row r="215" spans="17:22" x14ac:dyDescent="0.25">
      <c r="Q215" s="21"/>
      <c r="R215" s="21"/>
      <c r="S215" s="21"/>
      <c r="T215" s="21"/>
      <c r="U215" s="21"/>
      <c r="V215" s="21"/>
    </row>
    <row r="216" spans="17:22" x14ac:dyDescent="0.25">
      <c r="Q216" s="21"/>
      <c r="R216" s="21"/>
      <c r="S216" s="21"/>
      <c r="T216" s="21"/>
      <c r="U216" s="21"/>
      <c r="V216" s="21"/>
    </row>
    <row r="217" spans="17:22" x14ac:dyDescent="0.25">
      <c r="Q217" s="21"/>
      <c r="R217" s="21"/>
      <c r="S217" s="21"/>
      <c r="T217" s="21"/>
      <c r="U217" s="21"/>
      <c r="V217" s="21"/>
    </row>
    <row r="218" spans="17:22" x14ac:dyDescent="0.25">
      <c r="Q218" s="21"/>
      <c r="R218" s="21"/>
      <c r="S218" s="21"/>
      <c r="T218" s="21"/>
      <c r="U218" s="21"/>
      <c r="V218" s="21"/>
    </row>
    <row r="219" spans="17:22" x14ac:dyDescent="0.25">
      <c r="Q219" s="21"/>
      <c r="R219" s="21"/>
      <c r="S219" s="21"/>
      <c r="T219" s="21"/>
      <c r="U219" s="21"/>
      <c r="V219" s="21"/>
    </row>
    <row r="220" spans="17:22" x14ac:dyDescent="0.25">
      <c r="Q220" s="21"/>
      <c r="R220" s="21"/>
      <c r="S220" s="21"/>
      <c r="T220" s="21"/>
      <c r="U220" s="21"/>
      <c r="V220" s="21"/>
    </row>
    <row r="221" spans="17:22" x14ac:dyDescent="0.25">
      <c r="Q221" s="21"/>
      <c r="R221" s="21"/>
      <c r="S221" s="21"/>
      <c r="T221" s="21"/>
      <c r="U221" s="21"/>
      <c r="V221" s="21"/>
    </row>
    <row r="222" spans="17:22" x14ac:dyDescent="0.25">
      <c r="Q222" s="21"/>
      <c r="R222" s="21"/>
      <c r="S222" s="21"/>
      <c r="T222" s="21"/>
      <c r="U222" s="21"/>
      <c r="V222" s="21"/>
    </row>
    <row r="223" spans="17:22" x14ac:dyDescent="0.25">
      <c r="Q223" s="21"/>
      <c r="R223" s="21"/>
      <c r="S223" s="21"/>
      <c r="T223" s="21"/>
      <c r="U223" s="21"/>
      <c r="V223" s="21"/>
    </row>
    <row r="224" spans="17:22" x14ac:dyDescent="0.25">
      <c r="Q224" s="21"/>
      <c r="R224" s="21"/>
      <c r="S224" s="21"/>
      <c r="T224" s="21"/>
      <c r="U224" s="21"/>
      <c r="V224" s="21"/>
    </row>
    <row r="225" spans="17:22" x14ac:dyDescent="0.25">
      <c r="Q225" s="21"/>
      <c r="R225" s="21"/>
      <c r="S225" s="21"/>
      <c r="T225" s="21"/>
      <c r="U225" s="21"/>
      <c r="V225" s="21"/>
    </row>
    <row r="226" spans="17:22" x14ac:dyDescent="0.25">
      <c r="Q226" s="21"/>
      <c r="R226" s="21"/>
      <c r="S226" s="21"/>
      <c r="T226" s="21"/>
      <c r="U226" s="21"/>
      <c r="V226" s="21"/>
    </row>
    <row r="227" spans="17:22" x14ac:dyDescent="0.25">
      <c r="Q227" s="21"/>
      <c r="R227" s="21"/>
      <c r="S227" s="21"/>
      <c r="T227" s="21"/>
      <c r="U227" s="21"/>
      <c r="V227" s="21"/>
    </row>
    <row r="228" spans="17:22" x14ac:dyDescent="0.25">
      <c r="Q228" s="21"/>
      <c r="R228" s="21"/>
      <c r="S228" s="21"/>
      <c r="T228" s="21"/>
      <c r="U228" s="21"/>
      <c r="V228" s="21"/>
    </row>
    <row r="229" spans="17:22" x14ac:dyDescent="0.25">
      <c r="Q229" s="21"/>
      <c r="R229" s="21"/>
      <c r="S229" s="21"/>
      <c r="T229" s="21"/>
      <c r="U229" s="21"/>
      <c r="V229" s="21"/>
    </row>
    <row r="230" spans="17:22" x14ac:dyDescent="0.25">
      <c r="Q230" s="21"/>
      <c r="R230" s="21"/>
      <c r="S230" s="21"/>
      <c r="T230" s="21"/>
      <c r="U230" s="21"/>
      <c r="V230" s="21"/>
    </row>
    <row r="231" spans="17:22" x14ac:dyDescent="0.25">
      <c r="Q231" s="21"/>
      <c r="R231" s="21"/>
      <c r="S231" s="21"/>
      <c r="T231" s="21"/>
      <c r="U231" s="21"/>
      <c r="V231" s="21"/>
    </row>
    <row r="232" spans="17:22" x14ac:dyDescent="0.25">
      <c r="Q232" s="21"/>
      <c r="R232" s="21"/>
      <c r="S232" s="21"/>
      <c r="T232" s="21"/>
      <c r="U232" s="21"/>
      <c r="V232" s="21"/>
    </row>
    <row r="233" spans="17:22" x14ac:dyDescent="0.25">
      <c r="Q233" s="21"/>
      <c r="R233" s="21"/>
      <c r="S233" s="21"/>
      <c r="T233" s="21"/>
      <c r="U233" s="21"/>
      <c r="V233" s="21"/>
    </row>
    <row r="234" spans="17:22" x14ac:dyDescent="0.25">
      <c r="Q234" s="21"/>
      <c r="R234" s="21"/>
      <c r="S234" s="21"/>
      <c r="T234" s="21"/>
      <c r="U234" s="21"/>
      <c r="V234" s="21"/>
    </row>
    <row r="235" spans="17:22" x14ac:dyDescent="0.25">
      <c r="Q235" s="21"/>
      <c r="R235" s="21"/>
      <c r="S235" s="21"/>
      <c r="T235" s="21"/>
      <c r="U235" s="21"/>
      <c r="V235" s="21"/>
    </row>
    <row r="236" spans="17:22" x14ac:dyDescent="0.25">
      <c r="Q236" s="21"/>
      <c r="R236" s="21"/>
      <c r="S236" s="21"/>
      <c r="T236" s="21"/>
      <c r="U236" s="21"/>
      <c r="V236" s="21"/>
    </row>
    <row r="237" spans="17:22" x14ac:dyDescent="0.25">
      <c r="Q237" s="21"/>
      <c r="R237" s="21"/>
      <c r="S237" s="21"/>
      <c r="T237" s="21"/>
      <c r="U237" s="21"/>
      <c r="V237" s="21"/>
    </row>
    <row r="238" spans="17:22" x14ac:dyDescent="0.25">
      <c r="Q238" s="21"/>
      <c r="R238" s="21"/>
      <c r="S238" s="21"/>
      <c r="T238" s="21"/>
      <c r="U238" s="21"/>
      <c r="V238" s="21"/>
    </row>
    <row r="239" spans="17:22" x14ac:dyDescent="0.25">
      <c r="Q239" s="21"/>
      <c r="R239" s="21"/>
      <c r="S239" s="21"/>
      <c r="T239" s="21"/>
      <c r="U239" s="21"/>
      <c r="V239" s="21"/>
    </row>
    <row r="240" spans="17:22" x14ac:dyDescent="0.25">
      <c r="Q240" s="21"/>
      <c r="R240" s="21"/>
      <c r="S240" s="21"/>
      <c r="T240" s="21"/>
      <c r="U240" s="21"/>
      <c r="V240" s="21"/>
    </row>
    <row r="241" spans="17:22" x14ac:dyDescent="0.25">
      <c r="Q241" s="21"/>
      <c r="R241" s="21"/>
      <c r="S241" s="21"/>
      <c r="T241" s="21"/>
      <c r="U241" s="21"/>
      <c r="V241" s="21"/>
    </row>
    <row r="242" spans="17:22" x14ac:dyDescent="0.25">
      <c r="Q242" s="21"/>
      <c r="R242" s="21"/>
      <c r="S242" s="21"/>
      <c r="T242" s="21"/>
      <c r="U242" s="21"/>
      <c r="V242" s="21"/>
    </row>
    <row r="243" spans="17:22" x14ac:dyDescent="0.25">
      <c r="Q243" s="21"/>
      <c r="R243" s="21"/>
      <c r="S243" s="21"/>
      <c r="T243" s="21"/>
      <c r="U243" s="21"/>
      <c r="V243" s="21"/>
    </row>
    <row r="244" spans="17:22" x14ac:dyDescent="0.25">
      <c r="Q244" s="21"/>
      <c r="R244" s="21"/>
      <c r="S244" s="21"/>
      <c r="T244" s="21"/>
      <c r="U244" s="21"/>
      <c r="V244" s="21"/>
    </row>
    <row r="245" spans="17:22" x14ac:dyDescent="0.25">
      <c r="Q245" s="21"/>
      <c r="R245" s="21"/>
      <c r="S245" s="21"/>
      <c r="T245" s="21"/>
      <c r="U245" s="21"/>
      <c r="V245" s="21"/>
    </row>
    <row r="246" spans="17:22" x14ac:dyDescent="0.25">
      <c r="Q246" s="21"/>
      <c r="R246" s="21"/>
      <c r="S246" s="21"/>
      <c r="T246" s="21"/>
      <c r="U246" s="21"/>
      <c r="V246" s="21"/>
    </row>
    <row r="247" spans="17:22" x14ac:dyDescent="0.25">
      <c r="Q247" s="21"/>
      <c r="R247" s="21"/>
      <c r="S247" s="21"/>
      <c r="T247" s="21"/>
      <c r="U247" s="21"/>
      <c r="V247" s="21"/>
    </row>
    <row r="248" spans="17:22" x14ac:dyDescent="0.25">
      <c r="Q248" s="21"/>
      <c r="R248" s="21"/>
      <c r="S248" s="21"/>
      <c r="T248" s="21"/>
      <c r="U248" s="21"/>
      <c r="V248" s="21"/>
    </row>
    <row r="249" spans="17:22" x14ac:dyDescent="0.25">
      <c r="Q249" s="21"/>
      <c r="R249" s="21"/>
      <c r="S249" s="21"/>
      <c r="T249" s="21"/>
      <c r="U249" s="21"/>
      <c r="V249" s="21"/>
    </row>
    <row r="250" spans="17:22" x14ac:dyDescent="0.25">
      <c r="Q250" s="21"/>
      <c r="R250" s="21"/>
      <c r="S250" s="21"/>
      <c r="T250" s="21"/>
      <c r="U250" s="21"/>
      <c r="V250" s="21"/>
    </row>
    <row r="251" spans="17:22" x14ac:dyDescent="0.25">
      <c r="Q251" s="21"/>
      <c r="R251" s="21"/>
      <c r="S251" s="21"/>
      <c r="T251" s="21"/>
      <c r="U251" s="21"/>
      <c r="V251" s="21"/>
    </row>
    <row r="252" spans="17:22" x14ac:dyDescent="0.25">
      <c r="Q252" s="21"/>
      <c r="R252" s="21"/>
      <c r="S252" s="21"/>
      <c r="T252" s="21"/>
      <c r="U252" s="21"/>
      <c r="V252" s="21"/>
    </row>
    <row r="253" spans="17:22" x14ac:dyDescent="0.25">
      <c r="Q253" s="21"/>
      <c r="R253" s="21"/>
      <c r="S253" s="21"/>
      <c r="T253" s="21"/>
      <c r="U253" s="21"/>
      <c r="V253" s="21"/>
    </row>
    <row r="254" spans="17:22" x14ac:dyDescent="0.25">
      <c r="Q254" s="21"/>
      <c r="R254" s="21"/>
      <c r="S254" s="21"/>
      <c r="T254" s="21"/>
      <c r="U254" s="21"/>
      <c r="V254" s="21"/>
    </row>
    <row r="255" spans="17:22" x14ac:dyDescent="0.25">
      <c r="Q255" s="21"/>
      <c r="R255" s="21"/>
      <c r="S255" s="21"/>
      <c r="T255" s="21"/>
      <c r="U255" s="21"/>
      <c r="V255" s="21"/>
    </row>
    <row r="256" spans="17:22" x14ac:dyDescent="0.25">
      <c r="Q256" s="21"/>
      <c r="R256" s="21"/>
      <c r="S256" s="21"/>
      <c r="T256" s="21"/>
      <c r="U256" s="21"/>
      <c r="V256" s="21"/>
    </row>
    <row r="257" spans="17:22" x14ac:dyDescent="0.25">
      <c r="Q257" s="21"/>
      <c r="R257" s="21"/>
      <c r="S257" s="21"/>
      <c r="T257" s="21"/>
      <c r="U257" s="21"/>
      <c r="V257" s="21"/>
    </row>
    <row r="258" spans="17:22" x14ac:dyDescent="0.25">
      <c r="Q258" s="21"/>
      <c r="R258" s="21"/>
      <c r="S258" s="21"/>
      <c r="T258" s="21"/>
      <c r="U258" s="21"/>
      <c r="V258" s="21"/>
    </row>
    <row r="259" spans="17:22" x14ac:dyDescent="0.25">
      <c r="Q259" s="21"/>
      <c r="R259" s="21"/>
      <c r="S259" s="21"/>
      <c r="T259" s="21"/>
      <c r="U259" s="21"/>
      <c r="V259" s="21"/>
    </row>
    <row r="260" spans="17:22" x14ac:dyDescent="0.25">
      <c r="Q260" s="21"/>
      <c r="R260" s="21"/>
      <c r="S260" s="21"/>
      <c r="T260" s="21"/>
      <c r="U260" s="21"/>
      <c r="V260" s="21"/>
    </row>
    <row r="261" spans="17:22" x14ac:dyDescent="0.25">
      <c r="Q261" s="21"/>
      <c r="R261" s="21"/>
      <c r="S261" s="21"/>
      <c r="T261" s="21"/>
      <c r="U261" s="21"/>
      <c r="V261" s="21"/>
    </row>
    <row r="262" spans="17:22" x14ac:dyDescent="0.25">
      <c r="Q262" s="21"/>
      <c r="R262" s="21"/>
      <c r="S262" s="21"/>
      <c r="T262" s="21"/>
      <c r="U262" s="21"/>
      <c r="V262" s="21"/>
    </row>
    <row r="263" spans="17:22" x14ac:dyDescent="0.25">
      <c r="Q263" s="21"/>
      <c r="R263" s="21"/>
      <c r="S263" s="21"/>
      <c r="T263" s="21"/>
      <c r="U263" s="21"/>
      <c r="V263" s="21"/>
    </row>
    <row r="264" spans="17:22" x14ac:dyDescent="0.25">
      <c r="Q264" s="21"/>
      <c r="R264" s="21"/>
      <c r="S264" s="21"/>
      <c r="T264" s="21"/>
      <c r="U264" s="21"/>
      <c r="V264" s="21"/>
    </row>
    <row r="265" spans="17:22" x14ac:dyDescent="0.25">
      <c r="Q265" s="21"/>
      <c r="R265" s="21"/>
      <c r="S265" s="21"/>
      <c r="T265" s="21"/>
      <c r="U265" s="21"/>
      <c r="V265" s="21"/>
    </row>
    <row r="266" spans="17:22" x14ac:dyDescent="0.25">
      <c r="Q266" s="21"/>
      <c r="R266" s="21"/>
      <c r="S266" s="21"/>
      <c r="T266" s="21"/>
      <c r="U266" s="21"/>
      <c r="V266" s="21"/>
    </row>
    <row r="267" spans="17:22" x14ac:dyDescent="0.25">
      <c r="Q267" s="21"/>
      <c r="R267" s="21"/>
      <c r="S267" s="21"/>
      <c r="T267" s="21"/>
      <c r="U267" s="21"/>
      <c r="V267" s="21"/>
    </row>
    <row r="268" spans="17:22" x14ac:dyDescent="0.25">
      <c r="Q268" s="21"/>
      <c r="R268" s="21"/>
      <c r="S268" s="21"/>
      <c r="T268" s="21"/>
      <c r="U268" s="21"/>
      <c r="V268" s="21"/>
    </row>
    <row r="269" spans="17:22" x14ac:dyDescent="0.25">
      <c r="Q269" s="21"/>
      <c r="R269" s="21"/>
      <c r="S269" s="21"/>
      <c r="T269" s="21"/>
      <c r="U269" s="21"/>
      <c r="V269" s="21"/>
    </row>
    <row r="270" spans="17:22" x14ac:dyDescent="0.25">
      <c r="Q270" s="21"/>
      <c r="R270" s="21"/>
      <c r="S270" s="21"/>
      <c r="T270" s="21"/>
      <c r="U270" s="21"/>
      <c r="V270" s="21"/>
    </row>
    <row r="271" spans="17:22" x14ac:dyDescent="0.25">
      <c r="Q271" s="21"/>
      <c r="R271" s="21"/>
      <c r="S271" s="21"/>
      <c r="T271" s="21"/>
      <c r="U271" s="21"/>
      <c r="V271" s="21"/>
    </row>
    <row r="272" spans="17:22" x14ac:dyDescent="0.25">
      <c r="Q272" s="21"/>
      <c r="R272" s="21"/>
      <c r="S272" s="21"/>
      <c r="T272" s="21"/>
      <c r="U272" s="21"/>
      <c r="V272" s="21"/>
    </row>
    <row r="273" spans="17:22" x14ac:dyDescent="0.25">
      <c r="Q273" s="21"/>
      <c r="R273" s="21"/>
      <c r="S273" s="21"/>
      <c r="T273" s="21"/>
      <c r="U273" s="21"/>
      <c r="V273" s="21"/>
    </row>
    <row r="274" spans="17:22" x14ac:dyDescent="0.25">
      <c r="Q274" s="21"/>
      <c r="R274" s="21"/>
      <c r="S274" s="21"/>
      <c r="T274" s="21"/>
      <c r="U274" s="21"/>
      <c r="V274" s="21"/>
    </row>
    <row r="275" spans="17:22" x14ac:dyDescent="0.25">
      <c r="Q275" s="21"/>
      <c r="R275" s="21"/>
      <c r="S275" s="21"/>
      <c r="T275" s="21"/>
      <c r="U275" s="21"/>
      <c r="V275" s="21"/>
    </row>
    <row r="276" spans="17:22" x14ac:dyDescent="0.25">
      <c r="Q276" s="21"/>
      <c r="R276" s="21"/>
      <c r="S276" s="21"/>
      <c r="T276" s="21"/>
      <c r="U276" s="21"/>
      <c r="V276" s="21"/>
    </row>
    <row r="277" spans="17:22" x14ac:dyDescent="0.25">
      <c r="Q277" s="21"/>
      <c r="R277" s="21"/>
      <c r="S277" s="21"/>
      <c r="T277" s="21"/>
      <c r="U277" s="21"/>
      <c r="V277" s="21"/>
    </row>
    <row r="278" spans="17:22" x14ac:dyDescent="0.25">
      <c r="Q278" s="21"/>
      <c r="R278" s="21"/>
      <c r="S278" s="21"/>
      <c r="T278" s="21"/>
      <c r="U278" s="21"/>
      <c r="V278" s="21"/>
    </row>
    <row r="279" spans="17:22" x14ac:dyDescent="0.25">
      <c r="Q279" s="21"/>
      <c r="R279" s="21"/>
      <c r="S279" s="21"/>
      <c r="T279" s="21"/>
      <c r="U279" s="21"/>
      <c r="V279" s="21"/>
    </row>
    <row r="280" spans="17:22" x14ac:dyDescent="0.25">
      <c r="Q280" s="21"/>
      <c r="R280" s="21"/>
      <c r="S280" s="21"/>
      <c r="T280" s="21"/>
      <c r="U280" s="21"/>
      <c r="V280" s="21"/>
    </row>
    <row r="281" spans="17:22" x14ac:dyDescent="0.25">
      <c r="Q281" s="21"/>
      <c r="R281" s="21"/>
      <c r="S281" s="21"/>
      <c r="T281" s="21"/>
      <c r="U281" s="21"/>
      <c r="V281" s="21"/>
    </row>
    <row r="282" spans="17:22" x14ac:dyDescent="0.25">
      <c r="Q282" s="21"/>
      <c r="R282" s="21"/>
      <c r="S282" s="21"/>
      <c r="T282" s="21"/>
      <c r="U282" s="21"/>
      <c r="V282" s="21"/>
    </row>
    <row r="283" spans="17:22" x14ac:dyDescent="0.25">
      <c r="Q283" s="21"/>
      <c r="R283" s="21"/>
      <c r="S283" s="21"/>
      <c r="T283" s="21"/>
      <c r="U283" s="21"/>
      <c r="V283" s="21"/>
    </row>
    <row r="284" spans="17:22" x14ac:dyDescent="0.25">
      <c r="Q284" s="21"/>
      <c r="R284" s="21"/>
      <c r="S284" s="21"/>
      <c r="T284" s="21"/>
      <c r="U284" s="21"/>
      <c r="V284" s="21"/>
    </row>
    <row r="285" spans="17:22" x14ac:dyDescent="0.25">
      <c r="Q285" s="21"/>
      <c r="R285" s="21"/>
      <c r="S285" s="21"/>
      <c r="T285" s="21"/>
      <c r="U285" s="21"/>
      <c r="V285" s="21"/>
    </row>
    <row r="286" spans="17:22" x14ac:dyDescent="0.25">
      <c r="Q286" s="21"/>
      <c r="R286" s="21"/>
      <c r="S286" s="21"/>
      <c r="T286" s="21"/>
      <c r="U286" s="21"/>
      <c r="V286" s="21"/>
    </row>
    <row r="287" spans="17:22" x14ac:dyDescent="0.25">
      <c r="Q287" s="21"/>
      <c r="R287" s="21"/>
      <c r="S287" s="21"/>
      <c r="T287" s="21"/>
      <c r="U287" s="21"/>
      <c r="V287" s="21"/>
    </row>
    <row r="288" spans="17:22" x14ac:dyDescent="0.25">
      <c r="Q288" s="21"/>
      <c r="R288" s="21"/>
      <c r="S288" s="21"/>
      <c r="T288" s="21"/>
      <c r="U288" s="21"/>
      <c r="V288" s="21"/>
    </row>
    <row r="289" spans="17:22" x14ac:dyDescent="0.25">
      <c r="Q289" s="21"/>
      <c r="R289" s="21"/>
      <c r="S289" s="21"/>
      <c r="T289" s="21"/>
      <c r="U289" s="21"/>
      <c r="V289" s="21"/>
    </row>
    <row r="290" spans="17:22" x14ac:dyDescent="0.25">
      <c r="Q290" s="21"/>
      <c r="R290" s="21"/>
      <c r="S290" s="21"/>
      <c r="T290" s="21"/>
      <c r="U290" s="21"/>
      <c r="V290" s="21"/>
    </row>
    <row r="291" spans="17:22" x14ac:dyDescent="0.25">
      <c r="Q291" s="21"/>
      <c r="R291" s="21"/>
      <c r="S291" s="21"/>
      <c r="T291" s="21"/>
      <c r="U291" s="21"/>
      <c r="V291" s="21"/>
    </row>
    <row r="292" spans="17:22" x14ac:dyDescent="0.25">
      <c r="Q292" s="21"/>
      <c r="R292" s="21"/>
      <c r="S292" s="21"/>
      <c r="T292" s="21"/>
      <c r="U292" s="21"/>
      <c r="V292" s="21"/>
    </row>
    <row r="293" spans="17:22" x14ac:dyDescent="0.25">
      <c r="Q293" s="21"/>
      <c r="R293" s="21"/>
      <c r="S293" s="21"/>
      <c r="T293" s="21"/>
      <c r="U293" s="21"/>
      <c r="V293" s="21"/>
    </row>
    <row r="294" spans="17:22" x14ac:dyDescent="0.25">
      <c r="Q294" s="21"/>
      <c r="R294" s="21"/>
      <c r="S294" s="21"/>
      <c r="T294" s="21"/>
      <c r="U294" s="21"/>
      <c r="V294" s="21"/>
    </row>
    <row r="295" spans="17:22" x14ac:dyDescent="0.25">
      <c r="Q295" s="21"/>
      <c r="R295" s="21"/>
      <c r="S295" s="21"/>
      <c r="T295" s="21"/>
      <c r="U295" s="21"/>
      <c r="V295" s="21"/>
    </row>
    <row r="296" spans="17:22" x14ac:dyDescent="0.25">
      <c r="Q296" s="21"/>
      <c r="R296" s="21"/>
      <c r="S296" s="21"/>
      <c r="T296" s="21"/>
      <c r="U296" s="21"/>
      <c r="V296" s="21"/>
    </row>
    <row r="297" spans="17:22" x14ac:dyDescent="0.25">
      <c r="Q297" s="21"/>
      <c r="R297" s="21"/>
      <c r="S297" s="21"/>
      <c r="T297" s="21"/>
      <c r="U297" s="21"/>
      <c r="V297" s="21"/>
    </row>
    <row r="298" spans="17:22" x14ac:dyDescent="0.25">
      <c r="Q298" s="21"/>
      <c r="R298" s="21"/>
      <c r="S298" s="21"/>
      <c r="T298" s="21"/>
      <c r="U298" s="21"/>
      <c r="V298" s="21"/>
    </row>
    <row r="299" spans="17:22" x14ac:dyDescent="0.25">
      <c r="Q299" s="21"/>
      <c r="R299" s="21"/>
      <c r="S299" s="21"/>
      <c r="T299" s="21"/>
      <c r="U299" s="21"/>
      <c r="V299" s="21"/>
    </row>
    <row r="300" spans="17:22" x14ac:dyDescent="0.25">
      <c r="Q300" s="21"/>
      <c r="R300" s="21"/>
      <c r="S300" s="21"/>
      <c r="T300" s="21"/>
      <c r="U300" s="21"/>
      <c r="V300" s="21"/>
    </row>
    <row r="301" spans="17:22" x14ac:dyDescent="0.25">
      <c r="Q301" s="21"/>
      <c r="R301" s="21"/>
      <c r="S301" s="21"/>
      <c r="T301" s="21"/>
      <c r="U301" s="21"/>
      <c r="V301" s="21"/>
    </row>
    <row r="302" spans="17:22" x14ac:dyDescent="0.25">
      <c r="Q302" s="21"/>
      <c r="R302" s="21"/>
      <c r="S302" s="21"/>
      <c r="T302" s="21"/>
      <c r="U302" s="21"/>
      <c r="V302" s="21"/>
    </row>
    <row r="303" spans="17:22" x14ac:dyDescent="0.25">
      <c r="Q303" s="21"/>
      <c r="R303" s="21"/>
      <c r="S303" s="21"/>
      <c r="T303" s="21"/>
      <c r="U303" s="21"/>
      <c r="V303" s="21"/>
    </row>
    <row r="304" spans="17:22" x14ac:dyDescent="0.25">
      <c r="Q304" s="21"/>
      <c r="R304" s="21"/>
      <c r="S304" s="21"/>
      <c r="T304" s="21"/>
      <c r="U304" s="21"/>
      <c r="V304" s="21"/>
    </row>
    <row r="305" spans="17:22" x14ac:dyDescent="0.25">
      <c r="Q305" s="21"/>
      <c r="R305" s="21"/>
      <c r="S305" s="21"/>
      <c r="T305" s="21"/>
      <c r="U305" s="21"/>
      <c r="V305" s="21"/>
    </row>
    <row r="306" spans="17:22" x14ac:dyDescent="0.25">
      <c r="Q306" s="21"/>
      <c r="R306" s="21"/>
      <c r="S306" s="21"/>
      <c r="T306" s="21"/>
      <c r="U306" s="21"/>
      <c r="V306" s="21"/>
    </row>
    <row r="307" spans="17:22" x14ac:dyDescent="0.25">
      <c r="Q307" s="21"/>
      <c r="R307" s="21"/>
      <c r="S307" s="21"/>
      <c r="T307" s="21"/>
      <c r="U307" s="21"/>
      <c r="V307" s="21"/>
    </row>
    <row r="308" spans="17:22" x14ac:dyDescent="0.25">
      <c r="Q308" s="21"/>
      <c r="R308" s="21"/>
      <c r="S308" s="21"/>
      <c r="T308" s="21"/>
      <c r="U308" s="21"/>
      <c r="V308" s="21"/>
    </row>
    <row r="309" spans="17:22" x14ac:dyDescent="0.25">
      <c r="Q309" s="21"/>
      <c r="R309" s="21"/>
      <c r="S309" s="21"/>
      <c r="T309" s="21"/>
      <c r="U309" s="21"/>
      <c r="V309" s="21"/>
    </row>
    <row r="310" spans="17:22" x14ac:dyDescent="0.25">
      <c r="Q310" s="21"/>
      <c r="R310" s="21"/>
      <c r="S310" s="21"/>
      <c r="T310" s="21"/>
      <c r="U310" s="21"/>
      <c r="V310" s="21"/>
    </row>
    <row r="311" spans="17:22" x14ac:dyDescent="0.25">
      <c r="Q311" s="21"/>
      <c r="R311" s="21"/>
      <c r="S311" s="21"/>
      <c r="T311" s="21"/>
      <c r="U311" s="21"/>
      <c r="V311" s="21"/>
    </row>
    <row r="312" spans="17:22" x14ac:dyDescent="0.25">
      <c r="Q312" s="21"/>
      <c r="R312" s="21"/>
      <c r="S312" s="21"/>
      <c r="T312" s="21"/>
      <c r="U312" s="21"/>
      <c r="V312" s="21"/>
    </row>
    <row r="313" spans="17:22" x14ac:dyDescent="0.25">
      <c r="Q313" s="21"/>
      <c r="R313" s="21"/>
      <c r="S313" s="21"/>
      <c r="T313" s="21"/>
      <c r="U313" s="21"/>
      <c r="V313" s="21"/>
    </row>
    <row r="314" spans="17:22" x14ac:dyDescent="0.25">
      <c r="Q314" s="21"/>
      <c r="R314" s="21"/>
      <c r="S314" s="21"/>
      <c r="T314" s="21"/>
      <c r="U314" s="21"/>
      <c r="V314" s="21"/>
    </row>
    <row r="315" spans="17:22" x14ac:dyDescent="0.25">
      <c r="Q315" s="21"/>
      <c r="R315" s="21"/>
      <c r="S315" s="21"/>
      <c r="T315" s="21"/>
      <c r="U315" s="21"/>
      <c r="V315" s="21"/>
    </row>
    <row r="316" spans="17:22" x14ac:dyDescent="0.25">
      <c r="Q316" s="21"/>
      <c r="R316" s="21"/>
      <c r="S316" s="21"/>
      <c r="T316" s="21"/>
      <c r="U316" s="21"/>
      <c r="V316" s="21"/>
    </row>
    <row r="317" spans="17:22" x14ac:dyDescent="0.25">
      <c r="Q317" s="21"/>
      <c r="R317" s="21"/>
      <c r="S317" s="21"/>
      <c r="T317" s="21"/>
      <c r="U317" s="21"/>
      <c r="V317" s="21"/>
    </row>
    <row r="318" spans="17:22" x14ac:dyDescent="0.25">
      <c r="Q318" s="21"/>
      <c r="R318" s="21"/>
      <c r="S318" s="21"/>
      <c r="T318" s="21"/>
      <c r="U318" s="21"/>
      <c r="V318" s="21"/>
    </row>
    <row r="319" spans="17:22" x14ac:dyDescent="0.25">
      <c r="Q319" s="21"/>
      <c r="R319" s="21"/>
      <c r="S319" s="21"/>
      <c r="T319" s="21"/>
      <c r="U319" s="21"/>
      <c r="V319" s="21"/>
    </row>
    <row r="320" spans="17:22" x14ac:dyDescent="0.25">
      <c r="Q320" s="21"/>
      <c r="R320" s="21"/>
      <c r="S320" s="21"/>
      <c r="T320" s="21"/>
      <c r="U320" s="21"/>
      <c r="V320" s="21"/>
    </row>
    <row r="321" spans="17:22" x14ac:dyDescent="0.25">
      <c r="Q321" s="21"/>
      <c r="R321" s="21"/>
      <c r="S321" s="21"/>
      <c r="T321" s="21"/>
      <c r="U321" s="21"/>
      <c r="V321" s="21"/>
    </row>
    <row r="322" spans="17:22" x14ac:dyDescent="0.25">
      <c r="Q322" s="21"/>
      <c r="R322" s="21"/>
      <c r="S322" s="21"/>
      <c r="T322" s="21"/>
      <c r="U322" s="21"/>
      <c r="V322" s="21"/>
    </row>
    <row r="323" spans="17:22" x14ac:dyDescent="0.25">
      <c r="Q323" s="21"/>
      <c r="R323" s="21"/>
      <c r="S323" s="21"/>
      <c r="T323" s="21"/>
      <c r="U323" s="21"/>
      <c r="V323" s="21"/>
    </row>
    <row r="324" spans="17:22" x14ac:dyDescent="0.25">
      <c r="Q324" s="21"/>
      <c r="R324" s="21"/>
      <c r="S324" s="21"/>
      <c r="T324" s="21"/>
      <c r="U324" s="21"/>
      <c r="V324" s="21"/>
    </row>
    <row r="325" spans="17:22" x14ac:dyDescent="0.25">
      <c r="Q325" s="21"/>
      <c r="R325" s="21"/>
      <c r="S325" s="21"/>
      <c r="T325" s="21"/>
      <c r="U325" s="21"/>
      <c r="V325" s="21"/>
    </row>
    <row r="326" spans="17:22" x14ac:dyDescent="0.25">
      <c r="Q326" s="21"/>
      <c r="R326" s="21"/>
      <c r="S326" s="21"/>
      <c r="T326" s="21"/>
      <c r="U326" s="21"/>
      <c r="V326" s="21"/>
    </row>
    <row r="327" spans="17:22" x14ac:dyDescent="0.25">
      <c r="Q327" s="21"/>
      <c r="R327" s="21"/>
      <c r="S327" s="21"/>
      <c r="T327" s="21"/>
      <c r="U327" s="21"/>
      <c r="V327" s="21"/>
    </row>
    <row r="328" spans="17:22" x14ac:dyDescent="0.25">
      <c r="Q328" s="21"/>
      <c r="R328" s="21"/>
      <c r="S328" s="21"/>
      <c r="T328" s="21"/>
      <c r="U328" s="21"/>
      <c r="V328" s="21"/>
    </row>
    <row r="329" spans="17:22" x14ac:dyDescent="0.25">
      <c r="Q329" s="21"/>
      <c r="R329" s="21"/>
      <c r="S329" s="21"/>
      <c r="T329" s="21"/>
      <c r="U329" s="21"/>
      <c r="V329" s="21"/>
    </row>
    <row r="330" spans="17:22" x14ac:dyDescent="0.25">
      <c r="Q330" s="21"/>
      <c r="R330" s="21"/>
      <c r="S330" s="21"/>
      <c r="T330" s="21"/>
      <c r="U330" s="21"/>
      <c r="V330" s="21"/>
    </row>
    <row r="331" spans="17:22" x14ac:dyDescent="0.25">
      <c r="Q331" s="21"/>
      <c r="R331" s="21"/>
      <c r="S331" s="21"/>
      <c r="T331" s="21"/>
      <c r="U331" s="21"/>
      <c r="V331" s="21"/>
    </row>
    <row r="332" spans="17:22" x14ac:dyDescent="0.25">
      <c r="Q332" s="21"/>
      <c r="R332" s="21"/>
      <c r="S332" s="21"/>
      <c r="T332" s="21"/>
      <c r="U332" s="21"/>
      <c r="V332" s="21"/>
    </row>
    <row r="333" spans="17:22" x14ac:dyDescent="0.25">
      <c r="Q333" s="21"/>
      <c r="R333" s="21"/>
      <c r="S333" s="21"/>
      <c r="T333" s="21"/>
      <c r="U333" s="21"/>
      <c r="V333" s="21"/>
    </row>
    <row r="334" spans="17:22" x14ac:dyDescent="0.25">
      <c r="Q334" s="21"/>
      <c r="R334" s="21"/>
      <c r="S334" s="21"/>
      <c r="T334" s="21"/>
      <c r="U334" s="21"/>
      <c r="V334" s="21"/>
    </row>
    <row r="335" spans="17:22" x14ac:dyDescent="0.25">
      <c r="Q335" s="21"/>
      <c r="R335" s="21"/>
      <c r="S335" s="21"/>
      <c r="T335" s="21"/>
      <c r="U335" s="21"/>
      <c r="V335" s="21"/>
    </row>
    <row r="336" spans="17:22" x14ac:dyDescent="0.25">
      <c r="Q336" s="21"/>
      <c r="R336" s="21"/>
      <c r="S336" s="21"/>
      <c r="T336" s="21"/>
      <c r="U336" s="21"/>
      <c r="V336" s="21"/>
    </row>
    <row r="337" spans="17:22" x14ac:dyDescent="0.25">
      <c r="Q337" s="21"/>
      <c r="R337" s="21"/>
      <c r="S337" s="21"/>
      <c r="T337" s="21"/>
      <c r="U337" s="21"/>
      <c r="V337" s="21"/>
    </row>
    <row r="338" spans="17:22" x14ac:dyDescent="0.25">
      <c r="Q338" s="21"/>
      <c r="R338" s="21"/>
      <c r="S338" s="21"/>
      <c r="T338" s="21"/>
      <c r="U338" s="21"/>
      <c r="V338" s="21"/>
    </row>
    <row r="339" spans="17:22" x14ac:dyDescent="0.25">
      <c r="Q339" s="21"/>
      <c r="R339" s="21"/>
      <c r="S339" s="21"/>
      <c r="T339" s="21"/>
      <c r="U339" s="21"/>
      <c r="V339" s="21"/>
    </row>
    <row r="340" spans="17:22" x14ac:dyDescent="0.25">
      <c r="Q340" s="21"/>
      <c r="R340" s="21"/>
      <c r="S340" s="21"/>
      <c r="T340" s="21"/>
      <c r="U340" s="21"/>
      <c r="V340" s="21"/>
    </row>
    <row r="341" spans="17:22" x14ac:dyDescent="0.25">
      <c r="Q341" s="21"/>
      <c r="R341" s="21"/>
      <c r="S341" s="21"/>
      <c r="T341" s="21"/>
      <c r="U341" s="21"/>
      <c r="V341" s="21"/>
    </row>
    <row r="342" spans="17:22" x14ac:dyDescent="0.25">
      <c r="Q342" s="21"/>
      <c r="R342" s="21"/>
      <c r="S342" s="21"/>
      <c r="T342" s="21"/>
      <c r="U342" s="21"/>
      <c r="V342" s="21"/>
    </row>
    <row r="343" spans="17:22" x14ac:dyDescent="0.25">
      <c r="Q343" s="21"/>
      <c r="R343" s="21"/>
      <c r="S343" s="21"/>
      <c r="T343" s="21"/>
      <c r="U343" s="21"/>
      <c r="V343" s="21"/>
    </row>
    <row r="344" spans="17:22" x14ac:dyDescent="0.25">
      <c r="Q344" s="21"/>
      <c r="R344" s="21"/>
      <c r="S344" s="21"/>
      <c r="T344" s="21"/>
      <c r="U344" s="21"/>
      <c r="V344" s="21"/>
    </row>
    <row r="345" spans="17:22" x14ac:dyDescent="0.25">
      <c r="Q345" s="21"/>
      <c r="R345" s="21"/>
      <c r="S345" s="21"/>
      <c r="T345" s="21"/>
      <c r="U345" s="21"/>
      <c r="V345" s="21"/>
    </row>
    <row r="346" spans="17:22" x14ac:dyDescent="0.25">
      <c r="Q346" s="21"/>
      <c r="R346" s="21"/>
      <c r="S346" s="21"/>
      <c r="T346" s="21"/>
      <c r="U346" s="21"/>
      <c r="V346" s="21"/>
    </row>
    <row r="347" spans="17:22" x14ac:dyDescent="0.25">
      <c r="Q347" s="21"/>
      <c r="R347" s="21"/>
      <c r="S347" s="21"/>
      <c r="T347" s="21"/>
      <c r="U347" s="21"/>
      <c r="V347" s="21"/>
    </row>
    <row r="348" spans="17:22" x14ac:dyDescent="0.25">
      <c r="Q348" s="21"/>
      <c r="R348" s="21"/>
      <c r="S348" s="21"/>
      <c r="T348" s="21"/>
      <c r="U348" s="21"/>
      <c r="V348" s="21"/>
    </row>
    <row r="349" spans="17:22" x14ac:dyDescent="0.25">
      <c r="Q349" s="21"/>
      <c r="R349" s="21"/>
      <c r="S349" s="21"/>
      <c r="T349" s="21"/>
      <c r="U349" s="21"/>
      <c r="V349" s="21"/>
    </row>
    <row r="350" spans="17:22" x14ac:dyDescent="0.25">
      <c r="Q350" s="21"/>
      <c r="R350" s="21"/>
      <c r="S350" s="21"/>
      <c r="T350" s="21"/>
      <c r="U350" s="21"/>
      <c r="V350" s="21"/>
    </row>
    <row r="351" spans="17:22" x14ac:dyDescent="0.25">
      <c r="Q351" s="21"/>
      <c r="R351" s="21"/>
      <c r="S351" s="21"/>
      <c r="T351" s="21"/>
      <c r="U351" s="21"/>
      <c r="V351" s="21"/>
    </row>
    <row r="352" spans="17:22" x14ac:dyDescent="0.25">
      <c r="Q352" s="21"/>
      <c r="R352" s="21"/>
      <c r="S352" s="21"/>
      <c r="T352" s="21"/>
      <c r="U352" s="21"/>
      <c r="V352" s="21"/>
    </row>
    <row r="353" spans="17:22" x14ac:dyDescent="0.25">
      <c r="Q353" s="21"/>
      <c r="R353" s="21"/>
      <c r="S353" s="21"/>
      <c r="T353" s="21"/>
      <c r="U353" s="21"/>
      <c r="V353" s="21"/>
    </row>
    <row r="354" spans="17:22" x14ac:dyDescent="0.25">
      <c r="Q354" s="21"/>
      <c r="R354" s="21"/>
      <c r="S354" s="21"/>
      <c r="T354" s="21"/>
      <c r="U354" s="21"/>
      <c r="V354" s="21"/>
    </row>
    <row r="355" spans="17:22" x14ac:dyDescent="0.25">
      <c r="Q355" s="21"/>
      <c r="R355" s="21"/>
      <c r="S355" s="21"/>
      <c r="T355" s="21"/>
      <c r="U355" s="21"/>
      <c r="V355" s="21"/>
    </row>
    <row r="356" spans="17:22" x14ac:dyDescent="0.25">
      <c r="Q356" s="21"/>
      <c r="R356" s="21"/>
      <c r="S356" s="21"/>
      <c r="T356" s="21"/>
      <c r="U356" s="21"/>
      <c r="V356" s="21"/>
    </row>
    <row r="357" spans="17:22" x14ac:dyDescent="0.25">
      <c r="Q357" s="21"/>
      <c r="R357" s="21"/>
      <c r="S357" s="21"/>
      <c r="T357" s="21"/>
      <c r="U357" s="21"/>
      <c r="V357" s="21"/>
    </row>
    <row r="358" spans="17:22" x14ac:dyDescent="0.25">
      <c r="Q358" s="21"/>
      <c r="R358" s="21"/>
      <c r="S358" s="21"/>
      <c r="T358" s="21"/>
      <c r="U358" s="21"/>
      <c r="V358" s="21"/>
    </row>
    <row r="359" spans="17:22" x14ac:dyDescent="0.25">
      <c r="Q359" s="21"/>
      <c r="R359" s="21"/>
      <c r="S359" s="21"/>
      <c r="T359" s="21"/>
      <c r="U359" s="21"/>
      <c r="V359" s="21"/>
    </row>
    <row r="360" spans="17:22" x14ac:dyDescent="0.25">
      <c r="Q360" s="21"/>
      <c r="R360" s="21"/>
      <c r="S360" s="21"/>
      <c r="T360" s="21"/>
      <c r="U360" s="21"/>
      <c r="V360" s="21"/>
    </row>
    <row r="361" spans="17:22" x14ac:dyDescent="0.25">
      <c r="Q361" s="21"/>
      <c r="R361" s="21"/>
      <c r="S361" s="21"/>
      <c r="T361" s="21"/>
      <c r="U361" s="21"/>
      <c r="V361" s="21"/>
    </row>
    <row r="362" spans="17:22" x14ac:dyDescent="0.25">
      <c r="Q362" s="21"/>
      <c r="R362" s="21"/>
      <c r="S362" s="21"/>
      <c r="T362" s="21"/>
      <c r="U362" s="21"/>
      <c r="V362" s="21"/>
    </row>
    <row r="363" spans="17:22" x14ac:dyDescent="0.25">
      <c r="Q363" s="21"/>
      <c r="R363" s="21"/>
      <c r="S363" s="21"/>
      <c r="T363" s="21"/>
      <c r="U363" s="21"/>
      <c r="V363" s="21"/>
    </row>
    <row r="364" spans="17:22" x14ac:dyDescent="0.25">
      <c r="Q364" s="21"/>
      <c r="R364" s="21"/>
      <c r="S364" s="21"/>
      <c r="T364" s="21"/>
      <c r="U364" s="21"/>
      <c r="V364" s="21"/>
    </row>
    <row r="365" spans="17:22" x14ac:dyDescent="0.25">
      <c r="Q365" s="21"/>
      <c r="R365" s="21"/>
      <c r="S365" s="21"/>
      <c r="T365" s="21"/>
      <c r="U365" s="21"/>
      <c r="V365" s="21"/>
    </row>
    <row r="366" spans="17:22" x14ac:dyDescent="0.25">
      <c r="Q366" s="21"/>
      <c r="R366" s="21"/>
      <c r="S366" s="21"/>
      <c r="T366" s="21"/>
      <c r="U366" s="21"/>
      <c r="V366" s="21"/>
    </row>
    <row r="367" spans="17:22" x14ac:dyDescent="0.25">
      <c r="Q367" s="21"/>
      <c r="R367" s="21"/>
      <c r="S367" s="21"/>
      <c r="T367" s="21"/>
      <c r="U367" s="21"/>
      <c r="V367" s="21"/>
    </row>
    <row r="368" spans="17:22" x14ac:dyDescent="0.25">
      <c r="Q368" s="21"/>
      <c r="R368" s="21"/>
      <c r="S368" s="21"/>
      <c r="T368" s="21"/>
      <c r="U368" s="21"/>
      <c r="V368" s="21"/>
    </row>
    <row r="369" spans="17:22" x14ac:dyDescent="0.25">
      <c r="Q369" s="21"/>
      <c r="R369" s="21"/>
      <c r="S369" s="21"/>
      <c r="T369" s="21"/>
      <c r="U369" s="21"/>
      <c r="V369" s="21"/>
    </row>
    <row r="370" spans="17:22" x14ac:dyDescent="0.25">
      <c r="Q370" s="21"/>
      <c r="R370" s="21"/>
      <c r="S370" s="21"/>
      <c r="T370" s="21"/>
      <c r="U370" s="21"/>
      <c r="V370" s="21"/>
    </row>
    <row r="371" spans="17:22" x14ac:dyDescent="0.25">
      <c r="Q371" s="21"/>
      <c r="R371" s="21"/>
      <c r="S371" s="21"/>
      <c r="T371" s="21"/>
      <c r="U371" s="21"/>
      <c r="V371" s="21"/>
    </row>
    <row r="372" spans="17:22" x14ac:dyDescent="0.25">
      <c r="Q372" s="21"/>
      <c r="R372" s="21"/>
      <c r="S372" s="21"/>
      <c r="T372" s="21"/>
      <c r="U372" s="21"/>
      <c r="V372" s="21"/>
    </row>
    <row r="373" spans="17:22" x14ac:dyDescent="0.25">
      <c r="Q373" s="21"/>
      <c r="R373" s="21"/>
      <c r="S373" s="21"/>
      <c r="T373" s="21"/>
      <c r="U373" s="21"/>
      <c r="V373" s="21"/>
    </row>
    <row r="374" spans="17:22" x14ac:dyDescent="0.25">
      <c r="Q374" s="21"/>
      <c r="R374" s="21"/>
      <c r="S374" s="21"/>
      <c r="T374" s="21"/>
      <c r="U374" s="21"/>
      <c r="V374" s="21"/>
    </row>
    <row r="375" spans="17:22" x14ac:dyDescent="0.25">
      <c r="Q375" s="21"/>
      <c r="R375" s="21"/>
      <c r="S375" s="21"/>
      <c r="T375" s="21"/>
      <c r="U375" s="21"/>
      <c r="V375" s="21"/>
    </row>
    <row r="376" spans="17:22" x14ac:dyDescent="0.25">
      <c r="Q376" s="21"/>
      <c r="R376" s="21"/>
      <c r="S376" s="21"/>
      <c r="T376" s="21"/>
      <c r="U376" s="21"/>
      <c r="V376" s="21"/>
    </row>
    <row r="377" spans="17:22" x14ac:dyDescent="0.25">
      <c r="Q377" s="21"/>
      <c r="R377" s="21"/>
      <c r="S377" s="21"/>
      <c r="T377" s="21"/>
      <c r="U377" s="21"/>
      <c r="V377" s="21"/>
    </row>
    <row r="378" spans="17:22" x14ac:dyDescent="0.25">
      <c r="Q378" s="21"/>
      <c r="R378" s="21"/>
      <c r="S378" s="21"/>
      <c r="T378" s="21"/>
      <c r="U378" s="21"/>
      <c r="V378" s="21"/>
    </row>
    <row r="379" spans="17:22" x14ac:dyDescent="0.25">
      <c r="Q379" s="21"/>
      <c r="R379" s="21"/>
      <c r="S379" s="21"/>
      <c r="T379" s="21"/>
      <c r="U379" s="21"/>
      <c r="V379" s="21"/>
    </row>
    <row r="380" spans="17:22" x14ac:dyDescent="0.25">
      <c r="Q380" s="21"/>
      <c r="R380" s="21"/>
      <c r="S380" s="21"/>
      <c r="T380" s="21"/>
      <c r="U380" s="21"/>
      <c r="V380" s="21"/>
    </row>
    <row r="381" spans="17:22" x14ac:dyDescent="0.25">
      <c r="Q381" s="21"/>
      <c r="R381" s="21"/>
      <c r="S381" s="21"/>
      <c r="T381" s="21"/>
      <c r="U381" s="21"/>
      <c r="V381" s="21"/>
    </row>
    <row r="382" spans="17:22" x14ac:dyDescent="0.25">
      <c r="Q382" s="21"/>
      <c r="R382" s="21"/>
      <c r="S382" s="21"/>
      <c r="T382" s="21"/>
      <c r="U382" s="21"/>
      <c r="V382" s="21"/>
    </row>
    <row r="383" spans="17:22" x14ac:dyDescent="0.25">
      <c r="Q383" s="21"/>
      <c r="R383" s="21"/>
      <c r="S383" s="21"/>
      <c r="T383" s="21"/>
      <c r="U383" s="21"/>
      <c r="V383" s="21"/>
    </row>
    <row r="384" spans="17:22" x14ac:dyDescent="0.25">
      <c r="Q384" s="21"/>
      <c r="R384" s="21"/>
      <c r="S384" s="21"/>
      <c r="T384" s="21"/>
      <c r="U384" s="21"/>
      <c r="V384" s="21"/>
    </row>
    <row r="385" spans="17:22" x14ac:dyDescent="0.25">
      <c r="Q385" s="21"/>
      <c r="R385" s="21"/>
      <c r="S385" s="21"/>
      <c r="T385" s="21"/>
      <c r="U385" s="21"/>
      <c r="V385" s="21"/>
    </row>
    <row r="386" spans="17:22" x14ac:dyDescent="0.25">
      <c r="Q386" s="21"/>
      <c r="R386" s="21"/>
      <c r="S386" s="21"/>
      <c r="T386" s="21"/>
      <c r="U386" s="21"/>
      <c r="V386" s="21"/>
    </row>
    <row r="387" spans="17:22" x14ac:dyDescent="0.25">
      <c r="Q387" s="21"/>
      <c r="R387" s="21"/>
      <c r="S387" s="21"/>
      <c r="T387" s="21"/>
      <c r="U387" s="21"/>
      <c r="V387" s="21"/>
    </row>
    <row r="388" spans="17:22" x14ac:dyDescent="0.25">
      <c r="Q388" s="21"/>
      <c r="R388" s="21"/>
      <c r="S388" s="21"/>
      <c r="T388" s="21"/>
      <c r="U388" s="21"/>
      <c r="V388" s="21"/>
    </row>
    <row r="389" spans="17:22" x14ac:dyDescent="0.25">
      <c r="Q389" s="21"/>
      <c r="R389" s="21"/>
      <c r="S389" s="21"/>
      <c r="T389" s="21"/>
      <c r="U389" s="21"/>
      <c r="V389" s="21"/>
    </row>
    <row r="390" spans="17:22" x14ac:dyDescent="0.25">
      <c r="Q390" s="21"/>
      <c r="R390" s="21"/>
      <c r="S390" s="21"/>
      <c r="T390" s="21"/>
      <c r="U390" s="21"/>
      <c r="V390" s="21"/>
    </row>
    <row r="391" spans="17:22" x14ac:dyDescent="0.25">
      <c r="Q391" s="21"/>
      <c r="R391" s="21"/>
      <c r="S391" s="21"/>
      <c r="T391" s="21"/>
      <c r="U391" s="21"/>
      <c r="V391" s="21"/>
    </row>
    <row r="392" spans="17:22" x14ac:dyDescent="0.25">
      <c r="Q392" s="21"/>
      <c r="R392" s="21"/>
      <c r="S392" s="21"/>
      <c r="T392" s="21"/>
      <c r="U392" s="21"/>
      <c r="V392" s="21"/>
    </row>
    <row r="393" spans="17:22" x14ac:dyDescent="0.25">
      <c r="Q393" s="21"/>
      <c r="R393" s="21"/>
      <c r="S393" s="21"/>
      <c r="T393" s="21"/>
      <c r="U393" s="21"/>
      <c r="V393" s="21"/>
    </row>
    <row r="394" spans="17:22" x14ac:dyDescent="0.25">
      <c r="Q394" s="21"/>
      <c r="R394" s="21"/>
      <c r="S394" s="21"/>
      <c r="T394" s="21"/>
      <c r="U394" s="21"/>
      <c r="V394" s="21"/>
    </row>
    <row r="395" spans="17:22" x14ac:dyDescent="0.25">
      <c r="Q395" s="21"/>
      <c r="R395" s="21"/>
      <c r="S395" s="21"/>
      <c r="T395" s="21"/>
      <c r="U395" s="21"/>
      <c r="V395" s="21"/>
    </row>
    <row r="396" spans="17:22" x14ac:dyDescent="0.25">
      <c r="Q396" s="21"/>
      <c r="R396" s="21"/>
      <c r="S396" s="21"/>
      <c r="T396" s="21"/>
      <c r="U396" s="21"/>
      <c r="V396" s="21"/>
    </row>
    <row r="397" spans="17:22" x14ac:dyDescent="0.25">
      <c r="Q397" s="21"/>
      <c r="R397" s="21"/>
      <c r="S397" s="21"/>
      <c r="T397" s="21"/>
      <c r="U397" s="21"/>
      <c r="V397" s="21"/>
    </row>
    <row r="398" spans="17:22" x14ac:dyDescent="0.25">
      <c r="Q398" s="21"/>
      <c r="R398" s="21"/>
      <c r="S398" s="21"/>
      <c r="T398" s="21"/>
      <c r="U398" s="21"/>
      <c r="V398" s="21"/>
    </row>
    <row r="399" spans="17:22" x14ac:dyDescent="0.25">
      <c r="Q399" s="21"/>
      <c r="R399" s="21"/>
      <c r="S399" s="21"/>
      <c r="T399" s="21"/>
      <c r="U399" s="21"/>
      <c r="V399" s="21"/>
    </row>
    <row r="400" spans="17:22" x14ac:dyDescent="0.25">
      <c r="Q400" s="21"/>
      <c r="R400" s="21"/>
      <c r="S400" s="21"/>
      <c r="T400" s="21"/>
      <c r="U400" s="21"/>
      <c r="V400" s="21"/>
    </row>
    <row r="401" spans="17:22" x14ac:dyDescent="0.25">
      <c r="Q401" s="21"/>
      <c r="R401" s="21"/>
      <c r="S401" s="21"/>
      <c r="T401" s="21"/>
      <c r="U401" s="21"/>
      <c r="V401" s="21"/>
    </row>
    <row r="402" spans="17:22" x14ac:dyDescent="0.25">
      <c r="Q402" s="21"/>
      <c r="R402" s="21"/>
      <c r="S402" s="21"/>
      <c r="T402" s="21"/>
      <c r="U402" s="21"/>
      <c r="V402" s="21"/>
    </row>
    <row r="403" spans="17:22" x14ac:dyDescent="0.25">
      <c r="Q403" s="21"/>
      <c r="R403" s="21"/>
      <c r="S403" s="21"/>
      <c r="T403" s="21"/>
      <c r="U403" s="21"/>
      <c r="V403" s="21"/>
    </row>
    <row r="404" spans="17:22" x14ac:dyDescent="0.25">
      <c r="Q404" s="21"/>
      <c r="R404" s="21"/>
      <c r="S404" s="21"/>
      <c r="T404" s="21"/>
      <c r="U404" s="21"/>
      <c r="V404" s="21"/>
    </row>
    <row r="405" spans="17:22" x14ac:dyDescent="0.25">
      <c r="Q405" s="21"/>
      <c r="R405" s="21"/>
      <c r="S405" s="21"/>
      <c r="T405" s="21"/>
      <c r="U405" s="21"/>
      <c r="V405" s="21"/>
    </row>
    <row r="406" spans="17:22" x14ac:dyDescent="0.25">
      <c r="Q406" s="21"/>
      <c r="R406" s="21"/>
      <c r="S406" s="21"/>
      <c r="T406" s="21"/>
      <c r="U406" s="21"/>
      <c r="V406" s="21"/>
    </row>
    <row r="407" spans="17:22" x14ac:dyDescent="0.25">
      <c r="Q407" s="21"/>
      <c r="R407" s="21"/>
      <c r="S407" s="21"/>
      <c r="T407" s="21"/>
      <c r="U407" s="21"/>
      <c r="V407" s="21"/>
    </row>
    <row r="408" spans="17:22" x14ac:dyDescent="0.25">
      <c r="Q408" s="21"/>
      <c r="R408" s="21"/>
      <c r="S408" s="21"/>
      <c r="T408" s="21"/>
      <c r="U408" s="21"/>
      <c r="V408" s="21"/>
    </row>
    <row r="409" spans="17:22" x14ac:dyDescent="0.25">
      <c r="Q409" s="21"/>
      <c r="R409" s="21"/>
      <c r="S409" s="21"/>
      <c r="T409" s="21"/>
      <c r="U409" s="21"/>
      <c r="V409" s="21"/>
    </row>
    <row r="410" spans="17:22" x14ac:dyDescent="0.25">
      <c r="Q410" s="21"/>
      <c r="R410" s="21"/>
      <c r="S410" s="21"/>
      <c r="T410" s="21"/>
      <c r="U410" s="21"/>
      <c r="V410" s="21"/>
    </row>
    <row r="411" spans="17:22" x14ac:dyDescent="0.25">
      <c r="Q411" s="21"/>
      <c r="R411" s="21"/>
      <c r="S411" s="21"/>
      <c r="T411" s="21"/>
      <c r="U411" s="21"/>
      <c r="V411" s="21"/>
    </row>
    <row r="412" spans="17:22" x14ac:dyDescent="0.25">
      <c r="Q412" s="21"/>
      <c r="R412" s="21"/>
      <c r="S412" s="21"/>
      <c r="T412" s="21"/>
      <c r="U412" s="21"/>
      <c r="V412" s="21"/>
    </row>
    <row r="413" spans="17:22" x14ac:dyDescent="0.25">
      <c r="Q413" s="21"/>
      <c r="R413" s="21"/>
      <c r="S413" s="21"/>
      <c r="T413" s="21"/>
      <c r="U413" s="21"/>
      <c r="V413" s="21"/>
    </row>
    <row r="414" spans="17:22" x14ac:dyDescent="0.25">
      <c r="Q414" s="21"/>
      <c r="R414" s="21"/>
      <c r="S414" s="21"/>
      <c r="T414" s="21"/>
      <c r="U414" s="21"/>
      <c r="V414" s="21"/>
    </row>
    <row r="415" spans="17:22" x14ac:dyDescent="0.25">
      <c r="Q415" s="21"/>
      <c r="R415" s="21"/>
      <c r="S415" s="21"/>
      <c r="T415" s="21"/>
      <c r="U415" s="21"/>
      <c r="V415" s="21"/>
    </row>
    <row r="416" spans="17:22" x14ac:dyDescent="0.25">
      <c r="Q416" s="21"/>
      <c r="R416" s="21"/>
      <c r="S416" s="21"/>
      <c r="T416" s="21"/>
      <c r="U416" s="21"/>
      <c r="V416" s="21"/>
    </row>
    <row r="417" spans="17:22" x14ac:dyDescent="0.25">
      <c r="Q417" s="21"/>
      <c r="R417" s="21"/>
      <c r="S417" s="21"/>
      <c r="T417" s="21"/>
      <c r="U417" s="21"/>
      <c r="V417" s="21"/>
    </row>
    <row r="418" spans="17:22" x14ac:dyDescent="0.25">
      <c r="Q418" s="21"/>
      <c r="R418" s="21"/>
      <c r="S418" s="21"/>
      <c r="T418" s="21"/>
      <c r="U418" s="21"/>
      <c r="V418" s="21"/>
    </row>
    <row r="419" spans="17:22" x14ac:dyDescent="0.25">
      <c r="Q419" s="21"/>
      <c r="R419" s="21"/>
      <c r="S419" s="21"/>
      <c r="T419" s="21"/>
      <c r="U419" s="21"/>
      <c r="V419" s="21"/>
    </row>
    <row r="420" spans="17:22" x14ac:dyDescent="0.25">
      <c r="Q420" s="21"/>
      <c r="R420" s="21"/>
      <c r="S420" s="21"/>
      <c r="T420" s="21"/>
      <c r="U420" s="21"/>
      <c r="V420" s="21"/>
    </row>
    <row r="421" spans="17:22" x14ac:dyDescent="0.25">
      <c r="Q421" s="21"/>
      <c r="R421" s="21"/>
      <c r="S421" s="21"/>
      <c r="T421" s="21"/>
      <c r="U421" s="21"/>
      <c r="V421" s="21"/>
    </row>
    <row r="422" spans="17:22" x14ac:dyDescent="0.25">
      <c r="Q422" s="21"/>
      <c r="R422" s="21"/>
      <c r="S422" s="21"/>
      <c r="T422" s="21"/>
      <c r="U422" s="21"/>
      <c r="V422" s="21"/>
    </row>
    <row r="423" spans="17:22" x14ac:dyDescent="0.25">
      <c r="Q423" s="21"/>
      <c r="R423" s="21"/>
      <c r="S423" s="21"/>
      <c r="T423" s="21"/>
      <c r="U423" s="21"/>
      <c r="V423" s="21"/>
    </row>
    <row r="424" spans="17:22" x14ac:dyDescent="0.25">
      <c r="Q424" s="21"/>
      <c r="R424" s="21"/>
      <c r="S424" s="21"/>
      <c r="T424" s="21"/>
      <c r="U424" s="21"/>
      <c r="V424" s="21"/>
    </row>
    <row r="425" spans="17:22" x14ac:dyDescent="0.25">
      <c r="Q425" s="21"/>
      <c r="R425" s="21"/>
      <c r="S425" s="21"/>
      <c r="T425" s="21"/>
      <c r="U425" s="21"/>
      <c r="V425" s="21"/>
    </row>
    <row r="426" spans="17:22" x14ac:dyDescent="0.25">
      <c r="Q426" s="21"/>
      <c r="R426" s="21"/>
      <c r="S426" s="21"/>
      <c r="T426" s="21"/>
      <c r="U426" s="21"/>
      <c r="V426" s="21"/>
    </row>
    <row r="427" spans="17:22" x14ac:dyDescent="0.25">
      <c r="Q427" s="21"/>
      <c r="R427" s="21"/>
      <c r="S427" s="21"/>
      <c r="T427" s="21"/>
      <c r="U427" s="21"/>
      <c r="V427" s="21"/>
    </row>
    <row r="428" spans="17:22" x14ac:dyDescent="0.25">
      <c r="Q428" s="21"/>
      <c r="R428" s="21"/>
      <c r="S428" s="21"/>
      <c r="T428" s="21"/>
      <c r="U428" s="21"/>
      <c r="V428" s="21"/>
    </row>
    <row r="429" spans="17:22" x14ac:dyDescent="0.25">
      <c r="Q429" s="21"/>
      <c r="R429" s="21"/>
      <c r="S429" s="21"/>
      <c r="T429" s="21"/>
      <c r="U429" s="21"/>
      <c r="V429" s="21"/>
    </row>
    <row r="430" spans="17:22" x14ac:dyDescent="0.25">
      <c r="Q430" s="21"/>
      <c r="R430" s="21"/>
      <c r="S430" s="21"/>
      <c r="T430" s="21"/>
      <c r="U430" s="21"/>
      <c r="V430" s="21"/>
    </row>
    <row r="431" spans="17:22" x14ac:dyDescent="0.25">
      <c r="Q431" s="21"/>
      <c r="R431" s="21"/>
      <c r="S431" s="21"/>
      <c r="T431" s="21"/>
      <c r="U431" s="21"/>
      <c r="V431" s="21"/>
    </row>
    <row r="432" spans="17:22" x14ac:dyDescent="0.25">
      <c r="Q432" s="21"/>
      <c r="R432" s="21"/>
      <c r="S432" s="21"/>
      <c r="T432" s="21"/>
      <c r="U432" s="21"/>
      <c r="V432" s="21"/>
    </row>
    <row r="433" spans="17:22" x14ac:dyDescent="0.25">
      <c r="Q433" s="21"/>
      <c r="R433" s="21"/>
      <c r="S433" s="21"/>
      <c r="T433" s="21"/>
      <c r="U433" s="21"/>
      <c r="V433" s="21"/>
    </row>
    <row r="434" spans="17:22" x14ac:dyDescent="0.25">
      <c r="Q434" s="21"/>
      <c r="R434" s="21"/>
      <c r="S434" s="21"/>
      <c r="T434" s="21"/>
      <c r="U434" s="21"/>
      <c r="V434" s="21"/>
    </row>
    <row r="435" spans="17:22" x14ac:dyDescent="0.25">
      <c r="Q435" s="21"/>
      <c r="R435" s="21"/>
      <c r="S435" s="21"/>
      <c r="T435" s="21"/>
      <c r="U435" s="21"/>
      <c r="V435" s="21"/>
    </row>
    <row r="436" spans="17:22" x14ac:dyDescent="0.25">
      <c r="Q436" s="21"/>
      <c r="R436" s="21"/>
      <c r="S436" s="21"/>
      <c r="T436" s="21"/>
      <c r="U436" s="21"/>
      <c r="V436" s="21"/>
    </row>
    <row r="437" spans="17:22" x14ac:dyDescent="0.25">
      <c r="Q437" s="21"/>
      <c r="R437" s="21"/>
      <c r="S437" s="21"/>
      <c r="T437" s="21"/>
      <c r="U437" s="21"/>
      <c r="V437" s="21"/>
    </row>
    <row r="438" spans="17:22" x14ac:dyDescent="0.25">
      <c r="Q438" s="21"/>
      <c r="R438" s="21"/>
      <c r="S438" s="21"/>
      <c r="T438" s="21"/>
      <c r="U438" s="21"/>
      <c r="V438" s="21"/>
    </row>
    <row r="439" spans="17:22" x14ac:dyDescent="0.25">
      <c r="Q439" s="21"/>
      <c r="R439" s="21"/>
      <c r="S439" s="21"/>
      <c r="T439" s="21"/>
      <c r="U439" s="21"/>
      <c r="V439" s="21"/>
    </row>
    <row r="440" spans="17:22" x14ac:dyDescent="0.25">
      <c r="Q440" s="21"/>
      <c r="R440" s="21"/>
      <c r="S440" s="21"/>
      <c r="T440" s="21"/>
      <c r="U440" s="21"/>
      <c r="V440" s="21"/>
    </row>
    <row r="441" spans="17:22" x14ac:dyDescent="0.25">
      <c r="Q441" s="21"/>
      <c r="R441" s="21"/>
      <c r="S441" s="21"/>
      <c r="T441" s="21"/>
      <c r="U441" s="21"/>
      <c r="V441" s="21"/>
    </row>
    <row r="442" spans="17:22" x14ac:dyDescent="0.25">
      <c r="Q442" s="21"/>
      <c r="R442" s="21"/>
      <c r="S442" s="21"/>
      <c r="T442" s="21"/>
      <c r="U442" s="21"/>
      <c r="V442" s="21"/>
    </row>
    <row r="443" spans="17:22" x14ac:dyDescent="0.25">
      <c r="Q443" s="21"/>
      <c r="R443" s="21"/>
      <c r="S443" s="21"/>
      <c r="T443" s="21"/>
      <c r="U443" s="21"/>
      <c r="V443" s="21"/>
    </row>
    <row r="444" spans="17:22" x14ac:dyDescent="0.25">
      <c r="Q444" s="21"/>
      <c r="R444" s="21"/>
      <c r="S444" s="21"/>
      <c r="T444" s="21"/>
      <c r="U444" s="21"/>
      <c r="V444" s="21"/>
    </row>
    <row r="445" spans="17:22" x14ac:dyDescent="0.25">
      <c r="Q445" s="21"/>
      <c r="R445" s="21"/>
      <c r="S445" s="21"/>
      <c r="T445" s="21"/>
      <c r="U445" s="21"/>
      <c r="V445" s="21"/>
    </row>
    <row r="446" spans="17:22" x14ac:dyDescent="0.25">
      <c r="Q446" s="21"/>
      <c r="R446" s="21"/>
      <c r="S446" s="21"/>
      <c r="T446" s="21"/>
      <c r="U446" s="21"/>
      <c r="V446" s="21"/>
    </row>
    <row r="447" spans="17:22" x14ac:dyDescent="0.25">
      <c r="Q447" s="21"/>
      <c r="R447" s="21"/>
      <c r="S447" s="21"/>
      <c r="T447" s="21"/>
      <c r="U447" s="21"/>
      <c r="V447" s="21"/>
    </row>
    <row r="448" spans="17:22" x14ac:dyDescent="0.25">
      <c r="Q448" s="21"/>
      <c r="R448" s="21"/>
      <c r="S448" s="21"/>
      <c r="T448" s="21"/>
      <c r="U448" s="21"/>
      <c r="V448" s="21"/>
    </row>
    <row r="449" spans="17:22" x14ac:dyDescent="0.25">
      <c r="Q449" s="21"/>
      <c r="R449" s="21"/>
      <c r="S449" s="21"/>
      <c r="T449" s="21"/>
      <c r="U449" s="21"/>
      <c r="V449" s="21"/>
    </row>
    <row r="450" spans="17:22" x14ac:dyDescent="0.25">
      <c r="Q450" s="21"/>
      <c r="R450" s="21"/>
      <c r="S450" s="21"/>
      <c r="T450" s="21"/>
      <c r="U450" s="21"/>
      <c r="V450" s="21"/>
    </row>
    <row r="451" spans="17:22" x14ac:dyDescent="0.25">
      <c r="Q451" s="21"/>
      <c r="R451" s="21"/>
      <c r="S451" s="21"/>
      <c r="T451" s="21"/>
      <c r="U451" s="21"/>
      <c r="V451" s="21"/>
    </row>
    <row r="452" spans="17:22" x14ac:dyDescent="0.25">
      <c r="Q452" s="21"/>
      <c r="R452" s="21"/>
      <c r="S452" s="21"/>
      <c r="T452" s="21"/>
      <c r="U452" s="21"/>
      <c r="V452" s="21"/>
    </row>
    <row r="453" spans="17:22" x14ac:dyDescent="0.25">
      <c r="Q453" s="21"/>
      <c r="R453" s="21"/>
      <c r="S453" s="21"/>
      <c r="T453" s="21"/>
      <c r="U453" s="21"/>
      <c r="V453" s="21"/>
    </row>
    <row r="454" spans="17:22" x14ac:dyDescent="0.25">
      <c r="Q454" s="21"/>
      <c r="R454" s="21"/>
      <c r="S454" s="21"/>
      <c r="T454" s="21"/>
      <c r="U454" s="21"/>
      <c r="V454" s="21"/>
    </row>
    <row r="455" spans="17:22" x14ac:dyDescent="0.25">
      <c r="Q455" s="21"/>
      <c r="R455" s="21"/>
      <c r="S455" s="21"/>
      <c r="T455" s="21"/>
      <c r="U455" s="21"/>
      <c r="V455" s="21"/>
    </row>
    <row r="456" spans="17:22" x14ac:dyDescent="0.25">
      <c r="Q456" s="21"/>
      <c r="R456" s="21"/>
      <c r="S456" s="21"/>
      <c r="T456" s="21"/>
      <c r="U456" s="21"/>
      <c r="V456" s="21"/>
    </row>
    <row r="457" spans="17:22" x14ac:dyDescent="0.25">
      <c r="Q457" s="21"/>
      <c r="R457" s="21"/>
      <c r="S457" s="21"/>
      <c r="T457" s="21"/>
      <c r="U457" s="21"/>
      <c r="V457" s="21"/>
    </row>
    <row r="458" spans="17:22" x14ac:dyDescent="0.25">
      <c r="Q458" s="21"/>
      <c r="R458" s="21"/>
      <c r="S458" s="21"/>
      <c r="T458" s="21"/>
      <c r="U458" s="21"/>
      <c r="V458" s="21"/>
    </row>
    <row r="459" spans="17:22" x14ac:dyDescent="0.25">
      <c r="Q459" s="21"/>
      <c r="R459" s="21"/>
      <c r="S459" s="21"/>
      <c r="T459" s="21"/>
      <c r="U459" s="21"/>
      <c r="V459" s="21"/>
    </row>
    <row r="460" spans="17:22" x14ac:dyDescent="0.25">
      <c r="Q460" s="21"/>
      <c r="R460" s="21"/>
      <c r="S460" s="21"/>
      <c r="T460" s="21"/>
      <c r="U460" s="21"/>
      <c r="V460" s="21"/>
    </row>
    <row r="461" spans="17:22" x14ac:dyDescent="0.25">
      <c r="Q461" s="21"/>
      <c r="R461" s="21"/>
      <c r="S461" s="21"/>
      <c r="T461" s="21"/>
      <c r="U461" s="21"/>
      <c r="V461" s="21"/>
    </row>
    <row r="462" spans="17:22" x14ac:dyDescent="0.25">
      <c r="Q462" s="21"/>
      <c r="R462" s="21"/>
      <c r="S462" s="21"/>
      <c r="T462" s="21"/>
      <c r="U462" s="21"/>
      <c r="V462" s="21"/>
    </row>
    <row r="463" spans="17:22" x14ac:dyDescent="0.25">
      <c r="Q463" s="21"/>
      <c r="R463" s="21"/>
      <c r="S463" s="21"/>
      <c r="T463" s="21"/>
      <c r="U463" s="21"/>
      <c r="V463" s="21"/>
    </row>
    <row r="464" spans="17:22" x14ac:dyDescent="0.25">
      <c r="Q464" s="21"/>
      <c r="R464" s="21"/>
      <c r="S464" s="21"/>
      <c r="T464" s="21"/>
      <c r="U464" s="21"/>
      <c r="V464" s="21"/>
    </row>
    <row r="465" spans="17:22" x14ac:dyDescent="0.25">
      <c r="Q465" s="21"/>
      <c r="R465" s="21"/>
      <c r="S465" s="21"/>
      <c r="T465" s="21"/>
      <c r="U465" s="21"/>
      <c r="V465" s="21"/>
    </row>
    <row r="466" spans="17:22" x14ac:dyDescent="0.25">
      <c r="Q466" s="21"/>
      <c r="R466" s="21"/>
      <c r="S466" s="21"/>
      <c r="T466" s="21"/>
      <c r="U466" s="21"/>
      <c r="V466" s="21"/>
    </row>
    <row r="467" spans="17:22" x14ac:dyDescent="0.25">
      <c r="Q467" s="21"/>
      <c r="R467" s="21"/>
      <c r="S467" s="21"/>
      <c r="T467" s="21"/>
      <c r="U467" s="21"/>
      <c r="V467" s="21"/>
    </row>
    <row r="468" spans="17:22" x14ac:dyDescent="0.25">
      <c r="Q468" s="21"/>
      <c r="R468" s="21"/>
      <c r="S468" s="21"/>
      <c r="T468" s="21"/>
      <c r="U468" s="21"/>
      <c r="V468" s="21"/>
    </row>
    <row r="469" spans="17:22" x14ac:dyDescent="0.25">
      <c r="Q469" s="21"/>
      <c r="R469" s="21"/>
      <c r="S469" s="21"/>
      <c r="T469" s="21"/>
      <c r="U469" s="21"/>
      <c r="V469" s="21"/>
    </row>
    <row r="470" spans="17:22" x14ac:dyDescent="0.25">
      <c r="Q470" s="21"/>
      <c r="R470" s="21"/>
      <c r="S470" s="21"/>
      <c r="T470" s="21"/>
      <c r="U470" s="21"/>
      <c r="V470" s="21"/>
    </row>
    <row r="471" spans="17:22" x14ac:dyDescent="0.25">
      <c r="Q471" s="21"/>
      <c r="R471" s="21"/>
      <c r="S471" s="21"/>
      <c r="T471" s="21"/>
      <c r="U471" s="21"/>
      <c r="V471" s="21"/>
    </row>
    <row r="472" spans="17:22" x14ac:dyDescent="0.25">
      <c r="Q472" s="21"/>
      <c r="R472" s="21"/>
      <c r="S472" s="21"/>
      <c r="T472" s="21"/>
      <c r="U472" s="21"/>
      <c r="V472" s="21"/>
    </row>
    <row r="473" spans="17:22" x14ac:dyDescent="0.25">
      <c r="Q473" s="21"/>
      <c r="R473" s="21"/>
      <c r="S473" s="21"/>
      <c r="T473" s="21"/>
      <c r="U473" s="21"/>
      <c r="V473" s="21"/>
    </row>
    <row r="474" spans="17:22" x14ac:dyDescent="0.25">
      <c r="Q474" s="21"/>
      <c r="R474" s="21"/>
      <c r="S474" s="21"/>
      <c r="T474" s="21"/>
      <c r="U474" s="21"/>
      <c r="V474" s="21"/>
    </row>
    <row r="475" spans="17:22" x14ac:dyDescent="0.25">
      <c r="Q475" s="21"/>
      <c r="R475" s="21"/>
      <c r="S475" s="21"/>
      <c r="T475" s="21"/>
      <c r="U475" s="21"/>
      <c r="V475" s="21"/>
    </row>
    <row r="476" spans="17:22" x14ac:dyDescent="0.25">
      <c r="Q476" s="21"/>
      <c r="R476" s="21"/>
      <c r="S476" s="21"/>
      <c r="T476" s="21"/>
      <c r="U476" s="21"/>
      <c r="V476" s="21"/>
    </row>
    <row r="477" spans="17:22" x14ac:dyDescent="0.25">
      <c r="Q477" s="21"/>
      <c r="R477" s="21"/>
      <c r="S477" s="21"/>
      <c r="T477" s="21"/>
      <c r="U477" s="21"/>
      <c r="V477" s="21"/>
    </row>
    <row r="478" spans="17:22" x14ac:dyDescent="0.25">
      <c r="Q478" s="21"/>
      <c r="R478" s="21"/>
      <c r="S478" s="21"/>
      <c r="T478" s="21"/>
      <c r="U478" s="21"/>
      <c r="V478" s="21"/>
    </row>
    <row r="479" spans="17:22" x14ac:dyDescent="0.25">
      <c r="Q479" s="21"/>
      <c r="R479" s="21"/>
      <c r="S479" s="21"/>
      <c r="T479" s="21"/>
      <c r="U479" s="21"/>
      <c r="V479" s="21"/>
    </row>
    <row r="480" spans="17:22" x14ac:dyDescent="0.25">
      <c r="Q480" s="21"/>
      <c r="R480" s="21"/>
      <c r="S480" s="21"/>
      <c r="T480" s="21"/>
      <c r="U480" s="21"/>
      <c r="V480" s="21"/>
    </row>
    <row r="481" spans="17:22" x14ac:dyDescent="0.25">
      <c r="Q481" s="21"/>
      <c r="R481" s="21"/>
      <c r="S481" s="21"/>
      <c r="T481" s="21"/>
      <c r="U481" s="21"/>
      <c r="V481" s="21"/>
    </row>
    <row r="482" spans="17:22" x14ac:dyDescent="0.25">
      <c r="Q482" s="21"/>
      <c r="R482" s="21"/>
      <c r="S482" s="21"/>
      <c r="T482" s="21"/>
      <c r="U482" s="21"/>
      <c r="V482" s="21"/>
    </row>
    <row r="483" spans="17:22" x14ac:dyDescent="0.25">
      <c r="Q483" s="21"/>
      <c r="R483" s="21"/>
      <c r="S483" s="21"/>
      <c r="T483" s="21"/>
      <c r="U483" s="21"/>
      <c r="V483" s="21"/>
    </row>
    <row r="484" spans="17:22" x14ac:dyDescent="0.25">
      <c r="Q484" s="21"/>
      <c r="R484" s="21"/>
      <c r="S484" s="21"/>
      <c r="T484" s="21"/>
      <c r="U484" s="21"/>
      <c r="V484" s="21"/>
    </row>
    <row r="485" spans="17:22" x14ac:dyDescent="0.25">
      <c r="Q485" s="21"/>
      <c r="R485" s="21"/>
      <c r="S485" s="21"/>
      <c r="T485" s="21"/>
      <c r="U485" s="21"/>
      <c r="V485" s="21"/>
    </row>
    <row r="486" spans="17:22" x14ac:dyDescent="0.25">
      <c r="Q486" s="21"/>
      <c r="R486" s="21"/>
      <c r="S486" s="21"/>
      <c r="T486" s="21"/>
      <c r="U486" s="21"/>
      <c r="V486" s="21"/>
    </row>
    <row r="487" spans="17:22" x14ac:dyDescent="0.25">
      <c r="Q487" s="21"/>
      <c r="R487" s="21"/>
      <c r="S487" s="21"/>
      <c r="T487" s="21"/>
      <c r="U487" s="21"/>
      <c r="V487" s="21"/>
    </row>
    <row r="488" spans="17:22" x14ac:dyDescent="0.25">
      <c r="Q488" s="21"/>
      <c r="R488" s="21"/>
      <c r="S488" s="21"/>
      <c r="T488" s="21"/>
      <c r="U488" s="21"/>
      <c r="V488" s="21"/>
    </row>
    <row r="489" spans="17:22" x14ac:dyDescent="0.25">
      <c r="Q489" s="21"/>
      <c r="R489" s="21"/>
      <c r="S489" s="21"/>
      <c r="T489" s="21"/>
      <c r="U489" s="21"/>
      <c r="V489" s="21"/>
    </row>
    <row r="490" spans="17:22" x14ac:dyDescent="0.25">
      <c r="Q490" s="21"/>
      <c r="R490" s="21"/>
      <c r="S490" s="21"/>
      <c r="T490" s="21"/>
      <c r="U490" s="21"/>
      <c r="V490" s="21"/>
    </row>
    <row r="491" spans="17:22" x14ac:dyDescent="0.25">
      <c r="Q491" s="21"/>
      <c r="R491" s="21"/>
      <c r="S491" s="21"/>
      <c r="T491" s="21"/>
      <c r="U491" s="21"/>
      <c r="V491" s="21"/>
    </row>
    <row r="492" spans="17:22" x14ac:dyDescent="0.25">
      <c r="Q492" s="21"/>
      <c r="R492" s="21"/>
      <c r="S492" s="21"/>
      <c r="T492" s="21"/>
      <c r="U492" s="21"/>
      <c r="V492" s="21"/>
    </row>
    <row r="493" spans="17:22" x14ac:dyDescent="0.25">
      <c r="Q493" s="21"/>
      <c r="R493" s="21"/>
      <c r="S493" s="21"/>
      <c r="T493" s="21"/>
      <c r="U493" s="21"/>
      <c r="V493" s="21"/>
    </row>
    <row r="494" spans="17:22" x14ac:dyDescent="0.25">
      <c r="Q494" s="21"/>
      <c r="R494" s="21"/>
      <c r="S494" s="21"/>
      <c r="T494" s="21"/>
      <c r="U494" s="21"/>
      <c r="V494" s="21"/>
    </row>
    <row r="495" spans="17:22" x14ac:dyDescent="0.25">
      <c r="Q495" s="21"/>
      <c r="R495" s="21"/>
      <c r="S495" s="21"/>
      <c r="T495" s="21"/>
      <c r="U495" s="21"/>
      <c r="V495" s="21"/>
    </row>
    <row r="496" spans="17:22" x14ac:dyDescent="0.25">
      <c r="Q496" s="21"/>
      <c r="R496" s="21"/>
      <c r="S496" s="21"/>
      <c r="T496" s="21"/>
      <c r="U496" s="21"/>
      <c r="V496" s="21"/>
    </row>
    <row r="497" spans="17:22" x14ac:dyDescent="0.25">
      <c r="Q497" s="21"/>
      <c r="R497" s="21"/>
      <c r="S497" s="21"/>
      <c r="T497" s="21"/>
      <c r="U497" s="21"/>
      <c r="V497" s="21"/>
    </row>
    <row r="498" spans="17:22" x14ac:dyDescent="0.25">
      <c r="Q498" s="21"/>
      <c r="R498" s="21"/>
      <c r="S498" s="21"/>
      <c r="T498" s="21"/>
      <c r="U498" s="21"/>
      <c r="V498" s="21"/>
    </row>
    <row r="499" spans="17:22" x14ac:dyDescent="0.25">
      <c r="Q499" s="21"/>
      <c r="R499" s="21"/>
      <c r="S499" s="21"/>
      <c r="T499" s="21"/>
      <c r="U499" s="21"/>
      <c r="V499" s="21"/>
    </row>
    <row r="500" spans="17:22" x14ac:dyDescent="0.25">
      <c r="Q500" s="21"/>
      <c r="R500" s="21"/>
      <c r="S500" s="21"/>
      <c r="T500" s="21"/>
      <c r="U500" s="21"/>
      <c r="V500" s="21"/>
    </row>
    <row r="501" spans="17:22" x14ac:dyDescent="0.25">
      <c r="Q501" s="21"/>
      <c r="R501" s="21"/>
      <c r="S501" s="21"/>
      <c r="T501" s="21"/>
      <c r="U501" s="21"/>
      <c r="V501" s="21"/>
    </row>
    <row r="502" spans="17:22" x14ac:dyDescent="0.25">
      <c r="Q502" s="21"/>
      <c r="R502" s="21"/>
      <c r="S502" s="21"/>
      <c r="T502" s="21"/>
      <c r="U502" s="21"/>
      <c r="V502" s="21"/>
    </row>
    <row r="503" spans="17:22" x14ac:dyDescent="0.25">
      <c r="Q503" s="21"/>
      <c r="R503" s="21"/>
      <c r="S503" s="21"/>
      <c r="T503" s="21"/>
      <c r="U503" s="21"/>
      <c r="V503" s="21"/>
    </row>
    <row r="504" spans="17:22" x14ac:dyDescent="0.25">
      <c r="Q504" s="21"/>
      <c r="R504" s="21"/>
      <c r="S504" s="21"/>
      <c r="T504" s="21"/>
      <c r="U504" s="21"/>
      <c r="V504" s="21"/>
    </row>
    <row r="505" spans="17:22" x14ac:dyDescent="0.25">
      <c r="Q505" s="21"/>
      <c r="R505" s="21"/>
      <c r="S505" s="21"/>
      <c r="T505" s="21"/>
      <c r="U505" s="21"/>
      <c r="V505" s="21"/>
    </row>
    <row r="506" spans="17:22" x14ac:dyDescent="0.25">
      <c r="Q506" s="21"/>
      <c r="R506" s="21"/>
      <c r="S506" s="21"/>
      <c r="T506" s="21"/>
      <c r="U506" s="21"/>
      <c r="V506" s="21"/>
    </row>
    <row r="507" spans="17:22" x14ac:dyDescent="0.25">
      <c r="Q507" s="21"/>
      <c r="R507" s="21"/>
      <c r="S507" s="21"/>
      <c r="T507" s="21"/>
      <c r="U507" s="21"/>
      <c r="V507" s="21"/>
    </row>
    <row r="508" spans="17:22" x14ac:dyDescent="0.25">
      <c r="Q508" s="21"/>
      <c r="R508" s="21"/>
      <c r="S508" s="21"/>
      <c r="T508" s="21"/>
      <c r="U508" s="21"/>
      <c r="V508" s="21"/>
    </row>
    <row r="509" spans="17:22" x14ac:dyDescent="0.25">
      <c r="Q509" s="21"/>
      <c r="R509" s="21"/>
      <c r="S509" s="21"/>
      <c r="T509" s="21"/>
      <c r="U509" s="21"/>
      <c r="V509" s="21"/>
    </row>
    <row r="510" spans="17:22" x14ac:dyDescent="0.25">
      <c r="Q510" s="21"/>
      <c r="R510" s="21"/>
      <c r="S510" s="21"/>
      <c r="T510" s="21"/>
      <c r="U510" s="21"/>
      <c r="V510" s="21"/>
    </row>
    <row r="511" spans="17:22" x14ac:dyDescent="0.25">
      <c r="Q511" s="21"/>
      <c r="R511" s="21"/>
      <c r="S511" s="21"/>
      <c r="T511" s="21"/>
      <c r="U511" s="21"/>
      <c r="V511" s="21"/>
    </row>
    <row r="512" spans="17:22" x14ac:dyDescent="0.25">
      <c r="Q512" s="21"/>
      <c r="R512" s="21"/>
      <c r="S512" s="21"/>
      <c r="T512" s="21"/>
      <c r="U512" s="21"/>
      <c r="V512" s="21"/>
    </row>
    <row r="513" spans="17:22" x14ac:dyDescent="0.25">
      <c r="Q513" s="21"/>
      <c r="R513" s="21"/>
      <c r="S513" s="21"/>
      <c r="T513" s="21"/>
      <c r="U513" s="21"/>
      <c r="V513" s="21"/>
    </row>
    <row r="514" spans="17:22" x14ac:dyDescent="0.25">
      <c r="Q514" s="21"/>
      <c r="R514" s="21"/>
      <c r="S514" s="21"/>
      <c r="T514" s="21"/>
      <c r="U514" s="21"/>
      <c r="V514" s="21"/>
    </row>
    <row r="515" spans="17:22" x14ac:dyDescent="0.25">
      <c r="Q515" s="21"/>
      <c r="R515" s="21"/>
      <c r="S515" s="21"/>
      <c r="T515" s="21"/>
      <c r="U515" s="21"/>
      <c r="V515" s="21"/>
    </row>
    <row r="516" spans="17:22" x14ac:dyDescent="0.25">
      <c r="Q516" s="21"/>
      <c r="R516" s="21"/>
      <c r="S516" s="21"/>
      <c r="T516" s="21"/>
      <c r="U516" s="21"/>
      <c r="V516" s="21"/>
    </row>
    <row r="517" spans="17:22" x14ac:dyDescent="0.25">
      <c r="Q517" s="21"/>
      <c r="R517" s="21"/>
      <c r="S517" s="21"/>
      <c r="T517" s="21"/>
      <c r="U517" s="21"/>
      <c r="V517" s="21"/>
    </row>
    <row r="518" spans="17:22" x14ac:dyDescent="0.25">
      <c r="Q518" s="21"/>
      <c r="R518" s="21"/>
      <c r="S518" s="21"/>
      <c r="T518" s="21"/>
      <c r="U518" s="21"/>
      <c r="V518" s="21"/>
    </row>
    <row r="519" spans="17:22" x14ac:dyDescent="0.25">
      <c r="Q519" s="21"/>
      <c r="R519" s="21"/>
      <c r="S519" s="21"/>
      <c r="T519" s="21"/>
      <c r="U519" s="21"/>
      <c r="V519" s="21"/>
    </row>
    <row r="520" spans="17:22" x14ac:dyDescent="0.25">
      <c r="Q520" s="21"/>
      <c r="R520" s="21"/>
      <c r="S520" s="21"/>
      <c r="T520" s="21"/>
      <c r="U520" s="21"/>
      <c r="V520" s="21"/>
    </row>
    <row r="521" spans="17:22" x14ac:dyDescent="0.25">
      <c r="Q521" s="21"/>
      <c r="R521" s="21"/>
      <c r="S521" s="21"/>
      <c r="T521" s="21"/>
      <c r="U521" s="21"/>
      <c r="V521" s="21"/>
    </row>
    <row r="522" spans="17:22" x14ac:dyDescent="0.25">
      <c r="Q522" s="21"/>
      <c r="R522" s="21"/>
      <c r="S522" s="21"/>
      <c r="T522" s="21"/>
      <c r="U522" s="21"/>
      <c r="V522" s="21"/>
    </row>
    <row r="523" spans="17:22" x14ac:dyDescent="0.25">
      <c r="Q523" s="21"/>
      <c r="R523" s="21"/>
      <c r="S523" s="21"/>
      <c r="T523" s="21"/>
      <c r="U523" s="21"/>
      <c r="V523" s="21"/>
    </row>
    <row r="524" spans="17:22" x14ac:dyDescent="0.25">
      <c r="Q524" s="21"/>
      <c r="R524" s="21"/>
      <c r="S524" s="21"/>
      <c r="T524" s="21"/>
      <c r="U524" s="21"/>
      <c r="V524" s="21"/>
    </row>
    <row r="525" spans="17:22" x14ac:dyDescent="0.25">
      <c r="Q525" s="21"/>
      <c r="R525" s="21"/>
      <c r="S525" s="21"/>
      <c r="T525" s="21"/>
      <c r="U525" s="21"/>
      <c r="V525" s="21"/>
    </row>
    <row r="526" spans="17:22" x14ac:dyDescent="0.25">
      <c r="Q526" s="21"/>
      <c r="R526" s="21"/>
      <c r="S526" s="21"/>
      <c r="T526" s="21"/>
      <c r="U526" s="21"/>
      <c r="V526" s="21"/>
    </row>
    <row r="527" spans="17:22" x14ac:dyDescent="0.25">
      <c r="Q527" s="21"/>
      <c r="R527" s="21"/>
      <c r="S527" s="21"/>
      <c r="T527" s="21"/>
      <c r="U527" s="21"/>
      <c r="V527" s="21"/>
    </row>
    <row r="528" spans="17:22" x14ac:dyDescent="0.25">
      <c r="Q528" s="21"/>
      <c r="R528" s="21"/>
      <c r="S528" s="21"/>
      <c r="T528" s="21"/>
      <c r="U528" s="21"/>
      <c r="V528" s="21"/>
    </row>
    <row r="529" spans="17:22" x14ac:dyDescent="0.25">
      <c r="Q529" s="21"/>
      <c r="R529" s="21"/>
      <c r="S529" s="21"/>
      <c r="T529" s="21"/>
      <c r="U529" s="21"/>
      <c r="V529" s="21"/>
    </row>
    <row r="530" spans="17:22" x14ac:dyDescent="0.25">
      <c r="Q530" s="21"/>
      <c r="R530" s="21"/>
      <c r="S530" s="21"/>
      <c r="T530" s="21"/>
      <c r="U530" s="21"/>
      <c r="V530" s="21"/>
    </row>
    <row r="531" spans="17:22" x14ac:dyDescent="0.25">
      <c r="Q531" s="21"/>
      <c r="R531" s="21"/>
      <c r="S531" s="21"/>
      <c r="T531" s="21"/>
      <c r="U531" s="21"/>
      <c r="V531" s="21"/>
    </row>
    <row r="532" spans="17:22" x14ac:dyDescent="0.25">
      <c r="Q532" s="21"/>
      <c r="R532" s="21"/>
      <c r="S532" s="21"/>
      <c r="T532" s="21"/>
      <c r="U532" s="21"/>
      <c r="V532" s="21"/>
    </row>
    <row r="533" spans="17:22" x14ac:dyDescent="0.25">
      <c r="Q533" s="21"/>
      <c r="R533" s="21"/>
      <c r="S533" s="21"/>
      <c r="T533" s="21"/>
      <c r="U533" s="21"/>
      <c r="V533" s="21"/>
    </row>
    <row r="534" spans="17:22" x14ac:dyDescent="0.25">
      <c r="Q534" s="21"/>
      <c r="R534" s="21"/>
      <c r="S534" s="21"/>
      <c r="T534" s="21"/>
      <c r="U534" s="21"/>
      <c r="V534" s="21"/>
    </row>
    <row r="535" spans="17:22" x14ac:dyDescent="0.25">
      <c r="Q535" s="21"/>
      <c r="R535" s="21"/>
      <c r="S535" s="21"/>
      <c r="T535" s="21"/>
      <c r="U535" s="21"/>
      <c r="V535" s="21"/>
    </row>
    <row r="536" spans="17:22" x14ac:dyDescent="0.25">
      <c r="Q536" s="21"/>
      <c r="R536" s="21"/>
      <c r="S536" s="21"/>
      <c r="T536" s="21"/>
      <c r="U536" s="21"/>
      <c r="V536" s="21"/>
    </row>
    <row r="537" spans="17:22" x14ac:dyDescent="0.25">
      <c r="Q537" s="21"/>
      <c r="R537" s="21"/>
      <c r="S537" s="21"/>
      <c r="T537" s="21"/>
      <c r="U537" s="21"/>
      <c r="V537" s="21"/>
    </row>
    <row r="538" spans="17:22" x14ac:dyDescent="0.25">
      <c r="Q538" s="21"/>
      <c r="R538" s="21"/>
      <c r="S538" s="21"/>
      <c r="T538" s="21"/>
      <c r="U538" s="21"/>
      <c r="V538" s="21"/>
    </row>
    <row r="539" spans="17:22" x14ac:dyDescent="0.25">
      <c r="Q539" s="21"/>
      <c r="R539" s="21"/>
      <c r="S539" s="21"/>
      <c r="T539" s="21"/>
      <c r="U539" s="21"/>
      <c r="V539" s="21"/>
    </row>
    <row r="540" spans="17:22" x14ac:dyDescent="0.25">
      <c r="Q540" s="21"/>
      <c r="R540" s="21"/>
      <c r="S540" s="21"/>
      <c r="T540" s="21"/>
      <c r="U540" s="21"/>
      <c r="V540" s="21"/>
    </row>
    <row r="541" spans="17:22" x14ac:dyDescent="0.25">
      <c r="Q541" s="21"/>
      <c r="R541" s="21"/>
      <c r="S541" s="21"/>
      <c r="T541" s="21"/>
      <c r="U541" s="21"/>
      <c r="V541" s="21"/>
    </row>
    <row r="542" spans="17:22" x14ac:dyDescent="0.25">
      <c r="Q542" s="21"/>
      <c r="R542" s="21"/>
      <c r="S542" s="21"/>
      <c r="T542" s="21"/>
      <c r="U542" s="21"/>
      <c r="V542" s="21"/>
    </row>
    <row r="543" spans="17:22" x14ac:dyDescent="0.25">
      <c r="Q543" s="21"/>
      <c r="R543" s="21"/>
      <c r="S543" s="21"/>
      <c r="T543" s="21"/>
      <c r="U543" s="21"/>
      <c r="V543" s="21"/>
    </row>
    <row r="544" spans="17:22" x14ac:dyDescent="0.25">
      <c r="Q544" s="21"/>
      <c r="R544" s="21"/>
      <c r="S544" s="21"/>
      <c r="T544" s="21"/>
      <c r="U544" s="21"/>
      <c r="V544" s="21"/>
    </row>
    <row r="545" spans="17:22" x14ac:dyDescent="0.25">
      <c r="Q545" s="21"/>
      <c r="R545" s="21"/>
      <c r="S545" s="21"/>
      <c r="T545" s="21"/>
      <c r="U545" s="21"/>
      <c r="V545" s="21"/>
    </row>
    <row r="546" spans="17:22" x14ac:dyDescent="0.25">
      <c r="Q546" s="21"/>
      <c r="R546" s="21"/>
      <c r="S546" s="21"/>
      <c r="T546" s="21"/>
      <c r="U546" s="21"/>
      <c r="V546" s="21"/>
    </row>
    <row r="547" spans="17:22" x14ac:dyDescent="0.25">
      <c r="Q547" s="21"/>
      <c r="R547" s="21"/>
      <c r="S547" s="21"/>
      <c r="T547" s="21"/>
      <c r="U547" s="21"/>
      <c r="V547" s="21"/>
    </row>
    <row r="548" spans="17:22" x14ac:dyDescent="0.25">
      <c r="Q548" s="21"/>
      <c r="R548" s="21"/>
      <c r="S548" s="21"/>
      <c r="T548" s="21"/>
      <c r="U548" s="21"/>
      <c r="V548" s="21"/>
    </row>
    <row r="549" spans="17:22" x14ac:dyDescent="0.25">
      <c r="Q549" s="21"/>
      <c r="R549" s="21"/>
      <c r="S549" s="21"/>
      <c r="T549" s="21"/>
      <c r="U549" s="21"/>
      <c r="V549" s="21"/>
    </row>
    <row r="550" spans="17:22" x14ac:dyDescent="0.25">
      <c r="Q550" s="21"/>
      <c r="R550" s="21"/>
      <c r="S550" s="21"/>
      <c r="T550" s="21"/>
      <c r="U550" s="21"/>
      <c r="V550" s="21"/>
    </row>
    <row r="551" spans="17:22" x14ac:dyDescent="0.25">
      <c r="Q551" s="21"/>
      <c r="R551" s="21"/>
      <c r="S551" s="21"/>
      <c r="T551" s="21"/>
      <c r="U551" s="21"/>
      <c r="V551" s="21"/>
    </row>
    <row r="552" spans="17:22" x14ac:dyDescent="0.25">
      <c r="Q552" s="21"/>
      <c r="R552" s="21"/>
      <c r="S552" s="21"/>
      <c r="T552" s="21"/>
      <c r="U552" s="21"/>
      <c r="V552" s="21"/>
    </row>
    <row r="553" spans="17:22" x14ac:dyDescent="0.25">
      <c r="Q553" s="21"/>
      <c r="R553" s="21"/>
      <c r="S553" s="21"/>
      <c r="T553" s="21"/>
      <c r="U553" s="21"/>
      <c r="V553" s="21"/>
    </row>
    <row r="554" spans="17:22" x14ac:dyDescent="0.25">
      <c r="Q554" s="21"/>
      <c r="R554" s="21"/>
      <c r="S554" s="21"/>
      <c r="T554" s="21"/>
      <c r="U554" s="21"/>
      <c r="V554" s="21"/>
    </row>
    <row r="555" spans="17:22" x14ac:dyDescent="0.25">
      <c r="Q555" s="21"/>
      <c r="R555" s="21"/>
      <c r="S555" s="21"/>
      <c r="T555" s="21"/>
      <c r="U555" s="21"/>
      <c r="V555" s="21"/>
    </row>
    <row r="556" spans="17:22" x14ac:dyDescent="0.25">
      <c r="Q556" s="21"/>
      <c r="R556" s="21"/>
      <c r="S556" s="21"/>
      <c r="T556" s="21"/>
      <c r="U556" s="21"/>
      <c r="V556" s="21"/>
    </row>
    <row r="557" spans="17:22" x14ac:dyDescent="0.25">
      <c r="Q557" s="21"/>
      <c r="R557" s="21"/>
      <c r="S557" s="21"/>
      <c r="T557" s="21"/>
      <c r="U557" s="21"/>
      <c r="V557" s="21"/>
    </row>
    <row r="558" spans="17:22" x14ac:dyDescent="0.25">
      <c r="Q558" s="21"/>
      <c r="R558" s="21"/>
      <c r="S558" s="21"/>
      <c r="T558" s="21"/>
      <c r="U558" s="21"/>
      <c r="V558" s="21"/>
    </row>
    <row r="559" spans="17:22" x14ac:dyDescent="0.25">
      <c r="Q559" s="21"/>
      <c r="R559" s="21"/>
      <c r="S559" s="21"/>
      <c r="T559" s="21"/>
      <c r="U559" s="21"/>
      <c r="V559" s="21"/>
    </row>
    <row r="560" spans="17:22" x14ac:dyDescent="0.25">
      <c r="Q560" s="21"/>
      <c r="R560" s="21"/>
      <c r="S560" s="21"/>
      <c r="T560" s="21"/>
      <c r="U560" s="21"/>
      <c r="V560" s="21"/>
    </row>
    <row r="561" spans="17:22" x14ac:dyDescent="0.25">
      <c r="Q561" s="21"/>
      <c r="R561" s="21"/>
      <c r="S561" s="21"/>
      <c r="T561" s="21"/>
      <c r="U561" s="21"/>
      <c r="V561" s="21"/>
    </row>
    <row r="562" spans="17:22" x14ac:dyDescent="0.25">
      <c r="Q562" s="21"/>
      <c r="R562" s="21"/>
      <c r="S562" s="21"/>
      <c r="T562" s="21"/>
      <c r="U562" s="21"/>
      <c r="V562" s="21"/>
    </row>
    <row r="563" spans="17:22" x14ac:dyDescent="0.25">
      <c r="Q563" s="21"/>
      <c r="R563" s="21"/>
      <c r="S563" s="21"/>
      <c r="T563" s="21"/>
      <c r="U563" s="21"/>
      <c r="V563" s="21"/>
    </row>
    <row r="564" spans="17:22" x14ac:dyDescent="0.25">
      <c r="Q564" s="21"/>
      <c r="R564" s="21"/>
      <c r="S564" s="21"/>
      <c r="T564" s="21"/>
      <c r="U564" s="21"/>
      <c r="V564" s="21"/>
    </row>
    <row r="565" spans="17:22" x14ac:dyDescent="0.25">
      <c r="Q565" s="21"/>
      <c r="R565" s="21"/>
      <c r="S565" s="21"/>
      <c r="T565" s="21"/>
      <c r="U565" s="21"/>
      <c r="V565" s="21"/>
    </row>
    <row r="566" spans="17:22" x14ac:dyDescent="0.25">
      <c r="Q566" s="21"/>
      <c r="R566" s="21"/>
      <c r="S566" s="21"/>
      <c r="T566" s="21"/>
      <c r="U566" s="21"/>
      <c r="V566" s="21"/>
    </row>
    <row r="567" spans="17:22" x14ac:dyDescent="0.25">
      <c r="Q567" s="21"/>
      <c r="R567" s="21"/>
      <c r="S567" s="21"/>
      <c r="T567" s="21"/>
      <c r="U567" s="21"/>
      <c r="V567" s="21"/>
    </row>
    <row r="568" spans="17:22" x14ac:dyDescent="0.25">
      <c r="Q568" s="21"/>
      <c r="R568" s="21"/>
      <c r="S568" s="21"/>
      <c r="T568" s="21"/>
      <c r="U568" s="21"/>
      <c r="V568" s="21"/>
    </row>
    <row r="569" spans="17:22" x14ac:dyDescent="0.25">
      <c r="Q569" s="21"/>
      <c r="R569" s="21"/>
      <c r="S569" s="21"/>
      <c r="T569" s="21"/>
      <c r="U569" s="21"/>
      <c r="V569" s="21"/>
    </row>
    <row r="570" spans="17:22" x14ac:dyDescent="0.25">
      <c r="Q570" s="21"/>
      <c r="R570" s="21"/>
      <c r="S570" s="21"/>
      <c r="T570" s="21"/>
      <c r="U570" s="21"/>
      <c r="V570" s="21"/>
    </row>
    <row r="571" spans="17:22" x14ac:dyDescent="0.25">
      <c r="Q571" s="21"/>
      <c r="R571" s="21"/>
      <c r="S571" s="21"/>
      <c r="T571" s="21"/>
      <c r="U571" s="21"/>
      <c r="V571" s="21"/>
    </row>
    <row r="572" spans="17:22" x14ac:dyDescent="0.25">
      <c r="Q572" s="21"/>
      <c r="R572" s="21"/>
      <c r="S572" s="21"/>
      <c r="T572" s="21"/>
      <c r="U572" s="21"/>
      <c r="V572" s="21"/>
    </row>
    <row r="573" spans="17:22" x14ac:dyDescent="0.25">
      <c r="Q573" s="21"/>
      <c r="R573" s="21"/>
      <c r="S573" s="21"/>
      <c r="T573" s="21"/>
      <c r="U573" s="21"/>
      <c r="V573" s="21"/>
    </row>
    <row r="574" spans="17:22" x14ac:dyDescent="0.25">
      <c r="Q574" s="21"/>
      <c r="R574" s="21"/>
      <c r="S574" s="21"/>
      <c r="T574" s="21"/>
      <c r="U574" s="21"/>
      <c r="V574" s="21"/>
    </row>
    <row r="575" spans="17:22" x14ac:dyDescent="0.25">
      <c r="Q575" s="21"/>
      <c r="R575" s="21"/>
      <c r="S575" s="21"/>
      <c r="T575" s="21"/>
      <c r="U575" s="21"/>
      <c r="V575" s="21"/>
    </row>
    <row r="576" spans="17:22" x14ac:dyDescent="0.25">
      <c r="Q576" s="21"/>
      <c r="R576" s="21"/>
      <c r="S576" s="21"/>
      <c r="T576" s="21"/>
      <c r="U576" s="21"/>
      <c r="V576" s="21"/>
    </row>
    <row r="577" spans="17:22" x14ac:dyDescent="0.25">
      <c r="Q577" s="21"/>
      <c r="R577" s="21"/>
      <c r="S577" s="21"/>
      <c r="T577" s="21"/>
      <c r="U577" s="21"/>
      <c r="V577" s="21"/>
    </row>
    <row r="578" spans="17:22" x14ac:dyDescent="0.25">
      <c r="Q578" s="21"/>
      <c r="R578" s="21"/>
      <c r="S578" s="21"/>
      <c r="T578" s="21"/>
      <c r="U578" s="21"/>
      <c r="V578" s="21"/>
    </row>
    <row r="579" spans="17:22" x14ac:dyDescent="0.25">
      <c r="Q579" s="21"/>
      <c r="R579" s="21"/>
      <c r="S579" s="21"/>
      <c r="T579" s="21"/>
      <c r="U579" s="21"/>
      <c r="V579" s="21"/>
    </row>
    <row r="580" spans="17:22" x14ac:dyDescent="0.25">
      <c r="Q580" s="21"/>
      <c r="R580" s="21"/>
      <c r="S580" s="21"/>
      <c r="T580" s="21"/>
      <c r="U580" s="21"/>
      <c r="V580" s="21"/>
    </row>
    <row r="581" spans="17:22" x14ac:dyDescent="0.25">
      <c r="Q581" s="21"/>
      <c r="R581" s="21"/>
      <c r="S581" s="21"/>
      <c r="T581" s="21"/>
      <c r="U581" s="21"/>
      <c r="V581" s="21"/>
    </row>
    <row r="582" spans="17:22" x14ac:dyDescent="0.25">
      <c r="Q582" s="21"/>
      <c r="R582" s="21"/>
      <c r="S582" s="21"/>
      <c r="T582" s="21"/>
      <c r="U582" s="21"/>
      <c r="V582" s="21"/>
    </row>
    <row r="583" spans="17:22" x14ac:dyDescent="0.25">
      <c r="Q583" s="21"/>
      <c r="R583" s="21"/>
      <c r="S583" s="21"/>
      <c r="T583" s="21"/>
      <c r="U583" s="21"/>
      <c r="V583" s="21"/>
    </row>
    <row r="584" spans="17:22" x14ac:dyDescent="0.25">
      <c r="Q584" s="21"/>
      <c r="R584" s="21"/>
      <c r="S584" s="21"/>
      <c r="T584" s="21"/>
      <c r="U584" s="21"/>
      <c r="V584" s="21"/>
    </row>
    <row r="585" spans="17:22" x14ac:dyDescent="0.25">
      <c r="Q585" s="21"/>
      <c r="R585" s="21"/>
      <c r="S585" s="21"/>
      <c r="T585" s="21"/>
      <c r="U585" s="21"/>
      <c r="V585" s="21"/>
    </row>
    <row r="586" spans="17:22" x14ac:dyDescent="0.25">
      <c r="Q586" s="21"/>
      <c r="R586" s="21"/>
      <c r="S586" s="21"/>
      <c r="T586" s="21"/>
      <c r="U586" s="21"/>
      <c r="V586" s="21"/>
    </row>
    <row r="587" spans="17:22" x14ac:dyDescent="0.25">
      <c r="Q587" s="21"/>
      <c r="R587" s="21"/>
      <c r="S587" s="21"/>
      <c r="T587" s="21"/>
      <c r="U587" s="21"/>
      <c r="V587" s="21"/>
    </row>
    <row r="588" spans="17:22" x14ac:dyDescent="0.25">
      <c r="Q588" s="21"/>
      <c r="R588" s="21"/>
      <c r="S588" s="21"/>
      <c r="T588" s="21"/>
      <c r="U588" s="21"/>
      <c r="V588" s="21"/>
    </row>
    <row r="589" spans="17:22" x14ac:dyDescent="0.25">
      <c r="Q589" s="21"/>
      <c r="R589" s="21"/>
      <c r="S589" s="21"/>
      <c r="T589" s="21"/>
      <c r="U589" s="21"/>
      <c r="V589" s="21"/>
    </row>
    <row r="590" spans="17:22" x14ac:dyDescent="0.25">
      <c r="Q590" s="21"/>
      <c r="R590" s="21"/>
      <c r="S590" s="21"/>
      <c r="T590" s="21"/>
      <c r="U590" s="21"/>
      <c r="V590" s="21"/>
    </row>
    <row r="591" spans="17:22" x14ac:dyDescent="0.25">
      <c r="Q591" s="21"/>
      <c r="R591" s="21"/>
      <c r="S591" s="21"/>
      <c r="T591" s="21"/>
      <c r="U591" s="21"/>
      <c r="V591" s="21"/>
    </row>
    <row r="592" spans="17:22" x14ac:dyDescent="0.25">
      <c r="Q592" s="21"/>
      <c r="R592" s="21"/>
      <c r="S592" s="21"/>
      <c r="T592" s="21"/>
      <c r="U592" s="21"/>
      <c r="V592" s="21"/>
    </row>
    <row r="593" spans="17:22" x14ac:dyDescent="0.25">
      <c r="Q593" s="21"/>
      <c r="R593" s="21"/>
      <c r="S593" s="21"/>
      <c r="T593" s="21"/>
      <c r="U593" s="21"/>
      <c r="V593" s="21"/>
    </row>
    <row r="594" spans="17:22" x14ac:dyDescent="0.25">
      <c r="Q594" s="21"/>
      <c r="R594" s="21"/>
      <c r="S594" s="21"/>
      <c r="T594" s="21"/>
      <c r="U594" s="21"/>
      <c r="V594" s="21"/>
    </row>
    <row r="595" spans="17:22" x14ac:dyDescent="0.25">
      <c r="Q595" s="21"/>
      <c r="R595" s="21"/>
      <c r="S595" s="21"/>
      <c r="T595" s="21"/>
      <c r="U595" s="21"/>
      <c r="V595" s="21"/>
    </row>
    <row r="596" spans="17:22" x14ac:dyDescent="0.25">
      <c r="Q596" s="21"/>
      <c r="R596" s="21"/>
      <c r="S596" s="21"/>
      <c r="T596" s="21"/>
      <c r="U596" s="21"/>
      <c r="V596" s="21"/>
    </row>
    <row r="597" spans="17:22" x14ac:dyDescent="0.25">
      <c r="Q597" s="21"/>
      <c r="R597" s="21"/>
      <c r="S597" s="21"/>
      <c r="T597" s="21"/>
      <c r="U597" s="21"/>
      <c r="V597" s="21"/>
    </row>
    <row r="598" spans="17:22" x14ac:dyDescent="0.25">
      <c r="Q598" s="21"/>
      <c r="R598" s="21"/>
      <c r="S598" s="21"/>
      <c r="T598" s="21"/>
      <c r="U598" s="21"/>
      <c r="V598" s="21"/>
    </row>
    <row r="599" spans="17:22" x14ac:dyDescent="0.25">
      <c r="Q599" s="21"/>
      <c r="R599" s="21"/>
      <c r="S599" s="21"/>
      <c r="T599" s="21"/>
      <c r="U599" s="21"/>
      <c r="V599" s="21"/>
    </row>
    <row r="600" spans="17:22" x14ac:dyDescent="0.25">
      <c r="Q600" s="21"/>
      <c r="R600" s="21"/>
      <c r="S600" s="21"/>
      <c r="T600" s="21"/>
      <c r="U600" s="21"/>
      <c r="V600" s="21"/>
    </row>
    <row r="601" spans="17:22" x14ac:dyDescent="0.25">
      <c r="Q601" s="21"/>
      <c r="R601" s="21"/>
      <c r="S601" s="21"/>
      <c r="T601" s="21"/>
      <c r="U601" s="21"/>
      <c r="V601" s="21"/>
    </row>
    <row r="602" spans="17:22" x14ac:dyDescent="0.25">
      <c r="Q602" s="21"/>
      <c r="R602" s="21"/>
      <c r="S602" s="21"/>
      <c r="T602" s="21"/>
      <c r="U602" s="21"/>
      <c r="V602" s="21"/>
    </row>
    <row r="603" spans="17:22" x14ac:dyDescent="0.25">
      <c r="Q603" s="21"/>
      <c r="R603" s="21"/>
      <c r="S603" s="21"/>
      <c r="T603" s="21"/>
      <c r="U603" s="21"/>
      <c r="V603" s="21"/>
    </row>
    <row r="604" spans="17:22" x14ac:dyDescent="0.25">
      <c r="Q604" s="21"/>
      <c r="R604" s="21"/>
      <c r="S604" s="21"/>
      <c r="T604" s="21"/>
      <c r="U604" s="21"/>
      <c r="V604" s="21"/>
    </row>
    <row r="605" spans="17:22" x14ac:dyDescent="0.25">
      <c r="Q605" s="21"/>
      <c r="R605" s="21"/>
      <c r="S605" s="21"/>
      <c r="T605" s="21"/>
      <c r="U605" s="21"/>
      <c r="V605" s="21"/>
    </row>
    <row r="606" spans="17:22" x14ac:dyDescent="0.25">
      <c r="Q606" s="21"/>
      <c r="R606" s="21"/>
      <c r="S606" s="21"/>
      <c r="T606" s="21"/>
      <c r="U606" s="21"/>
      <c r="V606" s="21"/>
    </row>
    <row r="607" spans="17:22" x14ac:dyDescent="0.25">
      <c r="Q607" s="21"/>
      <c r="R607" s="21"/>
      <c r="S607" s="21"/>
      <c r="T607" s="21"/>
      <c r="U607" s="21"/>
      <c r="V607" s="21"/>
    </row>
    <row r="608" spans="17:22" x14ac:dyDescent="0.25">
      <c r="Q608" s="21"/>
      <c r="R608" s="21"/>
      <c r="S608" s="21"/>
      <c r="T608" s="21"/>
      <c r="U608" s="21"/>
      <c r="V608" s="21"/>
    </row>
    <row r="609" spans="17:22" x14ac:dyDescent="0.25">
      <c r="Q609" s="21"/>
      <c r="R609" s="21"/>
      <c r="S609" s="21"/>
      <c r="T609" s="21"/>
      <c r="U609" s="21"/>
      <c r="V609" s="21"/>
    </row>
    <row r="610" spans="17:22" x14ac:dyDescent="0.25">
      <c r="Q610" s="21"/>
      <c r="R610" s="21"/>
      <c r="S610" s="21"/>
      <c r="T610" s="21"/>
      <c r="U610" s="21"/>
      <c r="V610" s="21"/>
    </row>
    <row r="611" spans="17:22" x14ac:dyDescent="0.25">
      <c r="Q611" s="21"/>
      <c r="R611" s="21"/>
      <c r="S611" s="21"/>
      <c r="T611" s="21"/>
      <c r="U611" s="21"/>
      <c r="V611" s="21"/>
    </row>
    <row r="612" spans="17:22" x14ac:dyDescent="0.25">
      <c r="Q612" s="21"/>
      <c r="R612" s="21"/>
      <c r="S612" s="21"/>
      <c r="T612" s="21"/>
      <c r="U612" s="21"/>
      <c r="V612" s="21"/>
    </row>
    <row r="613" spans="17:22" x14ac:dyDescent="0.25">
      <c r="Q613" s="21"/>
      <c r="R613" s="21"/>
      <c r="S613" s="21"/>
      <c r="T613" s="21"/>
      <c r="U613" s="21"/>
      <c r="V613" s="21"/>
    </row>
    <row r="614" spans="17:22" x14ac:dyDescent="0.25">
      <c r="Q614" s="21"/>
      <c r="R614" s="21"/>
      <c r="S614" s="21"/>
      <c r="T614" s="21"/>
      <c r="U614" s="21"/>
      <c r="V614" s="21"/>
    </row>
    <row r="615" spans="17:22" x14ac:dyDescent="0.25">
      <c r="Q615" s="21"/>
      <c r="R615" s="21"/>
      <c r="S615" s="21"/>
      <c r="T615" s="21"/>
      <c r="U615" s="21"/>
      <c r="V615" s="21"/>
    </row>
    <row r="616" spans="17:22" x14ac:dyDescent="0.25">
      <c r="Q616" s="21"/>
      <c r="R616" s="21"/>
      <c r="S616" s="21"/>
      <c r="T616" s="21"/>
      <c r="U616" s="21"/>
      <c r="V616" s="21"/>
    </row>
    <row r="617" spans="17:22" x14ac:dyDescent="0.25">
      <c r="Q617" s="21"/>
      <c r="R617" s="21"/>
      <c r="S617" s="21"/>
      <c r="T617" s="21"/>
      <c r="U617" s="21"/>
      <c r="V617" s="21"/>
    </row>
    <row r="618" spans="17:22" x14ac:dyDescent="0.25">
      <c r="Q618" s="21"/>
      <c r="R618" s="21"/>
      <c r="S618" s="21"/>
      <c r="T618" s="21"/>
      <c r="U618" s="21"/>
      <c r="V618" s="21"/>
    </row>
    <row r="619" spans="17:22" x14ac:dyDescent="0.25">
      <c r="Q619" s="21"/>
      <c r="R619" s="21"/>
      <c r="S619" s="21"/>
      <c r="T619" s="21"/>
      <c r="U619" s="21"/>
      <c r="V619" s="21"/>
    </row>
    <row r="620" spans="17:22" x14ac:dyDescent="0.25">
      <c r="Q620" s="21"/>
      <c r="R620" s="21"/>
      <c r="S620" s="21"/>
      <c r="T620" s="21"/>
      <c r="U620" s="21"/>
      <c r="V620" s="21"/>
    </row>
    <row r="621" spans="17:22" x14ac:dyDescent="0.25">
      <c r="Q621" s="21"/>
      <c r="R621" s="21"/>
      <c r="S621" s="21"/>
      <c r="T621" s="21"/>
      <c r="U621" s="21"/>
      <c r="V621" s="21"/>
    </row>
    <row r="622" spans="17:22" x14ac:dyDescent="0.25">
      <c r="Q622" s="21"/>
      <c r="R622" s="21"/>
      <c r="S622" s="21"/>
      <c r="T622" s="21"/>
      <c r="U622" s="21"/>
      <c r="V622" s="21"/>
    </row>
    <row r="623" spans="17:22" x14ac:dyDescent="0.25">
      <c r="Q623" s="21"/>
      <c r="R623" s="21"/>
      <c r="S623" s="21"/>
      <c r="T623" s="21"/>
      <c r="U623" s="21"/>
      <c r="V623" s="21"/>
    </row>
    <row r="624" spans="17:22" x14ac:dyDescent="0.25">
      <c r="Q624" s="21"/>
      <c r="R624" s="21"/>
      <c r="S624" s="21"/>
      <c r="T624" s="21"/>
      <c r="U624" s="21"/>
      <c r="V624" s="21"/>
    </row>
    <row r="625" spans="17:22" x14ac:dyDescent="0.25">
      <c r="Q625" s="21"/>
      <c r="R625" s="21"/>
      <c r="S625" s="21"/>
      <c r="T625" s="21"/>
      <c r="U625" s="21"/>
      <c r="V625" s="21"/>
    </row>
    <row r="626" spans="17:22" x14ac:dyDescent="0.25">
      <c r="Q626" s="21"/>
      <c r="R626" s="21"/>
      <c r="S626" s="21"/>
      <c r="T626" s="21"/>
      <c r="U626" s="21"/>
      <c r="V626" s="21"/>
    </row>
    <row r="627" spans="17:22" x14ac:dyDescent="0.25">
      <c r="Q627" s="21"/>
      <c r="R627" s="21"/>
      <c r="S627" s="21"/>
      <c r="T627" s="21"/>
      <c r="U627" s="21"/>
      <c r="V627" s="21"/>
    </row>
    <row r="628" spans="17:22" x14ac:dyDescent="0.25">
      <c r="Q628" s="21"/>
      <c r="R628" s="21"/>
      <c r="S628" s="21"/>
      <c r="T628" s="21"/>
      <c r="U628" s="21"/>
      <c r="V628" s="21"/>
    </row>
    <row r="629" spans="17:22" x14ac:dyDescent="0.25">
      <c r="Q629" s="21"/>
      <c r="R629" s="21"/>
      <c r="S629" s="21"/>
      <c r="T629" s="21"/>
      <c r="U629" s="21"/>
      <c r="V629" s="21"/>
    </row>
    <row r="630" spans="17:22" x14ac:dyDescent="0.25">
      <c r="Q630" s="21"/>
      <c r="R630" s="21"/>
      <c r="S630" s="21"/>
      <c r="T630" s="21"/>
      <c r="U630" s="21"/>
      <c r="V630" s="21"/>
    </row>
    <row r="631" spans="17:22" x14ac:dyDescent="0.25">
      <c r="Q631" s="21"/>
      <c r="R631" s="21"/>
      <c r="S631" s="21"/>
      <c r="T631" s="21"/>
      <c r="U631" s="21"/>
      <c r="V631" s="21"/>
    </row>
    <row r="632" spans="17:22" x14ac:dyDescent="0.25">
      <c r="Q632" s="21"/>
      <c r="R632" s="21"/>
      <c r="S632" s="21"/>
      <c r="T632" s="21"/>
      <c r="U632" s="21"/>
      <c r="V632" s="21"/>
    </row>
    <row r="633" spans="17:22" x14ac:dyDescent="0.25">
      <c r="Q633" s="21"/>
      <c r="R633" s="21"/>
      <c r="S633" s="21"/>
      <c r="T633" s="21"/>
      <c r="U633" s="21"/>
      <c r="V633" s="21"/>
    </row>
    <row r="634" spans="17:22" x14ac:dyDescent="0.25">
      <c r="Q634" s="21"/>
      <c r="R634" s="21"/>
      <c r="S634" s="21"/>
      <c r="T634" s="21"/>
      <c r="U634" s="21"/>
      <c r="V634" s="21"/>
    </row>
    <row r="635" spans="17:22" x14ac:dyDescent="0.25">
      <c r="Q635" s="21"/>
      <c r="R635" s="21"/>
      <c r="S635" s="21"/>
      <c r="T635" s="21"/>
      <c r="U635" s="21"/>
      <c r="V635" s="21"/>
    </row>
    <row r="636" spans="17:22" x14ac:dyDescent="0.25">
      <c r="Q636" s="21"/>
      <c r="R636" s="21"/>
      <c r="S636" s="21"/>
      <c r="T636" s="21"/>
      <c r="U636" s="21"/>
      <c r="V636" s="21"/>
    </row>
    <row r="637" spans="17:22" x14ac:dyDescent="0.25">
      <c r="Q637" s="21"/>
      <c r="R637" s="21"/>
      <c r="S637" s="21"/>
      <c r="T637" s="21"/>
      <c r="U637" s="21"/>
      <c r="V637" s="21"/>
    </row>
    <row r="638" spans="17:22" x14ac:dyDescent="0.25">
      <c r="Q638" s="21"/>
      <c r="R638" s="21"/>
      <c r="S638" s="21"/>
      <c r="T638" s="21"/>
      <c r="U638" s="21"/>
      <c r="V638" s="21"/>
    </row>
    <row r="639" spans="17:22" x14ac:dyDescent="0.25">
      <c r="Q639" s="21"/>
      <c r="R639" s="21"/>
      <c r="S639" s="21"/>
      <c r="T639" s="21"/>
      <c r="U639" s="21"/>
      <c r="V639" s="21"/>
    </row>
    <row r="640" spans="17:22" x14ac:dyDescent="0.25">
      <c r="Q640" s="21"/>
      <c r="R640" s="21"/>
      <c r="S640" s="21"/>
      <c r="T640" s="21"/>
      <c r="U640" s="21"/>
      <c r="V640" s="21"/>
    </row>
    <row r="641" spans="17:22" x14ac:dyDescent="0.25">
      <c r="Q641" s="21"/>
      <c r="R641" s="21"/>
      <c r="S641" s="21"/>
      <c r="T641" s="21"/>
      <c r="U641" s="21"/>
      <c r="V641" s="21"/>
    </row>
    <row r="642" spans="17:22" x14ac:dyDescent="0.25">
      <c r="Q642" s="21"/>
      <c r="R642" s="21"/>
      <c r="S642" s="21"/>
      <c r="T642" s="21"/>
      <c r="U642" s="21"/>
      <c r="V642" s="21"/>
    </row>
    <row r="643" spans="17:22" x14ac:dyDescent="0.25">
      <c r="Q643" s="21"/>
      <c r="R643" s="21"/>
      <c r="S643" s="21"/>
      <c r="T643" s="21"/>
      <c r="U643" s="21"/>
      <c r="V643" s="21"/>
    </row>
    <row r="644" spans="17:22" x14ac:dyDescent="0.25">
      <c r="Q644" s="21"/>
      <c r="R644" s="21"/>
      <c r="S644" s="21"/>
      <c r="T644" s="21"/>
      <c r="U644" s="21"/>
      <c r="V644" s="21"/>
    </row>
    <row r="645" spans="17:22" x14ac:dyDescent="0.25">
      <c r="Q645" s="21"/>
      <c r="R645" s="21"/>
      <c r="S645" s="21"/>
      <c r="T645" s="21"/>
      <c r="U645" s="21"/>
      <c r="V645" s="21"/>
    </row>
    <row r="646" spans="17:22" x14ac:dyDescent="0.25">
      <c r="Q646" s="21"/>
      <c r="R646" s="21"/>
      <c r="S646" s="21"/>
      <c r="T646" s="21"/>
      <c r="U646" s="21"/>
      <c r="V646" s="21"/>
    </row>
    <row r="647" spans="17:22" x14ac:dyDescent="0.25">
      <c r="Q647" s="21"/>
      <c r="R647" s="21"/>
      <c r="S647" s="21"/>
      <c r="T647" s="21"/>
      <c r="U647" s="21"/>
      <c r="V647" s="21"/>
    </row>
    <row r="648" spans="17:22" x14ac:dyDescent="0.25">
      <c r="Q648" s="21"/>
      <c r="R648" s="21"/>
      <c r="S648" s="21"/>
      <c r="T648" s="21"/>
      <c r="U648" s="21"/>
      <c r="V648" s="21"/>
    </row>
    <row r="649" spans="17:22" x14ac:dyDescent="0.25">
      <c r="Q649" s="21"/>
      <c r="R649" s="21"/>
      <c r="S649" s="21"/>
      <c r="T649" s="21"/>
      <c r="U649" s="21"/>
      <c r="V649" s="21"/>
    </row>
    <row r="650" spans="17:22" x14ac:dyDescent="0.25">
      <c r="Q650" s="21"/>
      <c r="R650" s="21"/>
      <c r="S650" s="21"/>
      <c r="T650" s="21"/>
      <c r="U650" s="21"/>
      <c r="V650" s="21"/>
    </row>
    <row r="651" spans="17:22" x14ac:dyDescent="0.25">
      <c r="Q651" s="21"/>
      <c r="R651" s="21"/>
      <c r="S651" s="21"/>
      <c r="T651" s="21"/>
      <c r="U651" s="21"/>
      <c r="V651" s="21"/>
    </row>
    <row r="652" spans="17:22" x14ac:dyDescent="0.25">
      <c r="Q652" s="21"/>
      <c r="R652" s="21"/>
      <c r="S652" s="21"/>
      <c r="T652" s="21"/>
      <c r="U652" s="21"/>
      <c r="V652" s="21"/>
    </row>
    <row r="653" spans="17:22" x14ac:dyDescent="0.25">
      <c r="Q653" s="21"/>
      <c r="R653" s="21"/>
      <c r="S653" s="21"/>
      <c r="T653" s="21"/>
      <c r="U653" s="21"/>
      <c r="V653" s="21"/>
    </row>
    <row r="654" spans="17:22" x14ac:dyDescent="0.25">
      <c r="Q654" s="21"/>
      <c r="R654" s="21"/>
      <c r="S654" s="21"/>
      <c r="T654" s="21"/>
      <c r="U654" s="21"/>
      <c r="V654" s="21"/>
    </row>
    <row r="655" spans="17:22" x14ac:dyDescent="0.25">
      <c r="Q655" s="21"/>
      <c r="R655" s="21"/>
      <c r="S655" s="21"/>
      <c r="T655" s="21"/>
      <c r="U655" s="21"/>
      <c r="V655" s="21"/>
    </row>
    <row r="656" spans="17:22" x14ac:dyDescent="0.25">
      <c r="Q656" s="21"/>
      <c r="R656" s="21"/>
      <c r="S656" s="21"/>
      <c r="T656" s="21"/>
      <c r="U656" s="21"/>
      <c r="V656" s="21"/>
    </row>
    <row r="657" spans="17:22" x14ac:dyDescent="0.25">
      <c r="Q657" s="21"/>
      <c r="R657" s="21"/>
      <c r="S657" s="21"/>
      <c r="T657" s="21"/>
      <c r="U657" s="21"/>
      <c r="V657" s="21"/>
    </row>
    <row r="658" spans="17:22" x14ac:dyDescent="0.25">
      <c r="Q658" s="21"/>
      <c r="R658" s="21"/>
      <c r="S658" s="21"/>
      <c r="T658" s="21"/>
      <c r="U658" s="21"/>
      <c r="V658" s="21"/>
    </row>
    <row r="659" spans="17:22" x14ac:dyDescent="0.25">
      <c r="Q659" s="21"/>
      <c r="R659" s="21"/>
      <c r="S659" s="21"/>
      <c r="T659" s="21"/>
      <c r="U659" s="21"/>
      <c r="V659" s="21"/>
    </row>
    <row r="660" spans="17:22" x14ac:dyDescent="0.25">
      <c r="Q660" s="21"/>
      <c r="R660" s="21"/>
      <c r="S660" s="21"/>
      <c r="T660" s="21"/>
      <c r="U660" s="21"/>
      <c r="V660" s="21"/>
    </row>
    <row r="661" spans="17:22" x14ac:dyDescent="0.25">
      <c r="Q661" s="21"/>
      <c r="R661" s="21"/>
      <c r="S661" s="21"/>
      <c r="T661" s="21"/>
      <c r="U661" s="21"/>
      <c r="V661" s="21"/>
    </row>
    <row r="662" spans="17:22" x14ac:dyDescent="0.25">
      <c r="Q662" s="21"/>
      <c r="R662" s="21"/>
      <c r="S662" s="21"/>
      <c r="T662" s="21"/>
      <c r="U662" s="21"/>
      <c r="V662" s="21"/>
    </row>
    <row r="663" spans="17:22" x14ac:dyDescent="0.25">
      <c r="Q663" s="21"/>
      <c r="R663" s="21"/>
      <c r="S663" s="21"/>
      <c r="T663" s="21"/>
      <c r="U663" s="21"/>
      <c r="V663" s="21"/>
    </row>
    <row r="664" spans="17:22" x14ac:dyDescent="0.25">
      <c r="Q664" s="21"/>
      <c r="R664" s="21"/>
      <c r="S664" s="21"/>
      <c r="T664" s="21"/>
      <c r="U664" s="21"/>
      <c r="V664" s="21"/>
    </row>
    <row r="665" spans="17:22" x14ac:dyDescent="0.25">
      <c r="Q665" s="21"/>
      <c r="R665" s="21"/>
      <c r="S665" s="21"/>
      <c r="T665" s="21"/>
      <c r="U665" s="21"/>
      <c r="V665" s="21"/>
    </row>
    <row r="666" spans="17:22" x14ac:dyDescent="0.25">
      <c r="Q666" s="21"/>
      <c r="R666" s="21"/>
      <c r="S666" s="21"/>
      <c r="T666" s="21"/>
      <c r="U666" s="21"/>
      <c r="V666" s="21"/>
    </row>
    <row r="667" spans="17:22" x14ac:dyDescent="0.25">
      <c r="Q667" s="21"/>
      <c r="R667" s="21"/>
      <c r="S667" s="21"/>
      <c r="T667" s="21"/>
      <c r="U667" s="21"/>
      <c r="V667" s="21"/>
    </row>
    <row r="668" spans="17:22" x14ac:dyDescent="0.25">
      <c r="Q668" s="21"/>
      <c r="R668" s="21"/>
      <c r="S668" s="21"/>
      <c r="T668" s="21"/>
      <c r="U668" s="21"/>
      <c r="V668" s="21"/>
    </row>
    <row r="669" spans="17:22" x14ac:dyDescent="0.25">
      <c r="Q669" s="21"/>
      <c r="R669" s="21"/>
      <c r="S669" s="21"/>
      <c r="T669" s="21"/>
      <c r="U669" s="21"/>
      <c r="V669" s="21"/>
    </row>
    <row r="670" spans="17:22" x14ac:dyDescent="0.25">
      <c r="Q670" s="21"/>
      <c r="R670" s="21"/>
      <c r="S670" s="21"/>
      <c r="T670" s="21"/>
      <c r="U670" s="21"/>
      <c r="V670" s="21"/>
    </row>
    <row r="671" spans="17:22" x14ac:dyDescent="0.25">
      <c r="Q671" s="21"/>
      <c r="R671" s="21"/>
      <c r="S671" s="21"/>
      <c r="T671" s="21"/>
      <c r="U671" s="21"/>
      <c r="V671" s="21"/>
    </row>
    <row r="672" spans="17:22" x14ac:dyDescent="0.25">
      <c r="Q672" s="21"/>
      <c r="R672" s="21"/>
      <c r="S672" s="21"/>
      <c r="T672" s="21"/>
      <c r="U672" s="21"/>
      <c r="V672" s="21"/>
    </row>
    <row r="673" spans="17:22" x14ac:dyDescent="0.25">
      <c r="Q673" s="21"/>
      <c r="R673" s="21"/>
      <c r="S673" s="21"/>
      <c r="T673" s="21"/>
      <c r="U673" s="21"/>
      <c r="V673" s="21"/>
    </row>
    <row r="674" spans="17:22" x14ac:dyDescent="0.25">
      <c r="Q674" s="21"/>
      <c r="R674" s="21"/>
      <c r="S674" s="21"/>
      <c r="T674" s="21"/>
      <c r="U674" s="21"/>
      <c r="V674" s="21"/>
    </row>
    <row r="675" spans="17:22" x14ac:dyDescent="0.25">
      <c r="Q675" s="21"/>
      <c r="R675" s="21"/>
      <c r="S675" s="21"/>
      <c r="T675" s="21"/>
      <c r="U675" s="21"/>
      <c r="V675" s="21"/>
    </row>
    <row r="676" spans="17:22" x14ac:dyDescent="0.25">
      <c r="Q676" s="21"/>
      <c r="R676" s="21"/>
      <c r="S676" s="21"/>
      <c r="T676" s="21"/>
      <c r="U676" s="21"/>
      <c r="V676" s="21"/>
    </row>
    <row r="677" spans="17:22" x14ac:dyDescent="0.25">
      <c r="Q677" s="21"/>
      <c r="R677" s="21"/>
      <c r="S677" s="21"/>
      <c r="T677" s="21"/>
      <c r="U677" s="21"/>
      <c r="V677" s="21"/>
    </row>
    <row r="678" spans="17:22" x14ac:dyDescent="0.25">
      <c r="Q678" s="21"/>
      <c r="R678" s="21"/>
      <c r="S678" s="21"/>
      <c r="T678" s="21"/>
      <c r="U678" s="21"/>
      <c r="V678" s="21"/>
    </row>
    <row r="679" spans="17:22" x14ac:dyDescent="0.25">
      <c r="Q679" s="21"/>
      <c r="R679" s="21"/>
      <c r="S679" s="21"/>
      <c r="T679" s="21"/>
      <c r="U679" s="21"/>
      <c r="V679" s="21"/>
    </row>
    <row r="680" spans="17:22" x14ac:dyDescent="0.25">
      <c r="Q680" s="21"/>
      <c r="R680" s="21"/>
      <c r="S680" s="21"/>
      <c r="T680" s="21"/>
      <c r="U680" s="21"/>
      <c r="V680" s="21"/>
    </row>
    <row r="681" spans="17:22" x14ac:dyDescent="0.25">
      <c r="Q681" s="21"/>
      <c r="R681" s="21"/>
      <c r="S681" s="21"/>
      <c r="T681" s="21"/>
      <c r="U681" s="21"/>
      <c r="V681" s="21"/>
    </row>
    <row r="682" spans="17:22" x14ac:dyDescent="0.25">
      <c r="Q682" s="21"/>
      <c r="R682" s="21"/>
      <c r="S682" s="21"/>
      <c r="T682" s="21"/>
      <c r="U682" s="21"/>
      <c r="V682" s="21"/>
    </row>
    <row r="683" spans="17:22" x14ac:dyDescent="0.25">
      <c r="Q683" s="21"/>
      <c r="R683" s="21"/>
      <c r="S683" s="21"/>
      <c r="T683" s="21"/>
      <c r="U683" s="21"/>
      <c r="V683" s="21"/>
    </row>
    <row r="684" spans="17:22" x14ac:dyDescent="0.25">
      <c r="Q684" s="21"/>
      <c r="R684" s="21"/>
      <c r="S684" s="21"/>
      <c r="T684" s="21"/>
      <c r="U684" s="21"/>
      <c r="V684" s="21"/>
    </row>
    <row r="685" spans="17:22" x14ac:dyDescent="0.25">
      <c r="Q685" s="21"/>
      <c r="R685" s="21"/>
      <c r="S685" s="21"/>
      <c r="T685" s="21"/>
      <c r="U685" s="21"/>
      <c r="V685" s="21"/>
    </row>
    <row r="686" spans="17:22" x14ac:dyDescent="0.25">
      <c r="Q686" s="21"/>
      <c r="R686" s="21"/>
      <c r="S686" s="21"/>
      <c r="T686" s="21"/>
      <c r="U686" s="21"/>
      <c r="V686" s="21"/>
    </row>
    <row r="687" spans="17:22" x14ac:dyDescent="0.25">
      <c r="Q687" s="21"/>
      <c r="R687" s="21"/>
      <c r="S687" s="21"/>
      <c r="T687" s="21"/>
      <c r="U687" s="21"/>
      <c r="V687" s="21"/>
    </row>
    <row r="688" spans="17:22" x14ac:dyDescent="0.25">
      <c r="Q688" s="21"/>
      <c r="R688" s="21"/>
      <c r="S688" s="21"/>
      <c r="T688" s="21"/>
      <c r="U688" s="21"/>
      <c r="V688" s="21"/>
    </row>
    <row r="689" spans="17:22" x14ac:dyDescent="0.25">
      <c r="Q689" s="21"/>
      <c r="R689" s="21"/>
      <c r="S689" s="21"/>
      <c r="T689" s="21"/>
      <c r="U689" s="21"/>
      <c r="V689" s="21"/>
    </row>
    <row r="690" spans="17:22" x14ac:dyDescent="0.25">
      <c r="Q690" s="21"/>
      <c r="R690" s="21"/>
      <c r="S690" s="21"/>
      <c r="T690" s="21"/>
      <c r="U690" s="21"/>
      <c r="V690" s="21"/>
    </row>
    <row r="691" spans="17:22" x14ac:dyDescent="0.25">
      <c r="Q691" s="21"/>
      <c r="R691" s="21"/>
      <c r="S691" s="21"/>
      <c r="T691" s="21"/>
      <c r="U691" s="21"/>
      <c r="V691" s="21"/>
    </row>
    <row r="692" spans="17:22" x14ac:dyDescent="0.25">
      <c r="Q692" s="21"/>
      <c r="R692" s="21"/>
      <c r="S692" s="21"/>
      <c r="T692" s="21"/>
      <c r="U692" s="21"/>
      <c r="V692" s="21"/>
    </row>
    <row r="693" spans="17:22" x14ac:dyDescent="0.25">
      <c r="Q693" s="21"/>
      <c r="R693" s="21"/>
      <c r="S693" s="21"/>
      <c r="T693" s="21"/>
      <c r="U693" s="21"/>
      <c r="V693" s="21"/>
    </row>
    <row r="694" spans="17:22" x14ac:dyDescent="0.25">
      <c r="Q694" s="21"/>
      <c r="R694" s="21"/>
      <c r="S694" s="21"/>
      <c r="T694" s="21"/>
      <c r="U694" s="21"/>
      <c r="V694" s="21"/>
    </row>
    <row r="695" spans="17:22" x14ac:dyDescent="0.25">
      <c r="Q695" s="21"/>
      <c r="R695" s="21"/>
      <c r="S695" s="21"/>
      <c r="T695" s="21"/>
      <c r="U695" s="21"/>
      <c r="V695" s="21"/>
    </row>
    <row r="696" spans="17:22" x14ac:dyDescent="0.25">
      <c r="Q696" s="21"/>
      <c r="R696" s="21"/>
      <c r="S696" s="21"/>
      <c r="T696" s="21"/>
      <c r="U696" s="21"/>
      <c r="V696" s="21"/>
    </row>
    <row r="697" spans="17:22" x14ac:dyDescent="0.25">
      <c r="Q697" s="21"/>
      <c r="R697" s="21"/>
      <c r="S697" s="21"/>
      <c r="T697" s="21"/>
      <c r="U697" s="21"/>
      <c r="V697" s="21"/>
    </row>
    <row r="698" spans="17:22" x14ac:dyDescent="0.25">
      <c r="Q698" s="21"/>
      <c r="R698" s="21"/>
      <c r="S698" s="21"/>
      <c r="T698" s="21"/>
      <c r="U698" s="21"/>
      <c r="V698" s="21"/>
    </row>
    <row r="699" spans="17:22" x14ac:dyDescent="0.25">
      <c r="Q699" s="21"/>
      <c r="R699" s="21"/>
      <c r="S699" s="21"/>
      <c r="T699" s="21"/>
      <c r="U699" s="21"/>
      <c r="V699" s="21"/>
    </row>
    <row r="700" spans="17:22" x14ac:dyDescent="0.25">
      <c r="Q700" s="21"/>
      <c r="R700" s="21"/>
      <c r="S700" s="21"/>
      <c r="T700" s="21"/>
      <c r="U700" s="21"/>
      <c r="V700" s="21"/>
    </row>
    <row r="701" spans="17:22" x14ac:dyDescent="0.25">
      <c r="Q701" s="21"/>
      <c r="R701" s="21"/>
      <c r="S701" s="21"/>
      <c r="T701" s="21"/>
      <c r="U701" s="21"/>
      <c r="V701" s="21"/>
    </row>
    <row r="702" spans="17:22" x14ac:dyDescent="0.25">
      <c r="Q702" s="21"/>
      <c r="R702" s="21"/>
      <c r="S702" s="21"/>
      <c r="T702" s="21"/>
      <c r="U702" s="21"/>
      <c r="V702" s="21"/>
    </row>
    <row r="703" spans="17:22" x14ac:dyDescent="0.25">
      <c r="Q703" s="21"/>
      <c r="R703" s="21"/>
      <c r="S703" s="21"/>
      <c r="T703" s="21"/>
      <c r="U703" s="21"/>
      <c r="V703" s="21"/>
    </row>
    <row r="704" spans="17:22" x14ac:dyDescent="0.25">
      <c r="Q704" s="21"/>
      <c r="R704" s="21"/>
      <c r="S704" s="21"/>
      <c r="T704" s="21"/>
      <c r="U704" s="21"/>
      <c r="V704" s="21"/>
    </row>
    <row r="705" spans="17:22" x14ac:dyDescent="0.25">
      <c r="Q705" s="21"/>
      <c r="R705" s="21"/>
      <c r="S705" s="21"/>
      <c r="T705" s="21"/>
      <c r="U705" s="21"/>
      <c r="V705" s="21"/>
    </row>
    <row r="706" spans="17:22" x14ac:dyDescent="0.25">
      <c r="Q706" s="21"/>
      <c r="R706" s="21"/>
      <c r="S706" s="21"/>
      <c r="T706" s="21"/>
      <c r="U706" s="21"/>
      <c r="V706" s="21"/>
    </row>
    <row r="707" spans="17:22" x14ac:dyDescent="0.25">
      <c r="Q707" s="21"/>
      <c r="R707" s="21"/>
      <c r="S707" s="21"/>
      <c r="T707" s="21"/>
      <c r="U707" s="21"/>
      <c r="V707" s="21"/>
    </row>
    <row r="708" spans="17:22" x14ac:dyDescent="0.25">
      <c r="Q708" s="21"/>
      <c r="R708" s="21"/>
      <c r="S708" s="21"/>
      <c r="T708" s="21"/>
      <c r="U708" s="21"/>
      <c r="V708" s="21"/>
    </row>
    <row r="709" spans="17:22" x14ac:dyDescent="0.25">
      <c r="Q709" s="21"/>
      <c r="R709" s="21"/>
      <c r="S709" s="21"/>
      <c r="T709" s="21"/>
      <c r="U709" s="21"/>
      <c r="V709" s="21"/>
    </row>
    <row r="710" spans="17:22" x14ac:dyDescent="0.25">
      <c r="Q710" s="21"/>
      <c r="R710" s="21"/>
      <c r="S710" s="21"/>
      <c r="T710" s="21"/>
      <c r="U710" s="21"/>
      <c r="V710" s="21"/>
    </row>
    <row r="711" spans="17:22" x14ac:dyDescent="0.25">
      <c r="Q711" s="21"/>
      <c r="R711" s="21"/>
      <c r="S711" s="21"/>
      <c r="T711" s="21"/>
      <c r="U711" s="21"/>
      <c r="V711" s="21"/>
    </row>
    <row r="712" spans="17:22" x14ac:dyDescent="0.25">
      <c r="Q712" s="21"/>
      <c r="R712" s="21"/>
      <c r="S712" s="21"/>
      <c r="T712" s="21"/>
      <c r="U712" s="21"/>
      <c r="V712" s="21"/>
    </row>
    <row r="713" spans="17:22" x14ac:dyDescent="0.25">
      <c r="Q713" s="21"/>
      <c r="R713" s="21"/>
      <c r="S713" s="21"/>
      <c r="T713" s="21"/>
      <c r="U713" s="21"/>
      <c r="V713" s="21"/>
    </row>
    <row r="714" spans="17:22" x14ac:dyDescent="0.25">
      <c r="Q714" s="21"/>
      <c r="R714" s="21"/>
      <c r="S714" s="21"/>
      <c r="T714" s="21"/>
      <c r="U714" s="21"/>
      <c r="V714" s="21"/>
    </row>
    <row r="715" spans="17:22" x14ac:dyDescent="0.25">
      <c r="Q715" s="21"/>
      <c r="R715" s="21"/>
      <c r="S715" s="21"/>
      <c r="T715" s="21"/>
      <c r="U715" s="21"/>
      <c r="V715" s="21"/>
    </row>
    <row r="716" spans="17:22" x14ac:dyDescent="0.25">
      <c r="Q716" s="21"/>
      <c r="R716" s="21"/>
      <c r="S716" s="21"/>
      <c r="T716" s="21"/>
      <c r="U716" s="21"/>
      <c r="V716" s="21"/>
    </row>
    <row r="717" spans="17:22" x14ac:dyDescent="0.25">
      <c r="Q717" s="21"/>
      <c r="R717" s="21"/>
      <c r="S717" s="21"/>
      <c r="T717" s="21"/>
      <c r="U717" s="21"/>
      <c r="V717" s="21"/>
    </row>
    <row r="718" spans="17:22" x14ac:dyDescent="0.25">
      <c r="Q718" s="21"/>
      <c r="R718" s="21"/>
      <c r="S718" s="21"/>
      <c r="T718" s="21"/>
      <c r="U718" s="21"/>
      <c r="V718" s="21"/>
    </row>
    <row r="719" spans="17:22" x14ac:dyDescent="0.25">
      <c r="Q719" s="21"/>
      <c r="R719" s="21"/>
      <c r="S719" s="21"/>
      <c r="T719" s="21"/>
      <c r="U719" s="21"/>
      <c r="V719" s="21"/>
    </row>
    <row r="720" spans="17:22" x14ac:dyDescent="0.25">
      <c r="Q720" s="21"/>
      <c r="R720" s="21"/>
      <c r="S720" s="21"/>
      <c r="T720" s="21"/>
      <c r="U720" s="21"/>
      <c r="V720" s="21"/>
    </row>
    <row r="721" spans="17:22" x14ac:dyDescent="0.25">
      <c r="Q721" s="21"/>
      <c r="R721" s="21"/>
      <c r="S721" s="21"/>
      <c r="T721" s="21"/>
      <c r="U721" s="21"/>
      <c r="V721" s="21"/>
    </row>
    <row r="722" spans="17:22" x14ac:dyDescent="0.25">
      <c r="Q722" s="21"/>
      <c r="R722" s="21"/>
      <c r="S722" s="21"/>
      <c r="T722" s="21"/>
      <c r="U722" s="21"/>
      <c r="V722" s="21"/>
    </row>
    <row r="723" spans="17:22" x14ac:dyDescent="0.25">
      <c r="Q723" s="21"/>
      <c r="R723" s="21"/>
      <c r="S723" s="21"/>
      <c r="T723" s="21"/>
      <c r="U723" s="21"/>
      <c r="V723" s="21"/>
    </row>
    <row r="724" spans="17:22" x14ac:dyDescent="0.25">
      <c r="Q724" s="21"/>
      <c r="R724" s="21"/>
      <c r="S724" s="21"/>
      <c r="T724" s="21"/>
      <c r="U724" s="21"/>
      <c r="V724" s="21"/>
    </row>
    <row r="725" spans="17:22" x14ac:dyDescent="0.25">
      <c r="Q725" s="21"/>
      <c r="R725" s="21"/>
      <c r="S725" s="21"/>
      <c r="T725" s="21"/>
      <c r="U725" s="21"/>
      <c r="V725" s="21"/>
    </row>
    <row r="726" spans="17:22" x14ac:dyDescent="0.25">
      <c r="Q726" s="21"/>
      <c r="R726" s="21"/>
      <c r="S726" s="21"/>
      <c r="T726" s="21"/>
      <c r="U726" s="21"/>
      <c r="V726" s="21"/>
    </row>
    <row r="727" spans="17:22" x14ac:dyDescent="0.25">
      <c r="Q727" s="21"/>
      <c r="R727" s="21"/>
      <c r="S727" s="21"/>
      <c r="T727" s="21"/>
      <c r="U727" s="21"/>
      <c r="V727" s="21"/>
    </row>
    <row r="728" spans="17:22" x14ac:dyDescent="0.25">
      <c r="Q728" s="21"/>
      <c r="R728" s="21"/>
      <c r="S728" s="21"/>
      <c r="T728" s="21"/>
      <c r="U728" s="21"/>
      <c r="V728" s="21"/>
    </row>
    <row r="729" spans="17:22" x14ac:dyDescent="0.25">
      <c r="Q729" s="21"/>
      <c r="R729" s="21"/>
      <c r="S729" s="21"/>
      <c r="T729" s="21"/>
      <c r="U729" s="21"/>
      <c r="V729" s="21"/>
    </row>
    <row r="730" spans="17:22" x14ac:dyDescent="0.25">
      <c r="Q730" s="21"/>
      <c r="R730" s="21"/>
      <c r="S730" s="21"/>
      <c r="T730" s="21"/>
      <c r="U730" s="21"/>
      <c r="V730" s="21"/>
    </row>
    <row r="731" spans="17:22" x14ac:dyDescent="0.25">
      <c r="Q731" s="21"/>
      <c r="R731" s="21"/>
      <c r="S731" s="21"/>
      <c r="T731" s="21"/>
      <c r="U731" s="21"/>
      <c r="V731" s="21"/>
    </row>
    <row r="732" spans="17:22" x14ac:dyDescent="0.25">
      <c r="Q732" s="21"/>
      <c r="R732" s="21"/>
      <c r="S732" s="21"/>
      <c r="T732" s="21"/>
      <c r="U732" s="21"/>
      <c r="V732" s="21"/>
    </row>
    <row r="733" spans="17:22" x14ac:dyDescent="0.25">
      <c r="Q733" s="21"/>
      <c r="R733" s="21"/>
      <c r="S733" s="21"/>
      <c r="T733" s="21"/>
      <c r="U733" s="21"/>
      <c r="V733" s="21"/>
    </row>
    <row r="734" spans="17:22" x14ac:dyDescent="0.25">
      <c r="Q734" s="21"/>
      <c r="R734" s="21"/>
      <c r="S734" s="21"/>
      <c r="T734" s="21"/>
      <c r="U734" s="21"/>
      <c r="V734" s="21"/>
    </row>
    <row r="735" spans="17:22" x14ac:dyDescent="0.25">
      <c r="Q735" s="21"/>
      <c r="R735" s="21"/>
      <c r="S735" s="21"/>
      <c r="T735" s="21"/>
      <c r="U735" s="21"/>
      <c r="V735" s="21"/>
    </row>
    <row r="736" spans="17:22" x14ac:dyDescent="0.25">
      <c r="Q736" s="21"/>
      <c r="R736" s="21"/>
      <c r="S736" s="21"/>
      <c r="T736" s="21"/>
      <c r="U736" s="21"/>
      <c r="V736" s="21"/>
    </row>
    <row r="737" spans="17:22" x14ac:dyDescent="0.25">
      <c r="Q737" s="21"/>
      <c r="R737" s="21"/>
      <c r="S737" s="21"/>
      <c r="T737" s="21"/>
      <c r="U737" s="21"/>
      <c r="V737" s="21"/>
    </row>
    <row r="738" spans="17:22" x14ac:dyDescent="0.25">
      <c r="Q738" s="21"/>
      <c r="R738" s="21"/>
      <c r="S738" s="21"/>
      <c r="T738" s="21"/>
      <c r="U738" s="21"/>
      <c r="V738" s="21"/>
    </row>
    <row r="739" spans="17:22" x14ac:dyDescent="0.25">
      <c r="Q739" s="21"/>
      <c r="R739" s="21"/>
      <c r="S739" s="21"/>
      <c r="T739" s="21"/>
      <c r="U739" s="21"/>
      <c r="V739" s="21"/>
    </row>
    <row r="740" spans="17:22" x14ac:dyDescent="0.25">
      <c r="Q740" s="21"/>
      <c r="R740" s="21"/>
      <c r="S740" s="21"/>
      <c r="T740" s="21"/>
      <c r="U740" s="21"/>
      <c r="V740" s="21"/>
    </row>
    <row r="741" spans="17:22" x14ac:dyDescent="0.25">
      <c r="Q741" s="21"/>
      <c r="R741" s="21"/>
      <c r="S741" s="21"/>
      <c r="T741" s="21"/>
      <c r="U741" s="21"/>
      <c r="V741" s="21"/>
    </row>
    <row r="742" spans="17:22" x14ac:dyDescent="0.25">
      <c r="Q742" s="21"/>
      <c r="R742" s="21"/>
      <c r="S742" s="21"/>
      <c r="T742" s="21"/>
      <c r="U742" s="21"/>
      <c r="V742" s="21"/>
    </row>
    <row r="743" spans="17:22" x14ac:dyDescent="0.25">
      <c r="Q743" s="21"/>
      <c r="R743" s="21"/>
      <c r="S743" s="21"/>
      <c r="T743" s="21"/>
      <c r="U743" s="21"/>
      <c r="V743" s="21"/>
    </row>
    <row r="744" spans="17:22" x14ac:dyDescent="0.25">
      <c r="Q744" s="21"/>
      <c r="R744" s="21"/>
      <c r="S744" s="21"/>
      <c r="T744" s="21"/>
      <c r="U744" s="21"/>
      <c r="V744" s="21"/>
    </row>
    <row r="745" spans="17:22" x14ac:dyDescent="0.25">
      <c r="Q745" s="21"/>
      <c r="R745" s="21"/>
      <c r="S745" s="21"/>
      <c r="T745" s="21"/>
      <c r="U745" s="21"/>
      <c r="V745" s="21"/>
    </row>
    <row r="746" spans="17:22" x14ac:dyDescent="0.25">
      <c r="Q746" s="21"/>
      <c r="R746" s="21"/>
      <c r="S746" s="21"/>
      <c r="T746" s="21"/>
      <c r="U746" s="21"/>
      <c r="V746" s="21"/>
    </row>
    <row r="747" spans="17:22" x14ac:dyDescent="0.25">
      <c r="Q747" s="21"/>
      <c r="R747" s="21"/>
      <c r="S747" s="21"/>
      <c r="T747" s="21"/>
      <c r="U747" s="21"/>
      <c r="V747" s="21"/>
    </row>
    <row r="748" spans="17:22" x14ac:dyDescent="0.25">
      <c r="Q748" s="21"/>
      <c r="R748" s="21"/>
      <c r="S748" s="21"/>
      <c r="T748" s="21"/>
      <c r="U748" s="21"/>
      <c r="V748" s="21"/>
    </row>
    <row r="749" spans="17:22" x14ac:dyDescent="0.25">
      <c r="Q749" s="21"/>
      <c r="R749" s="21"/>
      <c r="S749" s="21"/>
      <c r="T749" s="21"/>
      <c r="U749" s="21"/>
      <c r="V749" s="21"/>
    </row>
    <row r="750" spans="17:22" x14ac:dyDescent="0.25">
      <c r="Q750" s="21"/>
      <c r="R750" s="21"/>
      <c r="S750" s="21"/>
      <c r="T750" s="21"/>
      <c r="U750" s="21"/>
      <c r="V750" s="21"/>
    </row>
    <row r="751" spans="17:22" x14ac:dyDescent="0.25">
      <c r="Q751" s="21"/>
      <c r="R751" s="21"/>
      <c r="S751" s="21"/>
      <c r="T751" s="21"/>
      <c r="U751" s="21"/>
      <c r="V751" s="21"/>
    </row>
    <row r="752" spans="17:22" x14ac:dyDescent="0.25">
      <c r="Q752" s="21"/>
      <c r="R752" s="21"/>
      <c r="S752" s="21"/>
      <c r="T752" s="21"/>
      <c r="U752" s="21"/>
      <c r="V752" s="21"/>
    </row>
    <row r="753" spans="17:22" x14ac:dyDescent="0.25">
      <c r="Q753" s="21"/>
      <c r="R753" s="21"/>
      <c r="S753" s="21"/>
      <c r="T753" s="21"/>
      <c r="U753" s="21"/>
      <c r="V753" s="21"/>
    </row>
    <row r="754" spans="17:22" x14ac:dyDescent="0.25">
      <c r="Q754" s="21"/>
      <c r="R754" s="21"/>
      <c r="S754" s="21"/>
      <c r="T754" s="21"/>
      <c r="U754" s="21"/>
      <c r="V754" s="21"/>
    </row>
    <row r="755" spans="17:22" x14ac:dyDescent="0.25">
      <c r="Q755" s="21"/>
      <c r="R755" s="21"/>
      <c r="S755" s="21"/>
      <c r="T755" s="21"/>
      <c r="U755" s="21"/>
      <c r="V755" s="21"/>
    </row>
    <row r="756" spans="17:22" x14ac:dyDescent="0.25">
      <c r="Q756" s="21"/>
      <c r="R756" s="21"/>
      <c r="S756" s="21"/>
      <c r="T756" s="21"/>
      <c r="U756" s="21"/>
      <c r="V756" s="21"/>
    </row>
    <row r="757" spans="17:22" x14ac:dyDescent="0.25">
      <c r="Q757" s="21"/>
      <c r="R757" s="21"/>
      <c r="S757" s="21"/>
      <c r="T757" s="21"/>
      <c r="U757" s="21"/>
      <c r="V757" s="21"/>
    </row>
    <row r="758" spans="17:22" x14ac:dyDescent="0.25">
      <c r="Q758" s="21"/>
      <c r="R758" s="21"/>
      <c r="S758" s="21"/>
      <c r="T758" s="21"/>
      <c r="U758" s="21"/>
      <c r="V758" s="21"/>
    </row>
    <row r="759" spans="17:22" x14ac:dyDescent="0.25">
      <c r="Q759" s="21"/>
      <c r="R759" s="21"/>
      <c r="S759" s="21"/>
      <c r="T759" s="21"/>
      <c r="U759" s="21"/>
      <c r="V759" s="21"/>
    </row>
    <row r="760" spans="17:22" x14ac:dyDescent="0.25">
      <c r="Q760" s="21"/>
      <c r="R760" s="21"/>
      <c r="S760" s="21"/>
      <c r="T760" s="21"/>
      <c r="U760" s="21"/>
      <c r="V760" s="21"/>
    </row>
    <row r="761" spans="17:22" x14ac:dyDescent="0.25">
      <c r="Q761" s="21"/>
      <c r="R761" s="21"/>
      <c r="S761" s="21"/>
      <c r="T761" s="21"/>
      <c r="U761" s="21"/>
      <c r="V761" s="21"/>
    </row>
    <row r="762" spans="17:22" x14ac:dyDescent="0.25">
      <c r="Q762" s="21"/>
      <c r="R762" s="21"/>
      <c r="S762" s="21"/>
      <c r="T762" s="21"/>
      <c r="U762" s="21"/>
      <c r="V762" s="21"/>
    </row>
    <row r="763" spans="17:22" x14ac:dyDescent="0.25">
      <c r="Q763" s="21"/>
      <c r="R763" s="21"/>
      <c r="S763" s="21"/>
      <c r="T763" s="21"/>
      <c r="U763" s="21"/>
      <c r="V763" s="21"/>
    </row>
    <row r="764" spans="17:22" x14ac:dyDescent="0.25">
      <c r="Q764" s="21"/>
      <c r="R764" s="21"/>
      <c r="S764" s="21"/>
      <c r="T764" s="21"/>
      <c r="U764" s="21"/>
      <c r="V764" s="21"/>
    </row>
    <row r="765" spans="17:22" x14ac:dyDescent="0.25">
      <c r="Q765" s="21"/>
      <c r="R765" s="21"/>
      <c r="S765" s="21"/>
      <c r="T765" s="21"/>
      <c r="U765" s="21"/>
      <c r="V765" s="21"/>
    </row>
    <row r="766" spans="17:22" x14ac:dyDescent="0.25">
      <c r="Q766" s="21"/>
      <c r="R766" s="21"/>
      <c r="S766" s="21"/>
      <c r="T766" s="21"/>
      <c r="U766" s="21"/>
      <c r="V766" s="21"/>
    </row>
    <row r="767" spans="17:22" x14ac:dyDescent="0.25">
      <c r="Q767" s="21"/>
      <c r="R767" s="21"/>
      <c r="S767" s="21"/>
      <c r="T767" s="21"/>
      <c r="U767" s="21"/>
      <c r="V767" s="21"/>
    </row>
    <row r="768" spans="17:22" x14ac:dyDescent="0.25">
      <c r="Q768" s="21"/>
      <c r="R768" s="21"/>
      <c r="S768" s="21"/>
      <c r="T768" s="21"/>
      <c r="U768" s="21"/>
      <c r="V768" s="21"/>
    </row>
    <row r="769" spans="17:22" x14ac:dyDescent="0.25">
      <c r="Q769" s="21"/>
      <c r="R769" s="21"/>
      <c r="S769" s="21"/>
      <c r="T769" s="21"/>
      <c r="U769" s="21"/>
      <c r="V769" s="21"/>
    </row>
    <row r="770" spans="17:22" x14ac:dyDescent="0.25">
      <c r="Q770" s="21"/>
      <c r="R770" s="21"/>
      <c r="S770" s="21"/>
      <c r="T770" s="21"/>
      <c r="U770" s="21"/>
      <c r="V770" s="21"/>
    </row>
    <row r="771" spans="17:22" x14ac:dyDescent="0.25">
      <c r="Q771" s="21"/>
      <c r="R771" s="21"/>
      <c r="S771" s="21"/>
      <c r="T771" s="21"/>
      <c r="U771" s="21"/>
      <c r="V771" s="21"/>
    </row>
    <row r="772" spans="17:22" x14ac:dyDescent="0.25">
      <c r="Q772" s="21"/>
      <c r="R772" s="21"/>
      <c r="S772" s="21"/>
      <c r="T772" s="21"/>
      <c r="U772" s="21"/>
      <c r="V772" s="21"/>
    </row>
    <row r="773" spans="17:22" x14ac:dyDescent="0.25">
      <c r="Q773" s="21"/>
      <c r="R773" s="21"/>
      <c r="S773" s="21"/>
      <c r="T773" s="21"/>
      <c r="U773" s="21"/>
      <c r="V773" s="21"/>
    </row>
    <row r="774" spans="17:22" x14ac:dyDescent="0.25">
      <c r="Q774" s="21"/>
      <c r="R774" s="21"/>
      <c r="S774" s="21"/>
      <c r="T774" s="21"/>
      <c r="U774" s="21"/>
      <c r="V774" s="21"/>
    </row>
    <row r="775" spans="17:22" x14ac:dyDescent="0.25">
      <c r="Q775" s="21"/>
      <c r="R775" s="21"/>
      <c r="S775" s="21"/>
      <c r="T775" s="21"/>
      <c r="U775" s="21"/>
      <c r="V775" s="21"/>
    </row>
    <row r="776" spans="17:22" x14ac:dyDescent="0.25">
      <c r="Q776" s="21"/>
      <c r="R776" s="21"/>
      <c r="S776" s="21"/>
      <c r="T776" s="21"/>
      <c r="U776" s="21"/>
      <c r="V776" s="21"/>
    </row>
    <row r="777" spans="17:22" x14ac:dyDescent="0.25">
      <c r="Q777" s="21"/>
      <c r="R777" s="21"/>
      <c r="S777" s="21"/>
      <c r="T777" s="21"/>
      <c r="U777" s="21"/>
      <c r="V777" s="21"/>
    </row>
    <row r="778" spans="17:22" x14ac:dyDescent="0.25">
      <c r="Q778" s="21"/>
      <c r="R778" s="21"/>
      <c r="S778" s="21"/>
      <c r="T778" s="21"/>
      <c r="U778" s="21"/>
      <c r="V778" s="21"/>
    </row>
    <row r="779" spans="17:22" x14ac:dyDescent="0.25">
      <c r="Q779" s="21"/>
      <c r="R779" s="21"/>
      <c r="S779" s="21"/>
      <c r="T779" s="21"/>
      <c r="U779" s="21"/>
      <c r="V779" s="21"/>
    </row>
    <row r="780" spans="17:22" x14ac:dyDescent="0.25">
      <c r="Q780" s="21"/>
      <c r="R780" s="21"/>
      <c r="S780" s="21"/>
      <c r="T780" s="21"/>
      <c r="U780" s="21"/>
      <c r="V780" s="21"/>
    </row>
    <row r="781" spans="17:22" x14ac:dyDescent="0.25">
      <c r="Q781" s="21"/>
      <c r="R781" s="21"/>
      <c r="S781" s="21"/>
      <c r="T781" s="21"/>
      <c r="U781" s="21"/>
      <c r="V781" s="21"/>
    </row>
    <row r="782" spans="17:22" x14ac:dyDescent="0.25">
      <c r="Q782" s="21"/>
      <c r="R782" s="21"/>
      <c r="S782" s="21"/>
      <c r="T782" s="21"/>
      <c r="U782" s="21"/>
      <c r="V782" s="21"/>
    </row>
    <row r="783" spans="17:22" x14ac:dyDescent="0.25">
      <c r="Q783" s="21"/>
      <c r="R783" s="21"/>
      <c r="S783" s="21"/>
      <c r="T783" s="21"/>
      <c r="U783" s="21"/>
      <c r="V783" s="21"/>
    </row>
    <row r="784" spans="17:22" x14ac:dyDescent="0.25">
      <c r="Q784" s="21"/>
      <c r="R784" s="21"/>
      <c r="S784" s="21"/>
      <c r="T784" s="21"/>
      <c r="U784" s="21"/>
      <c r="V784" s="21"/>
    </row>
    <row r="785" spans="17:22" x14ac:dyDescent="0.25">
      <c r="Q785" s="21"/>
      <c r="R785" s="21"/>
      <c r="S785" s="21"/>
      <c r="T785" s="21"/>
      <c r="U785" s="21"/>
      <c r="V785" s="21"/>
    </row>
    <row r="786" spans="17:22" x14ac:dyDescent="0.25">
      <c r="Q786" s="21"/>
      <c r="R786" s="21"/>
      <c r="S786" s="21"/>
      <c r="T786" s="21"/>
      <c r="U786" s="21"/>
      <c r="V786" s="21"/>
    </row>
    <row r="787" spans="17:22" x14ac:dyDescent="0.25">
      <c r="Q787" s="21"/>
      <c r="R787" s="21"/>
      <c r="S787" s="21"/>
      <c r="T787" s="21"/>
      <c r="U787" s="21"/>
      <c r="V787" s="21"/>
    </row>
    <row r="788" spans="17:22" x14ac:dyDescent="0.25">
      <c r="Q788" s="21"/>
      <c r="R788" s="21"/>
      <c r="S788" s="21"/>
      <c r="T788" s="21"/>
      <c r="U788" s="21"/>
      <c r="V788" s="21"/>
    </row>
    <row r="789" spans="17:22" x14ac:dyDescent="0.25">
      <c r="Q789" s="21"/>
      <c r="R789" s="21"/>
      <c r="S789" s="21"/>
      <c r="T789" s="21"/>
      <c r="U789" s="21"/>
      <c r="V789" s="21"/>
    </row>
    <row r="790" spans="17:22" x14ac:dyDescent="0.25">
      <c r="Q790" s="21"/>
      <c r="R790" s="21"/>
      <c r="S790" s="21"/>
      <c r="T790" s="21"/>
      <c r="U790" s="21"/>
      <c r="V790" s="21"/>
    </row>
    <row r="791" spans="17:22" x14ac:dyDescent="0.25">
      <c r="Q791" s="21"/>
      <c r="R791" s="21"/>
      <c r="S791" s="21"/>
      <c r="T791" s="21"/>
      <c r="U791" s="21"/>
      <c r="V791" s="21"/>
    </row>
    <row r="792" spans="17:22" x14ac:dyDescent="0.25">
      <c r="Q792" s="21"/>
      <c r="R792" s="21"/>
      <c r="S792" s="21"/>
      <c r="T792" s="21"/>
      <c r="U792" s="21"/>
      <c r="V792" s="21"/>
    </row>
    <row r="793" spans="17:22" x14ac:dyDescent="0.25">
      <c r="Q793" s="21"/>
      <c r="R793" s="21"/>
      <c r="S793" s="21"/>
      <c r="T793" s="21"/>
      <c r="U793" s="21"/>
      <c r="V793" s="21"/>
    </row>
    <row r="794" spans="17:22" x14ac:dyDescent="0.25">
      <c r="Q794" s="21"/>
      <c r="R794" s="21"/>
      <c r="S794" s="21"/>
      <c r="T794" s="21"/>
      <c r="U794" s="21"/>
      <c r="V794" s="21"/>
    </row>
    <row r="795" spans="17:22" x14ac:dyDescent="0.25">
      <c r="Q795" s="21"/>
      <c r="R795" s="21"/>
      <c r="S795" s="21"/>
      <c r="T795" s="21"/>
      <c r="U795" s="21"/>
      <c r="V795" s="21"/>
    </row>
    <row r="796" spans="17:22" x14ac:dyDescent="0.25">
      <c r="Q796" s="21"/>
      <c r="R796" s="21"/>
      <c r="S796" s="21"/>
      <c r="T796" s="21"/>
      <c r="U796" s="21"/>
      <c r="V796" s="21"/>
    </row>
    <row r="797" spans="17:22" x14ac:dyDescent="0.25">
      <c r="Q797" s="21"/>
      <c r="R797" s="21"/>
      <c r="S797" s="21"/>
      <c r="T797" s="21"/>
      <c r="U797" s="21"/>
      <c r="V797" s="21"/>
    </row>
    <row r="798" spans="17:22" x14ac:dyDescent="0.25">
      <c r="Q798" s="21"/>
      <c r="R798" s="21"/>
      <c r="S798" s="21"/>
      <c r="T798" s="21"/>
      <c r="U798" s="21"/>
      <c r="V798" s="21"/>
    </row>
    <row r="799" spans="17:22" x14ac:dyDescent="0.25">
      <c r="Q799" s="21"/>
      <c r="R799" s="21"/>
      <c r="S799" s="21"/>
      <c r="T799" s="21"/>
      <c r="U799" s="21"/>
      <c r="V799" s="21"/>
    </row>
    <row r="800" spans="17:22" x14ac:dyDescent="0.25">
      <c r="Q800" s="21"/>
      <c r="R800" s="21"/>
      <c r="S800" s="21"/>
      <c r="T800" s="21"/>
      <c r="U800" s="21"/>
      <c r="V800" s="21"/>
    </row>
    <row r="801" spans="17:22" x14ac:dyDescent="0.25">
      <c r="Q801" s="21"/>
      <c r="R801" s="21"/>
      <c r="S801" s="21"/>
      <c r="T801" s="21"/>
      <c r="U801" s="21"/>
      <c r="V801" s="21"/>
    </row>
    <row r="802" spans="17:22" x14ac:dyDescent="0.25">
      <c r="Q802" s="21"/>
      <c r="R802" s="21"/>
      <c r="S802" s="21"/>
      <c r="T802" s="21"/>
      <c r="U802" s="21"/>
      <c r="V802" s="21"/>
    </row>
    <row r="803" spans="17:22" x14ac:dyDescent="0.25">
      <c r="Q803" s="21"/>
      <c r="R803" s="21"/>
      <c r="S803" s="21"/>
      <c r="T803" s="21"/>
      <c r="U803" s="21"/>
      <c r="V803" s="21"/>
    </row>
    <row r="804" spans="17:22" x14ac:dyDescent="0.25">
      <c r="Q804" s="21"/>
      <c r="R804" s="21"/>
      <c r="S804" s="21"/>
      <c r="T804" s="21"/>
      <c r="U804" s="21"/>
      <c r="V804" s="21"/>
    </row>
    <row r="805" spans="17:22" x14ac:dyDescent="0.25">
      <c r="Q805" s="21"/>
      <c r="R805" s="21"/>
      <c r="S805" s="21"/>
      <c r="T805" s="21"/>
      <c r="U805" s="21"/>
      <c r="V805" s="21"/>
    </row>
    <row r="806" spans="17:22" x14ac:dyDescent="0.25">
      <c r="Q806" s="21"/>
      <c r="R806" s="21"/>
      <c r="S806" s="21"/>
      <c r="T806" s="21"/>
      <c r="U806" s="21"/>
      <c r="V806" s="21"/>
    </row>
    <row r="807" spans="17:22" x14ac:dyDescent="0.25">
      <c r="Q807" s="21"/>
      <c r="R807" s="21"/>
      <c r="S807" s="21"/>
      <c r="T807" s="21"/>
      <c r="U807" s="21"/>
      <c r="V807" s="21"/>
    </row>
    <row r="808" spans="17:22" x14ac:dyDescent="0.25">
      <c r="Q808" s="21"/>
      <c r="R808" s="21"/>
      <c r="S808" s="21"/>
      <c r="T808" s="21"/>
      <c r="U808" s="21"/>
      <c r="V808" s="21"/>
    </row>
    <row r="809" spans="17:22" x14ac:dyDescent="0.25">
      <c r="Q809" s="21"/>
      <c r="R809" s="21"/>
      <c r="S809" s="21"/>
      <c r="T809" s="21"/>
      <c r="U809" s="21"/>
      <c r="V809" s="21"/>
    </row>
    <row r="810" spans="17:22" x14ac:dyDescent="0.25">
      <c r="Q810" s="21"/>
      <c r="R810" s="21"/>
      <c r="S810" s="21"/>
      <c r="T810" s="21"/>
      <c r="U810" s="21"/>
      <c r="V810" s="21"/>
    </row>
    <row r="811" spans="17:22" x14ac:dyDescent="0.25">
      <c r="Q811" s="21"/>
      <c r="R811" s="21"/>
      <c r="S811" s="21"/>
      <c r="T811" s="21"/>
      <c r="U811" s="21"/>
      <c r="V811" s="21"/>
    </row>
    <row r="812" spans="17:22" x14ac:dyDescent="0.25">
      <c r="Q812" s="21"/>
      <c r="R812" s="21"/>
      <c r="S812" s="21"/>
      <c r="T812" s="21"/>
      <c r="U812" s="21"/>
      <c r="V812" s="21"/>
    </row>
    <row r="813" spans="17:22" x14ac:dyDescent="0.25">
      <c r="Q813" s="21"/>
      <c r="R813" s="21"/>
      <c r="S813" s="21"/>
      <c r="T813" s="21"/>
      <c r="U813" s="21"/>
      <c r="V813" s="21"/>
    </row>
    <row r="814" spans="17:22" x14ac:dyDescent="0.25">
      <c r="Q814" s="21"/>
      <c r="R814" s="21"/>
      <c r="S814" s="21"/>
      <c r="T814" s="21"/>
      <c r="U814" s="21"/>
      <c r="V814" s="21"/>
    </row>
    <row r="815" spans="17:22" x14ac:dyDescent="0.25">
      <c r="Q815" s="21"/>
      <c r="R815" s="21"/>
      <c r="S815" s="21"/>
      <c r="T815" s="21"/>
      <c r="U815" s="21"/>
      <c r="V815" s="21"/>
    </row>
    <row r="816" spans="17:22" x14ac:dyDescent="0.25">
      <c r="Q816" s="21"/>
      <c r="R816" s="21"/>
      <c r="S816" s="21"/>
      <c r="T816" s="21"/>
      <c r="U816" s="21"/>
      <c r="V816" s="21"/>
    </row>
    <row r="817" spans="17:22" x14ac:dyDescent="0.25">
      <c r="Q817" s="21"/>
      <c r="R817" s="21"/>
      <c r="S817" s="21"/>
      <c r="T817" s="21"/>
      <c r="U817" s="21"/>
      <c r="V817" s="21"/>
    </row>
    <row r="818" spans="17:22" x14ac:dyDescent="0.25">
      <c r="Q818" s="21"/>
      <c r="R818" s="21"/>
      <c r="S818" s="21"/>
      <c r="T818" s="21"/>
      <c r="U818" s="21"/>
      <c r="V818" s="21"/>
    </row>
    <row r="819" spans="17:22" x14ac:dyDescent="0.25">
      <c r="Q819" s="21"/>
      <c r="R819" s="21"/>
      <c r="S819" s="21"/>
      <c r="T819" s="21"/>
      <c r="U819" s="21"/>
      <c r="V819" s="21"/>
    </row>
    <row r="820" spans="17:22" x14ac:dyDescent="0.25">
      <c r="Q820" s="21"/>
      <c r="R820" s="21"/>
      <c r="S820" s="21"/>
      <c r="T820" s="21"/>
      <c r="U820" s="21"/>
      <c r="V820" s="21"/>
    </row>
    <row r="821" spans="17:22" x14ac:dyDescent="0.25">
      <c r="Q821" s="21"/>
      <c r="R821" s="21"/>
      <c r="S821" s="21"/>
      <c r="T821" s="21"/>
      <c r="U821" s="21"/>
      <c r="V821" s="21"/>
    </row>
    <row r="822" spans="17:22" x14ac:dyDescent="0.25">
      <c r="Q822" s="21"/>
      <c r="R822" s="21"/>
      <c r="S822" s="21"/>
      <c r="T822" s="21"/>
      <c r="U822" s="21"/>
      <c r="V822" s="21"/>
    </row>
    <row r="823" spans="17:22" x14ac:dyDescent="0.25">
      <c r="Q823" s="21"/>
      <c r="R823" s="21"/>
      <c r="S823" s="21"/>
      <c r="T823" s="21"/>
      <c r="U823" s="21"/>
      <c r="V823" s="21"/>
    </row>
    <row r="824" spans="17:22" x14ac:dyDescent="0.25">
      <c r="Q824" s="21"/>
      <c r="R824" s="21"/>
      <c r="S824" s="21"/>
      <c r="T824" s="21"/>
      <c r="U824" s="21"/>
      <c r="V824" s="21"/>
    </row>
    <row r="825" spans="17:22" x14ac:dyDescent="0.25">
      <c r="Q825" s="21"/>
      <c r="R825" s="21"/>
      <c r="S825" s="21"/>
      <c r="T825" s="21"/>
      <c r="U825" s="21"/>
      <c r="V825" s="21"/>
    </row>
    <row r="826" spans="17:22" x14ac:dyDescent="0.25">
      <c r="Q826" s="21"/>
      <c r="R826" s="21"/>
      <c r="S826" s="21"/>
      <c r="T826" s="21"/>
      <c r="U826" s="21"/>
      <c r="V826" s="21"/>
    </row>
    <row r="827" spans="17:22" x14ac:dyDescent="0.25">
      <c r="Q827" s="21"/>
      <c r="R827" s="21"/>
      <c r="S827" s="21"/>
      <c r="T827" s="21"/>
      <c r="U827" s="21"/>
      <c r="V827" s="21"/>
    </row>
    <row r="828" spans="17:22" x14ac:dyDescent="0.25">
      <c r="Q828" s="21"/>
      <c r="R828" s="21"/>
      <c r="S828" s="21"/>
      <c r="T828" s="21"/>
      <c r="U828" s="21"/>
      <c r="V828" s="21"/>
    </row>
    <row r="829" spans="17:22" x14ac:dyDescent="0.25">
      <c r="Q829" s="21"/>
      <c r="R829" s="21"/>
      <c r="S829" s="21"/>
      <c r="T829" s="21"/>
      <c r="U829" s="21"/>
      <c r="V829" s="21"/>
    </row>
    <row r="830" spans="17:22" x14ac:dyDescent="0.25">
      <c r="Q830" s="21"/>
      <c r="R830" s="21"/>
      <c r="S830" s="21"/>
      <c r="T830" s="21"/>
      <c r="U830" s="21"/>
      <c r="V830" s="21"/>
    </row>
    <row r="831" spans="17:22" x14ac:dyDescent="0.25">
      <c r="Q831" s="21"/>
      <c r="R831" s="21"/>
      <c r="S831" s="21"/>
      <c r="T831" s="21"/>
      <c r="U831" s="21"/>
      <c r="V831" s="21"/>
    </row>
    <row r="832" spans="17:22" x14ac:dyDescent="0.25">
      <c r="Q832" s="21"/>
      <c r="R832" s="21"/>
      <c r="S832" s="21"/>
      <c r="T832" s="21"/>
      <c r="U832" s="21"/>
      <c r="V832" s="21"/>
    </row>
    <row r="833" spans="17:22" x14ac:dyDescent="0.25">
      <c r="Q833" s="21"/>
      <c r="R833" s="21"/>
      <c r="S833" s="21"/>
      <c r="T833" s="21"/>
      <c r="U833" s="21"/>
      <c r="V833" s="21"/>
    </row>
    <row r="834" spans="17:22" x14ac:dyDescent="0.25">
      <c r="Q834" s="21"/>
      <c r="R834" s="21"/>
      <c r="S834" s="21"/>
      <c r="T834" s="21"/>
      <c r="U834" s="21"/>
      <c r="V834" s="21"/>
    </row>
    <row r="835" spans="17:22" x14ac:dyDescent="0.25">
      <c r="Q835" s="21"/>
      <c r="R835" s="21"/>
      <c r="S835" s="21"/>
      <c r="T835" s="21"/>
      <c r="U835" s="21"/>
      <c r="V835" s="21"/>
    </row>
    <row r="836" spans="17:22" x14ac:dyDescent="0.25">
      <c r="Q836" s="21"/>
      <c r="R836" s="21"/>
      <c r="S836" s="21"/>
      <c r="T836" s="21"/>
      <c r="U836" s="21"/>
      <c r="V836" s="21"/>
    </row>
    <row r="837" spans="17:22" x14ac:dyDescent="0.25">
      <c r="Q837" s="21"/>
      <c r="R837" s="21"/>
      <c r="S837" s="21"/>
      <c r="T837" s="21"/>
      <c r="U837" s="21"/>
      <c r="V837" s="21"/>
    </row>
    <row r="838" spans="17:22" x14ac:dyDescent="0.25">
      <c r="Q838" s="21"/>
      <c r="R838" s="21"/>
      <c r="S838" s="21"/>
      <c r="T838" s="21"/>
      <c r="U838" s="21"/>
      <c r="V838" s="21"/>
    </row>
    <row r="839" spans="17:22" x14ac:dyDescent="0.25">
      <c r="Q839" s="21"/>
      <c r="R839" s="21"/>
      <c r="S839" s="21"/>
      <c r="T839" s="21"/>
      <c r="U839" s="21"/>
      <c r="V839" s="21"/>
    </row>
    <row r="840" spans="17:22" x14ac:dyDescent="0.25">
      <c r="Q840" s="21"/>
      <c r="R840" s="21"/>
      <c r="S840" s="21"/>
      <c r="T840" s="21"/>
      <c r="U840" s="21"/>
      <c r="V840" s="21"/>
    </row>
    <row r="841" spans="17:22" x14ac:dyDescent="0.25">
      <c r="Q841" s="21"/>
      <c r="R841" s="21"/>
      <c r="S841" s="21"/>
      <c r="T841" s="21"/>
      <c r="U841" s="21"/>
      <c r="V841" s="21"/>
    </row>
    <row r="842" spans="17:22" x14ac:dyDescent="0.25">
      <c r="Q842" s="21"/>
      <c r="R842" s="21"/>
      <c r="S842" s="21"/>
      <c r="T842" s="21"/>
      <c r="U842" s="21"/>
      <c r="V842" s="21"/>
    </row>
    <row r="843" spans="17:22" x14ac:dyDescent="0.25">
      <c r="Q843" s="21"/>
      <c r="R843" s="21"/>
      <c r="S843" s="21"/>
      <c r="T843" s="21"/>
      <c r="U843" s="21"/>
      <c r="V843" s="21"/>
    </row>
    <row r="844" spans="17:22" x14ac:dyDescent="0.25">
      <c r="Q844" s="21"/>
      <c r="R844" s="21"/>
      <c r="S844" s="21"/>
      <c r="T844" s="21"/>
      <c r="U844" s="21"/>
      <c r="V844" s="21"/>
    </row>
    <row r="845" spans="17:22" x14ac:dyDescent="0.25">
      <c r="Q845" s="21"/>
      <c r="R845" s="21"/>
      <c r="S845" s="21"/>
      <c r="T845" s="21"/>
      <c r="U845" s="21"/>
      <c r="V845" s="21"/>
    </row>
    <row r="846" spans="17:22" x14ac:dyDescent="0.25">
      <c r="Q846" s="21"/>
      <c r="R846" s="21"/>
      <c r="S846" s="21"/>
      <c r="T846" s="21"/>
      <c r="U846" s="21"/>
      <c r="V846" s="21"/>
    </row>
    <row r="847" spans="17:22" x14ac:dyDescent="0.25">
      <c r="Q847" s="21"/>
      <c r="R847" s="21"/>
      <c r="S847" s="21"/>
      <c r="T847" s="21"/>
      <c r="U847" s="21"/>
      <c r="V847" s="21"/>
    </row>
    <row r="848" spans="17:22" x14ac:dyDescent="0.25">
      <c r="Q848" s="21"/>
      <c r="R848" s="21"/>
      <c r="S848" s="21"/>
      <c r="T848" s="21"/>
      <c r="U848" s="21"/>
      <c r="V848" s="21"/>
    </row>
    <row r="849" spans="17:22" x14ac:dyDescent="0.25">
      <c r="Q849" s="21"/>
      <c r="R849" s="21"/>
      <c r="S849" s="21"/>
      <c r="T849" s="21"/>
      <c r="U849" s="21"/>
      <c r="V849" s="21"/>
    </row>
    <row r="850" spans="17:22" x14ac:dyDescent="0.25">
      <c r="Q850" s="21"/>
      <c r="R850" s="21"/>
      <c r="S850" s="21"/>
      <c r="T850" s="21"/>
      <c r="U850" s="21"/>
      <c r="V850" s="21"/>
    </row>
    <row r="851" spans="17:22" x14ac:dyDescent="0.25">
      <c r="Q851" s="21"/>
      <c r="R851" s="21"/>
      <c r="S851" s="21"/>
      <c r="T851" s="21"/>
      <c r="U851" s="21"/>
      <c r="V851" s="21"/>
    </row>
    <row r="852" spans="17:22" x14ac:dyDescent="0.25">
      <c r="Q852" s="21"/>
      <c r="R852" s="21"/>
      <c r="S852" s="21"/>
      <c r="T852" s="21"/>
      <c r="U852" s="21"/>
      <c r="V852" s="21"/>
    </row>
    <row r="853" spans="17:22" x14ac:dyDescent="0.25">
      <c r="Q853" s="21"/>
      <c r="R853" s="21"/>
      <c r="S853" s="21"/>
      <c r="T853" s="21"/>
      <c r="U853" s="21"/>
      <c r="V853" s="21"/>
    </row>
    <row r="854" spans="17:22" x14ac:dyDescent="0.25">
      <c r="Q854" s="21"/>
      <c r="R854" s="21"/>
      <c r="S854" s="21"/>
      <c r="T854" s="21"/>
      <c r="U854" s="21"/>
      <c r="V854" s="21"/>
    </row>
    <row r="855" spans="17:22" x14ac:dyDescent="0.25">
      <c r="Q855" s="21"/>
      <c r="R855" s="21"/>
      <c r="S855" s="21"/>
      <c r="T855" s="21"/>
      <c r="U855" s="21"/>
      <c r="V855" s="21"/>
    </row>
    <row r="856" spans="17:22" x14ac:dyDescent="0.25">
      <c r="Q856" s="21"/>
      <c r="R856" s="21"/>
      <c r="S856" s="21"/>
      <c r="T856" s="21"/>
      <c r="U856" s="21"/>
      <c r="V856" s="21"/>
    </row>
    <row r="857" spans="17:22" x14ac:dyDescent="0.25">
      <c r="Q857" s="21"/>
      <c r="R857" s="21"/>
      <c r="S857" s="21"/>
      <c r="T857" s="21"/>
      <c r="U857" s="21"/>
      <c r="V857" s="21"/>
    </row>
    <row r="858" spans="17:22" x14ac:dyDescent="0.25">
      <c r="Q858" s="21"/>
      <c r="R858" s="21"/>
      <c r="S858" s="21"/>
      <c r="T858" s="21"/>
      <c r="U858" s="21"/>
      <c r="V858" s="21"/>
    </row>
  </sheetData>
  <protectedRanges>
    <protectedRange algorithmName="SHA-512" hashValue="20tZejZtY/ZGRcGLZm0ZbWfCu51ejQGMqdRYwv0b9rb/5Q/ejFDHQOXySZDQbnMuPhvZC4Bfbq/BWdBxp9Ls4w==" saltValue="Q+V8rXhHsE4u/j5xUQJeAg==" spinCount="100000" sqref="B27:B73" name="Диапазон1_9_1_1_1_1_1"/>
  </protectedRanges>
  <autoFilter ref="A2:V73" xr:uid="{00000000-0001-0000-0000-000000000000}"/>
  <mergeCells count="2">
    <mergeCell ref="T1:U1"/>
    <mergeCell ref="Q1:S1"/>
  </mergeCells>
  <phoneticPr fontId="4" type="noConversion"/>
  <hyperlinks>
    <hyperlink ref="B6" r:id="rId1" xr:uid="{AFA05B23-56D4-814A-A51C-69D88AED4707}"/>
    <hyperlink ref="B5" r:id="rId2" xr:uid="{6334D855-204A-4547-9CA7-44412AD6363D}"/>
    <hyperlink ref="B4" r:id="rId3" display="https://drive.google.com/file/d/13pxE5U2tLBQJtVn3q7NJvkIa7_94tavU/view?usp=drive_link" xr:uid="{07C767AA-B7B5-5243-8B31-16EBCE2125E9}"/>
    <hyperlink ref="B3" r:id="rId4" display="https://drive.google.com/file/d/1X4MzPyLpohXkyO7bDyikOSc0IyE0zjUe/view?usp=share_link" xr:uid="{7DE952FC-A187-324E-A89E-7DB5A817F0A8}"/>
    <hyperlink ref="B10" r:id="rId5" xr:uid="{8013DA00-FCB1-134B-90ED-5871CDAC30D8}"/>
    <hyperlink ref="B7" r:id="rId6" xr:uid="{C0896E8C-3AF5-F847-AB6F-199B77F01AEB}"/>
    <hyperlink ref="B8" r:id="rId7" xr:uid="{453481DE-45BB-E446-8D92-D03DDB6FDA01}"/>
    <hyperlink ref="B9" r:id="rId8" display="https://drive.google.com/file/d/1D0XRYili1zXCVBsHk0HavnWrzGWSwcsH/view?usp=share_link" xr:uid="{A6E5045D-2528-3746-9C0B-3C7B7980852A}"/>
    <hyperlink ref="B11" r:id="rId9" xr:uid="{C51F4617-D2CE-DB4A-9C3C-6FC74337A467}"/>
    <hyperlink ref="B12" r:id="rId10" xr:uid="{AF25150C-0E14-B94B-9D9B-55743C114727}"/>
    <hyperlink ref="B13" r:id="rId11" xr:uid="{6AFB8277-9C67-9F45-87EA-54C247A01F0A}"/>
    <hyperlink ref="B14" r:id="rId12" xr:uid="{273490B0-26D5-704C-9D4D-26915503FDCF}"/>
    <hyperlink ref="B15" r:id="rId13" xr:uid="{CE047F9C-F728-AF47-BD3F-52296192DC2C}"/>
    <hyperlink ref="B17" r:id="rId14" xr:uid="{0A212D6C-36B2-9A4D-AE2E-AE521DEBE3FE}"/>
    <hyperlink ref="B16" r:id="rId15" xr:uid="{BB31264F-6E61-5647-B141-B8EF5AC07C66}"/>
    <hyperlink ref="B20" r:id="rId16" xr:uid="{F485AAC4-53EA-3346-B77F-A19C33C6916E}"/>
    <hyperlink ref="B19" r:id="rId17" xr:uid="{79CFA11B-C160-DE43-B97F-50F4A4694646}"/>
    <hyperlink ref="B18" r:id="rId18" xr:uid="{F23BBE3F-DD27-BC48-B629-0A82F5166F8E}"/>
    <hyperlink ref="B21" r:id="rId19" xr:uid="{EAD58932-D914-694E-A6A8-65E23B4FD35E}"/>
    <hyperlink ref="B22" r:id="rId20" display="https://drive.google.com/file/d/1VbEovqrLDsQ2dddK_3hKxvts7hCeWUg8/view?usp=share_link" xr:uid="{595E1700-7939-6048-8A9A-497E9C980717}"/>
    <hyperlink ref="B23" r:id="rId21" display="https://drive.google.com/file/d/1xmsCIvLjN2RMl6Pzt1uH0mogh96yQDUR/view?usp=drive_link" xr:uid="{20FFDB93-499D-2B4E-A0D0-BC25CD595044}"/>
    <hyperlink ref="B24" r:id="rId22" display="https://drive.google.com/file/d/1-_Pz5t6VNz6sIfEb7SIaiQtPCQFeNnSh/view?usp=share_link" xr:uid="{8EE06438-FF0E-8D48-9E99-1EE519093374}"/>
    <hyperlink ref="B25" r:id="rId23" display="https://drive.google.com/file/d/1XQMaKcaMiZagTd5meIVZtiw-yEiuXdRE/view?usp=share_link" xr:uid="{FEB064B0-CC48-FE4E-9D49-CA52C9909701}"/>
    <hyperlink ref="B26" r:id="rId24" display="https://drive.google.com/file/d/1WKU4ALcfGxWjE0Jei01HVHWipKw4pKWs/view?usp=share_link" xr:uid="{CA330A50-B468-374F-81FA-A0BF209CBE86}"/>
    <hyperlink ref="B27" r:id="rId25" display="https://drive.google.com/file/d/1hxEaZrQobTzYpc-MNOyj-gMtGOMltt7J/view?usp=sharing" xr:uid="{AEF98FAA-A987-024A-B582-4AB042543D3F}"/>
    <hyperlink ref="B28" r:id="rId26" display="https://drive.google.com/file/d/1jGc72dQgEBmA678zSfJKUGk5C4OoB53Q/view?usp=sharing" xr:uid="{271337FE-4498-524E-BE43-80AD48BDBD36}"/>
    <hyperlink ref="B29" r:id="rId27" display="https://drive.google.com/file/d/1FLlNBupcjSkQ3SH0f6Vsyvtj23fAG5-K/view?usp=sharing" xr:uid="{9C6BED36-CCB5-414E-B94B-7CA24F2A6B8D}"/>
    <hyperlink ref="B30" r:id="rId28" display="https://drive.google.com/file/d/1wNbKCTCkLv46KYIKxXck4xW0wruPSbJq/view?usp=sharing" xr:uid="{7D4D9B0C-40CF-FE4E-ABC0-6A46D9C51D4D}"/>
    <hyperlink ref="B31" r:id="rId29" display="https://drive.google.com/file/d/1pvc1ze9XaDa9zXqrR_L4HnuviO57fuh2/view?usp=sharing" xr:uid="{887740EF-6DCA-E94E-9F85-6B323FD5FFDF}"/>
    <hyperlink ref="B32" r:id="rId30" display="https://drive.google.com/file/d/1Ix2D3ZraAvY9TY6kxCjzkZzDsBV3UJCi/view?usp=sharing" xr:uid="{41D9D19C-7FA2-4849-B0E4-847505ABA53E}"/>
    <hyperlink ref="B33" r:id="rId31" display="https://drive.google.com/file/d/1MVN6-eZ7QEbfKrj06CNiepS2nYnd2rxS/view?usp=sharing" xr:uid="{2768C252-76BF-5F48-8F52-0AA5E40200DB}"/>
    <hyperlink ref="B34" r:id="rId32" display="https://drive.google.com/file/d/1Op8OmCxt0XlAMLRGGpST2gaNFR7gV4sL/view?usp=sharing" xr:uid="{99388554-1402-774B-B0ED-CF0B8E881CCB}"/>
    <hyperlink ref="B35" r:id="rId33" display="https://drive.google.com/file/d/1VUOJr_-pgS1AS3ugYs5_lKDD7zl0Npvd/view?usp=sharing" xr:uid="{F2B34B2F-36F9-8C44-B3E2-7BA4F825B709}"/>
    <hyperlink ref="B36" r:id="rId34" display="https://drive.google.com/file/d/1YSk_GvU6-OZEd87kx63F09Zp4hAXNjcb/view?usp=sharing" xr:uid="{6399956F-28F5-074D-BD12-2A69A642A635}"/>
    <hyperlink ref="B37" r:id="rId35" display="https://drive.google.com/file/d/1vMTm7KCKRC1kRx6Pe9J_15irWa8XE1ko/view?usp=sharing" xr:uid="{71E8EAB6-DC52-AA4F-B069-456C3728294E}"/>
    <hyperlink ref="B38" r:id="rId36" display="https://drive.google.com/file/d/1zapDlGMlZnuYYnJmjvBlHkMmcPNMVKZZ/view?usp=sharing" xr:uid="{337A1411-77F3-154E-992C-F0A4356D4EA2}"/>
    <hyperlink ref="B39" r:id="rId37" xr:uid="{61F2C349-8747-F54C-891A-174E917FA298}"/>
    <hyperlink ref="B40" r:id="rId38" xr:uid="{6C6AB861-3AAB-AF47-B40F-834E4E53BF1B}"/>
    <hyperlink ref="B41" r:id="rId39" xr:uid="{B48FC40B-3026-E244-9367-429EFEEA4D5C}"/>
    <hyperlink ref="B42" r:id="rId40" xr:uid="{C3556F19-A4E9-EB4B-B286-871FA5CD4E07}"/>
    <hyperlink ref="B43" r:id="rId41" xr:uid="{E28F5BBF-A88F-6146-ACC0-9A4DB3C7E140}"/>
    <hyperlink ref="B44" r:id="rId42" xr:uid="{8DD2B005-3E6F-B04D-938B-A6C1F8E1E70B}"/>
    <hyperlink ref="B45" r:id="rId43" display="https://drive.google.com/file/d/1DzmTd2W0fVYnUbawAvP7q80z4yuWFkJg/view?usp=sharing" xr:uid="{C5D4354E-6403-0540-8B4E-9607C13E0014}"/>
    <hyperlink ref="B46" r:id="rId44" display="https://drive.google.com/file/d/1xywnr82eM7e4EtwnAtz-8v4Pr33bkskc/view?usp=sharing" xr:uid="{ED9D67FB-4F3D-6642-9565-1BAA8C8C2C46}"/>
    <hyperlink ref="B47" r:id="rId45" display="https://drive.google.com/file/d/1C6go8NsQQmGjifEQe0XfPuNIt4ntS_TM/view?usp=sharing" xr:uid="{DEA0B2E5-5482-AC49-9E88-D9E599C67C78}"/>
    <hyperlink ref="B48" r:id="rId46" display="https://drive.google.com/file/d/1jAQjK1cnGnFZ5mMp058TvesLjmkHmCOy/view?usp=sharing" xr:uid="{F4939E69-0F05-A54D-9E5C-683BF47ED550}"/>
    <hyperlink ref="B49" r:id="rId47" display="https://drive.google.com/file/d/1nFtI7bu--IhW_c_po6oCbgrFnxYkMZmv/view?usp=sharing" xr:uid="{AD459759-A55E-5D4B-9D99-4FD53C1FD684}"/>
    <hyperlink ref="B50" r:id="rId48" display="https://drive.google.com/file/d/1oxvFJUj1-TFWvuQRG7Do9ZXo7pyqmaGW/view?usp=sharing" xr:uid="{328B1633-EDE2-C040-89F5-EAF85F6BE83C}"/>
    <hyperlink ref="B51" r:id="rId49" display="https://drive.google.com/file/d/1ZlxZf69d2DqnPnL1VXsl3mX7lxRpISVw/view?usp=sharing" xr:uid="{91D7F561-0534-AB4A-9D2D-34BCC9F336D9}"/>
    <hyperlink ref="B52" r:id="rId50" display="https://drive.google.com/file/d/1Xecmfx_3-AtGUmoSSbhxzHXisRm8AXj9/view?usp=sharing" xr:uid="{8C4C5544-159A-B643-BA78-66B9EA7C4D64}"/>
    <hyperlink ref="B53" r:id="rId51" display="https://drive.google.com/file/d/1gFeF3mKWvJL1NB6P2SL-hF-P1EDYiR2w/view?usp=sharing" xr:uid="{9FF3223C-E74F-044A-8C3D-1C5124ADFC0D}"/>
    <hyperlink ref="B54" r:id="rId52" display="https://drive.google.com/file/d/1UvFPM6EDdysoq-Z_-GkNml3yvw3Ox8GD/view?usp=sharing" xr:uid="{78B41893-6B35-F546-BB04-BDBD75AD11E8}"/>
    <hyperlink ref="B55" r:id="rId53" display="https://drive.google.com/file/d/1v2WhAr4OpRkuLQP6uJqdqsLh-x5BE4u6/view?usp=sharing" xr:uid="{68586C5C-F96F-724A-BA6A-5065645792D8}"/>
    <hyperlink ref="B56" r:id="rId54" display="https://drive.google.com/file/d/1ATryWPmNiU4mmgQlXrfIoT0p0xV_N1Z9/view?usp=sharing" xr:uid="{D28B233B-1CEC-8C40-9834-1B6023302A33}"/>
    <hyperlink ref="B57" r:id="rId55" display="https://drive.google.com/file/d/1qAvd3STawtYNJtqG4y5BVfv0CAfK5ej2/view?usp=sharing" xr:uid="{B8CA72B2-583D-4644-B18A-53B7D2EC636F}"/>
    <hyperlink ref="B58" r:id="rId56" display="https://drive.google.com/file/d/1A4aL67utV2K8YzQpmGLGIrVFl-G59uQr/view?usp=sharing" xr:uid="{15737E20-ED3C-3D4D-9CC2-62ABE0B2BC0D}"/>
    <hyperlink ref="B59" r:id="rId57" display="https://drive.google.com/file/d/1S-pSPNhksNs0eTmdsl6UjgTcrgqYHqx-/view?usp=sharing" xr:uid="{05FF6911-780E-2941-B76E-C2619C3DE934}"/>
    <hyperlink ref="B60" r:id="rId58" display="https://drive.google.com/file/d/1lRWwko0U8qwBpMx1wJhFIi11G6DoWm4H/view?usp=sharing" xr:uid="{2A204FE0-43D9-7A40-953C-0C948F14D829}"/>
    <hyperlink ref="B61" r:id="rId59" display="https://drive.google.com/file/d/1KLFW2CfPFzED_qn56V4TZhhxNesAl01g/view?usp=sharing" xr:uid="{984A822F-AFB9-2D4A-9BAC-798F1EE1F28E}"/>
    <hyperlink ref="B62" r:id="rId60" display="https://drive.google.com/file/d/1B7HyiBCH1WA26VNLLscTZPfdrU54FM0W/view?usp=sharing" xr:uid="{D29C27DA-43CB-634E-B5E0-E7C663332A3C}"/>
    <hyperlink ref="B63" r:id="rId61" display="https://drive.google.com/file/d/19KWhq7ff9uHpLUqt9rh4Xh6gr8UMmFq3/view?usp=sharing" xr:uid="{618404B9-79DB-DD41-9AFE-2AB86ABC64BE}"/>
    <hyperlink ref="B64" r:id="rId62" display="https://drive.google.com/file/d/16DOWyaHfPapR_E09Yq9ZNgz6I5L9uaoR/view?usp=sharing" xr:uid="{8FA998A7-10E4-D649-A273-2667D8E7FB76}"/>
    <hyperlink ref="B65" r:id="rId63" display="https://drive.google.com/file/d/1TZ6wUxG5eRajjfI5WOIcbwXftjOz8b3X/view?usp=sharing" xr:uid="{3835D649-A0AF-3943-A295-B33348729667}"/>
    <hyperlink ref="B66" r:id="rId64" display="https://drive.google.com/file/d/11jvvpVYYUhpXZVLmFWh724o0GGCkQdCg/view?usp=sharing" xr:uid="{BB05BB39-6494-754E-A7E7-E68351CC73BD}"/>
    <hyperlink ref="B67" r:id="rId65" display="https://drive.google.com/file/d/1hU7dDX2bWAq4p314buatHA4tfDFA1Pq5/view?usp=sharing" xr:uid="{5AD8A351-87AE-7142-921B-634D70832C1D}"/>
    <hyperlink ref="B68" r:id="rId66" display="https://drive.google.com/file/d/1H5FJc-JJq73SFyfUDdXNELZf0UpKye9s/view?usp=sharing" xr:uid="{39CE7058-2216-2744-9BC1-D13A4DE07B93}"/>
    <hyperlink ref="B69" r:id="rId67" display="https://drive.google.com/file/d/1sGAcbYyq5Djc2A4LoHDYRpdh-Uby-tBz/view?usp=sharing" xr:uid="{D3427A82-A673-0340-B94F-F5A76FA396F7}"/>
    <hyperlink ref="B70" r:id="rId68" display="https://drive.google.com/file/d/18Pz95CwQFPcePbnoUt8o6417avP4Sskz/view?usp=sharing" xr:uid="{DFAA5E5C-9BA9-D842-894B-AEA69A05F87C}"/>
    <hyperlink ref="B71" r:id="rId69" display="https://drive.google.com/file/d/1Xn1B4Ty5XJYFP_EDbatJkn47fCFG-aOJ/view?usp=sharing" xr:uid="{80F45377-C83B-E94E-8E94-380B584CED68}"/>
    <hyperlink ref="B72" r:id="rId70" display="https://drive.google.com/file/d/16g3SKig4mD9yNk86XXOIHJeLnPwjcfpH/view?usp=sharing" xr:uid="{5DBD49D9-149D-344D-A523-B998FACD9610}"/>
    <hyperlink ref="B73" r:id="rId71" display="https://drive.google.com/file/d/18gNOJv0-bePabF7QmFtYmHS0qiI3yl1G/view?usp=sharing" xr:uid="{D54BF6F4-2C33-974F-BDB1-B5A05EB16D4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Медиаплан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2026-04-17T10:22:38Z</dcterms:created>
  <dcterms:modified xsi:type="dcterms:W3CDTF">2026-04-21T09:44:01Z</dcterms:modified>
  <cp:category/>
</cp:coreProperties>
</file>