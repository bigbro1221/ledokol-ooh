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A07C3DC3-75D6-498A-97D4-34201DD31F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едиаплан" sheetId="1" r:id="rId1"/>
    <sheet name="Лист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3" i="1" l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72" i="1"/>
  <c r="O72" i="1" s="1"/>
  <c r="O17" i="1"/>
  <c r="O18" i="1"/>
  <c r="O49" i="1"/>
  <c r="O50" i="1"/>
  <c r="N4" i="1"/>
  <c r="O4" i="1" s="1"/>
  <c r="N5" i="1"/>
  <c r="O5" i="1" s="1"/>
  <c r="N6" i="1"/>
  <c r="O6" i="1" s="1"/>
  <c r="N7" i="1"/>
  <c r="O7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16" i="1"/>
  <c r="O16" i="1" s="1"/>
  <c r="N17" i="1"/>
  <c r="N18" i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N50" i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O58" i="1" s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O67" i="1" s="1"/>
  <c r="N68" i="1"/>
  <c r="O68" i="1" s="1"/>
  <c r="N69" i="1"/>
  <c r="O69" i="1" s="1"/>
  <c r="N70" i="1"/>
  <c r="O70" i="1" s="1"/>
  <c r="N71" i="1"/>
  <c r="O71" i="1" s="1"/>
  <c r="N3" i="1"/>
  <c r="O3" i="1" s="1"/>
</calcChain>
</file>

<file path=xl/sharedStrings.xml><?xml version="1.0" encoding="utf-8"?>
<sst xmlns="http://schemas.openxmlformats.org/spreadsheetml/2006/main" count="725" uniqueCount="129">
  <si>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</si>
  <si>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</si>
  <si>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</si>
  <si>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</si>
  <si>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</si>
  <si>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</si>
  <si>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</si>
  <si>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</si>
  <si>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</si>
  <si>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</si>
  <si>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</si>
  <si>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</si>
  <si>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Прогнозное кол-во выходов в сутки</t>
  </si>
  <si>
    <t>Общая сумма (без  АК и НДС)</t>
  </si>
  <si>
    <t>ots</t>
  </si>
  <si>
    <t>rating</t>
  </si>
  <si>
    <t>universe</t>
  </si>
  <si>
    <t>Ташкент</t>
  </si>
  <si>
    <t xml:space="preserve">Ташкент </t>
  </si>
  <si>
    <t>Фергана</t>
  </si>
  <si>
    <t>Самарканд</t>
  </si>
  <si>
    <t>пр. А. Тимура, офис Mobiuz, гостиница Wyndham</t>
  </si>
  <si>
    <t xml:space="preserve">Ул. А. Темур и Осие, Orient House </t>
  </si>
  <si>
    <t>Ул. Мустакиллик и Шастри, ор. Муз лицей Успенского</t>
  </si>
  <si>
    <t>Ул. Фурката ор. Magic city</t>
  </si>
  <si>
    <t>ул. С. Азимова, рядом 145 школа, Efendi ресторан</t>
  </si>
  <si>
    <t xml:space="preserve">Перекресток Кукча </t>
  </si>
  <si>
    <t>ул. Ш. Рашидова, ор. ЦУМ, на стороне Lotte hotel</t>
  </si>
  <si>
    <t xml:space="preserve">Ул.Обихает , около Асака Банк </t>
  </si>
  <si>
    <t>ул. У. Носыра и ул. Бобура, ор. Фрунзенский ТЦ</t>
  </si>
  <si>
    <t xml:space="preserve">Ул.Нурафшан и ул. Ахмад Даниш Ор-р «Ривьера» </t>
  </si>
  <si>
    <t xml:space="preserve">ул. Мукимий и ул. Чиланзар, ор. Новза </t>
  </si>
  <si>
    <t>НБУ Старт ул. ул Аккурган</t>
  </si>
  <si>
    <t>метро Чиланзар</t>
  </si>
  <si>
    <t xml:space="preserve">ул. Бешарыкская, Кадышева </t>
  </si>
  <si>
    <t>ул. Янгишахар - ул. А. Дониша, перекресток ТРЦ "Мега Планет"</t>
  </si>
  <si>
    <t>ул.Навои и ул.Абай  Ор-р Станция метро «А.Навои</t>
  </si>
  <si>
    <t>ул. Паркентская и ул. Олтин тепа, возле новостройки</t>
  </si>
  <si>
    <t>ул. А. Тимура, ор. ТУИТ, напротив «Ташкентлэнд»</t>
  </si>
  <si>
    <t>ул. А. Навои, ор. гостиница Чорсу</t>
  </si>
  <si>
    <t xml:space="preserve">ул. Нукусская и Авлиё Ота (Госпитальный рынок) </t>
  </si>
  <si>
    <t>ул. Шахрисабз, ор. Автодорожный университет</t>
  </si>
  <si>
    <t>Перекресток Чимган, ор. ЭкоБазар</t>
  </si>
  <si>
    <t>ул. Нукусская и ул. Эльбек, перекресток Винзавода</t>
  </si>
  <si>
    <t>ул. Хуршида, перекресток Ц5, рядом с Gentlemen pub</t>
  </si>
  <si>
    <t>Ул. Сеул, Мукими, Лутфий, Нурафшон. Бывш круг</t>
  </si>
  <si>
    <t>пр. Буньедкор, ор. Дворец дружбы народов</t>
  </si>
  <si>
    <t>ул. Афросиаб и ул. Ш. Рашидова, метро Космонавтов МВД 1</t>
  </si>
  <si>
    <t xml:space="preserve">Шахристанская, Корзинка </t>
  </si>
  <si>
    <t xml:space="preserve"> ул. Буюк ипак йули и ул. Хирмонтепа Ор-р: станция метро "Буюк Ипак Йули"</t>
  </si>
  <si>
    <t xml:space="preserve">ул. Абдурауфа Фитрата и Фаргона йули Рисовый базар </t>
  </si>
  <si>
    <t xml:space="preserve">Новза </t>
  </si>
  <si>
    <t>ул. Фархадская и ул . Лутфи</t>
  </si>
  <si>
    <t>(Братские Могилы) Яккасарайский район пересечение улиц Шота Руставели и Чупан Ота</t>
  </si>
  <si>
    <t>ТЦ Samarkand Darvoza</t>
  </si>
  <si>
    <t>(САГБОН) пересечение улиц Малая колцевая и Сагбон</t>
  </si>
  <si>
    <t>МКАД – ПР. БЕРУНИ. «ОРЗУ»</t>
  </si>
  <si>
    <t>Кардиология</t>
  </si>
  <si>
    <t>Юнусабад Универсам</t>
  </si>
  <si>
    <t>Казахстан кинотеатр</t>
  </si>
  <si>
    <t>Шастри</t>
  </si>
  <si>
    <t>Бунедкор</t>
  </si>
  <si>
    <t>Рынок куйлюк</t>
  </si>
  <si>
    <t>Мирабад Авеню</t>
  </si>
  <si>
    <t>Экобазар</t>
  </si>
  <si>
    <t>рынок Чорсу</t>
  </si>
  <si>
    <t>Чиланзар - аллея Гагарина</t>
  </si>
  <si>
    <t>перекрёсток ул.У.Юсупова и Ватан Равнаки, орентир: Центральный рынок</t>
  </si>
  <si>
    <t>ул.Алишера Навои, ориентир: Асака банк</t>
  </si>
  <si>
    <t>перекрёсток ул.Алишера Навои и Сахибкрана Темура, ориентир: кинотеатр Нурхон</t>
  </si>
  <si>
    <t>перекрёсток ул.Ватан Равнаки и Додхо, ориентир: гостиница Зиёрат</t>
  </si>
  <si>
    <t>ул.Аль Фаргоний, ориентир: головной офис Mobiuz</t>
  </si>
  <si>
    <t>ул.Сайлгох, ориентир: ресторан Taj Mahal</t>
  </si>
  <si>
    <t>Ул. Мураббийлар Ориентир Алишерка</t>
  </si>
  <si>
    <t>ул. Янгибод Ориентир Полвон Шашлык</t>
  </si>
  <si>
    <t>ул.Навои Шох и ул.Гагарина, ориентир: Festival Mall</t>
  </si>
  <si>
    <t>пересечение ул.Рудаки и ул.Дагбитская, ориентир: Банковский колледж</t>
  </si>
  <si>
    <t>ул.Буюк Ипак Йули и ул.Нарпайская, ориентир: Детская поликлиника</t>
  </si>
  <si>
    <t xml:space="preserve">ул.Рудаки и ул.Беруни, ориентир: Железнодорожный вокзал </t>
  </si>
  <si>
    <t>проспект Навои, ориентир: Городская больница</t>
  </si>
  <si>
    <t>пересечение ул.Абу Рейхана Беруни и ул.Мухаммада Аль-Хорезми, ориентир: старый Билайн</t>
  </si>
  <si>
    <t>пересечение ул.Дагбиская и ул.Ибн Сино, ориентир: Гелион</t>
  </si>
  <si>
    <t>ул.Абдурахмана Джами, ориентир: Городская Прокуратура</t>
  </si>
  <si>
    <t>ул.Абдурахмана Джами, ориентир: Молодёжный центр</t>
  </si>
  <si>
    <t>пересечение ул.Фархадский и ул.Исаева, ориентир: школа №17</t>
  </si>
  <si>
    <t>Шохрух Мирзо, ориентир: ТЦ MAKON MALL</t>
  </si>
  <si>
    <t>городской посёлок Хожа Ахрор Валий, ориентир: Сельский круг</t>
  </si>
  <si>
    <t>пересечение ул.М.Кошгарий и ул.М.Улугбек, ориентир: Овер</t>
  </si>
  <si>
    <t xml:space="preserve"> ул.Туркестанская, ориентир: Erkin Bazar-торговый центр автозапчастей</t>
  </si>
  <si>
    <t>ул.Беруний и Рудакий, ориентир: вокзал</t>
  </si>
  <si>
    <t xml:space="preserve">Адресная программа будет подбираться за 2 недели до старта </t>
  </si>
  <si>
    <t>07.00-23.00</t>
  </si>
  <si>
    <t>100-150</t>
  </si>
  <si>
    <t>х</t>
  </si>
  <si>
    <t xml:space="preserve">10 секунд </t>
  </si>
  <si>
    <t>Экран</t>
  </si>
  <si>
    <t>Фото</t>
  </si>
  <si>
    <t>Фотл</t>
  </si>
  <si>
    <t xml:space="preserve">Остановки </t>
  </si>
  <si>
    <t xml:space="preserve">Презентация </t>
  </si>
  <si>
    <t xml:space="preserve">Статика </t>
  </si>
  <si>
    <t>Стоимость монтажных  и печатных работ (без АК и НДС)</t>
  </si>
  <si>
    <r>
      <rPr>
        <u/>
        <sz val="11"/>
        <color rgb="FF1155CC"/>
        <rFont val="Calibri"/>
        <family val="2"/>
        <charset val="204"/>
      </rPr>
      <t>Фото</t>
    </r>
  </si>
  <si>
    <t>01.07.2025 - 31.07.2025</t>
  </si>
  <si>
    <t>Общая сумма (с АК и НДС)</t>
  </si>
  <si>
    <t>Plan July</t>
  </si>
  <si>
    <t>Общие</t>
  </si>
  <si>
    <t>Fact July</t>
  </si>
  <si>
    <t>Общий</t>
  </si>
  <si>
    <t>Общий Регионы</t>
  </si>
  <si>
    <t>Охват 01+</t>
  </si>
  <si>
    <t>Охват 02+</t>
  </si>
  <si>
    <t>Охват 03+</t>
  </si>
  <si>
    <t>Охват 04+</t>
  </si>
  <si>
    <t>Охват 05+</t>
  </si>
  <si>
    <t>Охват 08+</t>
  </si>
  <si>
    <t>Охват 10+</t>
  </si>
  <si>
    <t>Охват 12+</t>
  </si>
  <si>
    <t>Охват 14+</t>
  </si>
  <si>
    <t>Охват 15+</t>
  </si>
  <si>
    <t>Охват 16+</t>
  </si>
  <si>
    <t>Охват 18+</t>
  </si>
  <si>
    <t>Охват 20+</t>
  </si>
  <si>
    <t>Охват 25+</t>
  </si>
  <si>
    <t>Охват 30+</t>
  </si>
  <si>
    <t>Охват 40+</t>
  </si>
  <si>
    <t>охват в чел</t>
  </si>
  <si>
    <t>АК%</t>
  </si>
  <si>
    <t>АК (сумма)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</si>
</sst>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0000FF"/>
      <name val="Calibri"/>
      <family val="2"/>
      <charset val="204"/>
    </font>
    <font>
      <u/>
      <sz val="11"/>
      <color rgb="FF1155CC"/>
      <name val="Calibri"/>
      <family val="2"/>
      <charset val="204"/>
    </font>
    <font>
      <u/>
      <sz val="11"/>
      <color rgb="FF0C5ADB"/>
      <name val="Calibri"/>
      <family val="2"/>
      <charset val="204"/>
    </font>
    <font>
      <u/>
      <sz val="11"/>
      <color theme="4" tint="-0.249977111117893"/>
      <name val="Calibri"/>
      <family val="2"/>
      <charset val="204"/>
    </font>
    <font>
      <u/>
      <sz val="11"/>
      <color theme="10"/>
      <name val="Arial"/>
      <family val="2"/>
      <charset val="204"/>
    </font>
    <font>
      <u/>
      <sz val="11"/>
      <color theme="10"/>
      <name val="Calibri"/>
      <family val="2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75623"/>
      </patternFill>
    </fill>
    <fill>
      <patternFill patternType="solid">
        <fgColor rgb="FF2E75B6"/>
      </patternFill>
    </fill>
    <fill>
      <patternFill patternType="solid">
        <fgColor rgb="FF2F6EBE"/>
      </patternFill>
    </fill>
    <fill>
      <patternFill patternType="solid">
        <fgColor rgb="FF4E7A3A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164" fontId="0" fillId="7" borderId="0" xfId="0" applyNumberFormat="1" applyFill="1" applyAlignment="1">
      <alignment vertical="center"/>
    </xf>
    <xf numFmtId="164" fontId="0" fillId="0" borderId="0" xfId="0" applyNumberFormat="1"/>
    <xf numFmtId="2" fontId="0" fillId="7" borderId="0" xfId="0" applyNumberFormat="1" applyFill="1" applyAlignment="1">
      <alignment vertical="center"/>
    </xf>
    <xf numFmtId="2" fontId="0" fillId="0" borderId="0" xfId="0" applyNumberFormat="1"/>
    <xf numFmtId="1" fontId="0" fillId="7" borderId="0" xfId="0" applyNumberFormat="1" applyFill="1" applyAlignment="1">
      <alignment vertical="center"/>
    </xf>
    <xf numFmtId="1" fontId="0" fillId="0" borderId="0" xfId="0" applyNumberFormat="1"/>
    <xf numFmtId="0" fontId="3" fillId="8" borderId="3" xfId="0" applyFont="1" applyFill="1" applyBorder="1" applyAlignment="1" applyProtection="1">
      <alignment horizontal="left"/>
      <protection locked="0"/>
    </xf>
    <xf numFmtId="0" fontId="2" fillId="8" borderId="3" xfId="1" applyFill="1" applyBorder="1" applyAlignment="1" applyProtection="1">
      <alignment horizontal="center"/>
      <protection locked="0"/>
    </xf>
    <xf numFmtId="0" fontId="4" fillId="8" borderId="3" xfId="0" applyFont="1" applyFill="1" applyBorder="1" applyAlignment="1">
      <alignment horizontal="center"/>
    </xf>
    <xf numFmtId="0" fontId="6" fillId="9" borderId="3" xfId="0" applyFont="1" applyFill="1" applyBorder="1" applyAlignment="1">
      <alignment horizontal="center" vertical="center" wrapText="1" readingOrder="1"/>
    </xf>
    <xf numFmtId="0" fontId="2" fillId="8" borderId="3" xfId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7" fillId="8" borderId="3" xfId="1" applyFont="1" applyFill="1" applyBorder="1" applyAlignment="1">
      <alignment horizontal="center" vertical="center" readingOrder="1"/>
    </xf>
    <xf numFmtId="0" fontId="2" fillId="10" borderId="3" xfId="1" applyFill="1" applyBorder="1" applyAlignment="1">
      <alignment horizontal="center"/>
    </xf>
    <xf numFmtId="0" fontId="8" fillId="11" borderId="3" xfId="0" applyFont="1" applyFill="1" applyBorder="1" applyAlignment="1">
      <alignment horizontal="center"/>
    </xf>
    <xf numFmtId="0" fontId="2" fillId="0" borderId="3" xfId="1" applyBorder="1" applyAlignment="1">
      <alignment horizontal="center"/>
    </xf>
    <xf numFmtId="0" fontId="4" fillId="11" borderId="3" xfId="0" applyFont="1" applyFill="1" applyBorder="1" applyAlignment="1">
      <alignment horizontal="center"/>
    </xf>
    <xf numFmtId="0" fontId="9" fillId="11" borderId="3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4" fontId="11" fillId="0" borderId="8" xfId="0" applyNumberFormat="1" applyFont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1" applyFill="1" applyAlignment="1">
      <alignment horizontal="center" vertical="center"/>
    </xf>
    <xf numFmtId="0" fontId="2" fillId="8" borderId="4" xfId="1" applyFill="1" applyBorder="1" applyAlignment="1" applyProtection="1">
      <alignment horizontal="center" vertical="center"/>
      <protection locked="0"/>
    </xf>
    <xf numFmtId="0" fontId="2" fillId="8" borderId="5" xfId="1" applyFill="1" applyBorder="1" applyAlignment="1" applyProtection="1">
      <alignment horizontal="center" vertical="center"/>
      <protection locked="0"/>
    </xf>
    <xf numFmtId="0" fontId="2" fillId="8" borderId="6" xfId="1" applyFill="1" applyBorder="1" applyAlignment="1" applyProtection="1">
      <alignment horizontal="center" vertical="center"/>
      <protection locked="0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file/d/1QmcqA-7Vk6YPzppNO4XExALVYjf8BZOe/view?usp=drive_link" TargetMode="External"/><Relationship Id="rId18" Type="http://schemas.openxmlformats.org/officeDocument/2006/relationships/hyperlink" Target="https://drive.google.com/file/d/1D8ZxSUrGcrNAzR1NgRSU12z5UpatNMry/view?usp=drive_link" TargetMode="External"/><Relationship Id="rId26" Type="http://schemas.openxmlformats.org/officeDocument/2006/relationships/hyperlink" Target="https://drive.google.com/file/d/1_-TqYEcMnbNFfv3nmQfKcDrcnS9FN3LX/view?usp=drive_link" TargetMode="External"/><Relationship Id="rId39" Type="http://schemas.openxmlformats.org/officeDocument/2006/relationships/hyperlink" Target="https://drive.google.com/file/d/12WsUak69_0EmntJnEefgwe0vHo1ytl2z/view?usp=share_link" TargetMode="External"/><Relationship Id="rId21" Type="http://schemas.openxmlformats.org/officeDocument/2006/relationships/hyperlink" Target="https://drive.google.com/file/d/1caV8eev2s4Kw9UiesHUaSrm2UbrzP9D8/view?usp=share_link" TargetMode="External"/><Relationship Id="rId34" Type="http://schemas.openxmlformats.org/officeDocument/2006/relationships/hyperlink" Target="https://drive.google.com/file/d/1ClId-5T3WpMZ0G3t-zOOS1piYf0UKh7X/view?usp=drive_link" TargetMode="External"/><Relationship Id="rId7" Type="http://schemas.openxmlformats.org/officeDocument/2006/relationships/hyperlink" Target="https://drive.google.com/file/d/1g4TgGt320ve89lPHPRT3RsCMQqdCfJNQ/view?usp=share_link" TargetMode="External"/><Relationship Id="rId12" Type="http://schemas.openxmlformats.org/officeDocument/2006/relationships/hyperlink" Target="https://drive.google.com/file/d/1sMUwcHTAEnvSjLPbkB075Zv5Qcfz29RI/view?usp=drive_link" TargetMode="External"/><Relationship Id="rId17" Type="http://schemas.openxmlformats.org/officeDocument/2006/relationships/hyperlink" Target="https://drive.google.com/file/d/1_qUxXKGUGfI47yV8XVOIQuxVu5Fg5s9O/view?usp=share_link" TargetMode="External"/><Relationship Id="rId25" Type="http://schemas.openxmlformats.org/officeDocument/2006/relationships/hyperlink" Target="https://drive.google.com/file/d/1wRJmL9cWiW402cRNpCeANgmmT3hLApR_/view?usp=drive_link" TargetMode="External"/><Relationship Id="rId33" Type="http://schemas.openxmlformats.org/officeDocument/2006/relationships/hyperlink" Target="https://drive.google.com/file/d/1CP2IUFFB6tesXV-kHDU-RgD0jpPyX0mP/view?usp=drive_link" TargetMode="External"/><Relationship Id="rId38" Type="http://schemas.openxmlformats.org/officeDocument/2006/relationships/hyperlink" Target="https://drive.google.com/file/d/1xmsCIvLjN2RMl6Pzt1uH0mogh96yQDUR/view?usp=drive_link" TargetMode="External"/><Relationship Id="rId2" Type="http://schemas.openxmlformats.org/officeDocument/2006/relationships/hyperlink" Target="https://drive.google.com/file/d/1Ev0WNHh_54Z8B3mgoMWcVmQrH41Yb70F/view?usp=drive_link" TargetMode="External"/><Relationship Id="rId16" Type="http://schemas.openxmlformats.org/officeDocument/2006/relationships/hyperlink" Target="https://drive.google.com/file/d/1gj_3452AKDJx0SI3UTC1kMCfNuA8vk7U/view?usp=drive_link" TargetMode="External"/><Relationship Id="rId20" Type="http://schemas.openxmlformats.org/officeDocument/2006/relationships/hyperlink" Target="https://drive.google.com/file/d/1g08G-JwwixwSvEM-mAm-mA7avNisEPPV/view?usp=share_link" TargetMode="External"/><Relationship Id="rId29" Type="http://schemas.openxmlformats.org/officeDocument/2006/relationships/hyperlink" Target="https://drive.google.com/file/d/1WW_LiZwGWwQnz36f-OqoLlxdtMB7NvBs/view?usp=share_link" TargetMode="External"/><Relationship Id="rId1" Type="http://schemas.openxmlformats.org/officeDocument/2006/relationships/hyperlink" Target="https://drive.google.com/file/d/1VOoFbbxdDyKDmaejuOqwkO52i0SqVk0f/view?usp=drive_link" TargetMode="External"/><Relationship Id="rId6" Type="http://schemas.openxmlformats.org/officeDocument/2006/relationships/hyperlink" Target="https://drive.google.com/file/d/1a3inNGUmctrOzUHUm2E5WWCJwUTA6Eu8/view?usp=share_link" TargetMode="External"/><Relationship Id="rId11" Type="http://schemas.openxmlformats.org/officeDocument/2006/relationships/hyperlink" Target="https://drive.google.com/file/d/1KFcBGtPvScLrH3m3ld21AF-P4Z5cq7fk/view?usp=drive_link" TargetMode="External"/><Relationship Id="rId24" Type="http://schemas.openxmlformats.org/officeDocument/2006/relationships/hyperlink" Target="https://drive.google.com/file/d/1cXCBfiE8xkXo0CeD9nB9QBaW72k3wQ89/view?usp=share_link" TargetMode="External"/><Relationship Id="rId32" Type="http://schemas.openxmlformats.org/officeDocument/2006/relationships/hyperlink" Target="https://drive.google.com/file/d/19mIfVf4oIWv2yB-2kgbirpwVg3CIKtda/view?usp=drive_link" TargetMode="External"/><Relationship Id="rId37" Type="http://schemas.openxmlformats.org/officeDocument/2006/relationships/hyperlink" Target="https://drive.google.com/file/d/1bFLUDuIepb_3Cm142gxrZqCJsg19AIyv/view?usp=share_link" TargetMode="External"/><Relationship Id="rId5" Type="http://schemas.openxmlformats.org/officeDocument/2006/relationships/hyperlink" Target="https://drive.google.com/file/d/1ep-jSzdVAPYH2yWdVXtp1HP2gDkHjOi9/view?usp=share_link" TargetMode="External"/><Relationship Id="rId15" Type="http://schemas.openxmlformats.org/officeDocument/2006/relationships/hyperlink" Target="https://drive.google.com/file/d/1gYBbqvKE5D1NyVLZA63RxQaNqKEkGXQ9/view?usp=drive_link" TargetMode="External"/><Relationship Id="rId23" Type="http://schemas.openxmlformats.org/officeDocument/2006/relationships/hyperlink" Target="https://drive.google.com/file/d/1Sb7pgHJI1fWwFImLTQQlRQw8mnSmXC2C/view?usp=share_link" TargetMode="External"/><Relationship Id="rId28" Type="http://schemas.openxmlformats.org/officeDocument/2006/relationships/hyperlink" Target="https://drive.google.com/file/d/1uCewoqGi74-zl9_Qk2CPMd3Bo07hlE9M/view?usp=share_link" TargetMode="External"/><Relationship Id="rId36" Type="http://schemas.openxmlformats.org/officeDocument/2006/relationships/hyperlink" Target="https://drive.google.com/file/d/1fcDBvQsXX5mj6bggiBtDnwG0NWL0cDv6/view?usp=share_link" TargetMode="External"/><Relationship Id="rId10" Type="http://schemas.openxmlformats.org/officeDocument/2006/relationships/hyperlink" Target="https://drive.google.com/file/d/1VbEovqrLDsQ2dddK_3hKxvts7hCeWUg8/view?usp=drive_link" TargetMode="External"/><Relationship Id="rId19" Type="http://schemas.openxmlformats.org/officeDocument/2006/relationships/hyperlink" Target="https://drive.google.com/file/d/1j0X9dg2hNMVSUtG-zd1jirD_QmfRksoj/view?usp=share_link" TargetMode="External"/><Relationship Id="rId31" Type="http://schemas.openxmlformats.org/officeDocument/2006/relationships/hyperlink" Target="https://drive.google.com/file/d/1JD443DtIWKJ0jVBmRbasSd4P9YC8QzkJ/view?usp=drive_link" TargetMode="External"/><Relationship Id="rId4" Type="http://schemas.openxmlformats.org/officeDocument/2006/relationships/hyperlink" Target="https://drive.google.com/file/d/1-ejPTUGFXee5zhaVnWAXXRsSaqNcWlkH/view?usp=drive_link" TargetMode="External"/><Relationship Id="rId9" Type="http://schemas.openxmlformats.org/officeDocument/2006/relationships/hyperlink" Target="https://drive.google.com/file/d/1sMmdP51xkaZLpV6AQRlYtb_N_7vFaNBm/view?usp=drive_link" TargetMode="External"/><Relationship Id="rId14" Type="http://schemas.openxmlformats.org/officeDocument/2006/relationships/hyperlink" Target="https://drive.google.com/file/d/1YG7XfwNwK9d1jFIiayywQJW664yXxNtr/view?usp=drive_link" TargetMode="External"/><Relationship Id="rId22" Type="http://schemas.openxmlformats.org/officeDocument/2006/relationships/hyperlink" Target="https://drive.google.com/file/d/1heT1ESAmZOdC_sO3Ufh9_3LNEOVJ2SLb/view?usp=share_link" TargetMode="External"/><Relationship Id="rId27" Type="http://schemas.openxmlformats.org/officeDocument/2006/relationships/hyperlink" Target="https://docs.google.com/presentation/d/1uNkXXsGTvZfobfg_oxJrdcn5lOFF2-Fh/edit?usp=sharing&amp;ouid=106943694551346941049&amp;rtpof=true&amp;sd=true" TargetMode="External"/><Relationship Id="rId30" Type="http://schemas.openxmlformats.org/officeDocument/2006/relationships/hyperlink" Target="https://drive.google.com/file/d/1Av3k1UHE5H_HsgEbrE8qjCAwc_uPLcmq/view?usp=share_link" TargetMode="External"/><Relationship Id="rId35" Type="http://schemas.openxmlformats.org/officeDocument/2006/relationships/hyperlink" Target="https://drive.google.com/file/d/1mUtpbaKHj8tEUs27HtAKr_qmqpb2vDhd/view?usp=drive_link" TargetMode="External"/><Relationship Id="rId8" Type="http://schemas.openxmlformats.org/officeDocument/2006/relationships/hyperlink" Target="https://drive.google.com/file/d/14K4kiRoVDy3bVytCps0_ZAAuu9h_gXyd/view?usp=drive_link" TargetMode="External"/><Relationship Id="rId3" Type="http://schemas.openxmlformats.org/officeDocument/2006/relationships/hyperlink" Target="https://drive.google.com/file/d/1U6A_TXjl2aXOvby8DNvO3WDwGxRDwUX5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"/>
  <sheetViews>
    <sheetView tabSelected="1" zoomScale="70" zoomScaleNormal="70" workbookViewId="0">
      <pane ySplit="2" topLeftCell="A3" activePane="bottomLeft" state="frozen"/>
      <selection pane="bottomLeft" activeCell="K9" sqref="K9"/>
    </sheetView>
  </sheetViews>
  <sheetFormatPr defaultColWidth="8.85546875" defaultRowHeight="15" x14ac:dyDescent="0.25"/>
  <cols>
    <col min="1" max="1" width="12.140625" bestFit="1" customWidth="1"/>
    <col min="2" max="2" width="15.5703125" bestFit="1" customWidth="1"/>
    <col min="3" max="3" width="11.140625" bestFit="1" customWidth="1"/>
    <col min="4" max="4" width="90" bestFit="1" customWidth="1"/>
    <col min="5" max="5" width="10.140625" bestFit="1" customWidth="1"/>
    <col min="6" max="6" width="22" bestFit="1" customWidth="1"/>
    <col min="7" max="8" width="12.85546875" bestFit="1" customWidth="1"/>
    <col min="9" max="9" width="15.42578125" bestFit="1" customWidth="1"/>
    <col min="10" max="10" width="17.140625" bestFit="1" customWidth="1"/>
    <col min="11" max="11" width="27.140625" bestFit="1" customWidth="1"/>
    <col min="12" max="12" width="20.5703125" bestFit="1" customWidth="1"/>
    <col min="13" max="13" width="15.28515625" bestFit="1" customWidth="1"/>
    <col min="14" max="14" width="15.28515625" customWidth="1"/>
    <col min="15" max="15" width="18.85546875" bestFit="1" customWidth="1"/>
    <col min="16" max="16" width="9.5703125" bestFit="1" customWidth="1"/>
    <col min="17" max="17" width="7.140625" bestFit="1" customWidth="1"/>
    <col min="18" max="18" width="8.5703125" bestFit="1" customWidth="1"/>
    <col min="19" max="19" width="13" bestFit="1" customWidth="1"/>
    <col min="20" max="20" width="7.140625" bestFit="1" customWidth="1"/>
  </cols>
  <sheetData>
    <row r="1" spans="1:20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L1" t="s">
        <v>0</v>
      </c>
      <c r="P1" s="28" t="s">
        <v>1</v>
      </c>
      <c r="Q1" s="28"/>
      <c r="R1" s="28"/>
      <c r="S1" s="29" t="s">
        <v>2</v>
      </c>
      <c r="T1" s="29"/>
    </row>
    <row r="2" spans="1:20" ht="33.950000000000003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101</v>
      </c>
      <c r="L2" s="1" t="s">
        <v>13</v>
      </c>
      <c r="M2" s="1" t="s">
        <v>127</v>
      </c>
      <c r="N2" s="1" t="s">
        <v>128</v>
      </c>
      <c r="O2" s="1" t="s">
        <v>104</v>
      </c>
      <c r="P2" s="2" t="s">
        <v>14</v>
      </c>
      <c r="Q2" s="2" t="s">
        <v>15</v>
      </c>
      <c r="R2" s="2" t="s">
        <v>16</v>
      </c>
      <c r="S2" s="3" t="s">
        <v>14</v>
      </c>
      <c r="T2" s="3" t="s">
        <v>15</v>
      </c>
    </row>
    <row r="3" spans="1:20" ht="18" customHeight="1" x14ac:dyDescent="0.25">
      <c r="A3" s="11" t="s">
        <v>95</v>
      </c>
      <c r="B3" s="12" t="s">
        <v>96</v>
      </c>
      <c r="C3" s="4" t="s">
        <v>17</v>
      </c>
      <c r="D3" s="4" t="s">
        <v>21</v>
      </c>
      <c r="E3" s="4">
        <v>1</v>
      </c>
      <c r="F3" s="4" t="s">
        <v>103</v>
      </c>
      <c r="G3" s="4" t="s">
        <v>94</v>
      </c>
      <c r="H3" s="4" t="s">
        <v>91</v>
      </c>
      <c r="I3" s="4">
        <v>1</v>
      </c>
      <c r="J3" s="4" t="s">
        <v>92</v>
      </c>
      <c r="K3" s="5">
        <v>0</v>
      </c>
      <c r="L3" s="5">
        <v>5130000</v>
      </c>
      <c r="M3" s="4">
        <v>5</v>
      </c>
      <c r="N3" s="5">
        <f>L3*5%</f>
        <v>256500</v>
      </c>
      <c r="O3" s="5">
        <f>(L3+N3)*1.12</f>
        <v>6032880.0000000009</v>
      </c>
      <c r="P3" s="9">
        <v>176605</v>
      </c>
      <c r="Q3" s="7">
        <v>14.039926002303799</v>
      </c>
      <c r="R3" s="4">
        <v>1257877</v>
      </c>
      <c r="S3" s="4">
        <v>254838</v>
      </c>
      <c r="T3" s="7">
        <v>20.259373531752299</v>
      </c>
    </row>
    <row r="4" spans="1:20" x14ac:dyDescent="0.25">
      <c r="A4" s="11" t="s">
        <v>95</v>
      </c>
      <c r="B4" s="12" t="s">
        <v>96</v>
      </c>
      <c r="C4" t="s">
        <v>17</v>
      </c>
      <c r="D4" t="s">
        <v>22</v>
      </c>
      <c r="E4">
        <v>1</v>
      </c>
      <c r="F4" s="4" t="s">
        <v>103</v>
      </c>
      <c r="G4" t="s">
        <v>94</v>
      </c>
      <c r="H4" t="s">
        <v>91</v>
      </c>
      <c r="I4">
        <v>1</v>
      </c>
      <c r="J4" t="s">
        <v>92</v>
      </c>
      <c r="K4" s="5">
        <v>0</v>
      </c>
      <c r="L4" s="6">
        <v>4500000</v>
      </c>
      <c r="M4" s="4">
        <v>5</v>
      </c>
      <c r="N4" s="5">
        <f>L4*5%</f>
        <v>225000</v>
      </c>
      <c r="O4" s="5">
        <f>(L4+N4)*1.12</f>
        <v>5292000.0000000009</v>
      </c>
      <c r="P4" s="10">
        <v>231129</v>
      </c>
      <c r="Q4" s="8">
        <v>18.374531055103098</v>
      </c>
      <c r="R4">
        <v>1257877</v>
      </c>
      <c r="S4">
        <v>279950</v>
      </c>
      <c r="T4" s="8">
        <v>22.255753145975302</v>
      </c>
    </row>
    <row r="5" spans="1:20" x14ac:dyDescent="0.25">
      <c r="A5" s="11" t="s">
        <v>95</v>
      </c>
      <c r="B5" s="13" t="s">
        <v>102</v>
      </c>
      <c r="C5" t="s">
        <v>18</v>
      </c>
      <c r="D5" t="s">
        <v>23</v>
      </c>
      <c r="E5">
        <v>1</v>
      </c>
      <c r="F5" s="4" t="s">
        <v>103</v>
      </c>
      <c r="G5" t="s">
        <v>94</v>
      </c>
      <c r="H5" t="s">
        <v>91</v>
      </c>
      <c r="I5">
        <v>1</v>
      </c>
      <c r="J5" t="s">
        <v>92</v>
      </c>
      <c r="K5" s="5">
        <v>0</v>
      </c>
      <c r="L5" s="6">
        <v>4250000</v>
      </c>
      <c r="M5" s="4">
        <v>5</v>
      </c>
      <c r="N5" s="5">
        <f>L5*5%</f>
        <v>212500</v>
      </c>
      <c r="O5" s="5">
        <f>(L5+N5)*1.12</f>
        <v>4998000.0000000009</v>
      </c>
      <c r="P5" s="10">
        <v>187134</v>
      </c>
      <c r="Q5" s="8">
        <v>14.8769712777958</v>
      </c>
      <c r="R5">
        <v>1257877</v>
      </c>
      <c r="S5">
        <v>197193</v>
      </c>
      <c r="T5" s="8">
        <v>15.676652009695699</v>
      </c>
    </row>
    <row r="6" spans="1:20" x14ac:dyDescent="0.25">
      <c r="A6" s="11" t="s">
        <v>95</v>
      </c>
      <c r="B6" s="12" t="s">
        <v>96</v>
      </c>
      <c r="C6" t="s">
        <v>17</v>
      </c>
      <c r="D6" t="s">
        <v>24</v>
      </c>
      <c r="E6">
        <v>1</v>
      </c>
      <c r="F6" s="4" t="s">
        <v>103</v>
      </c>
      <c r="G6" t="s">
        <v>94</v>
      </c>
      <c r="H6" t="s">
        <v>91</v>
      </c>
      <c r="I6">
        <v>1</v>
      </c>
      <c r="J6" t="s">
        <v>92</v>
      </c>
      <c r="K6" s="5">
        <v>0</v>
      </c>
      <c r="L6" s="6">
        <v>11790000</v>
      </c>
      <c r="M6" s="4">
        <v>5</v>
      </c>
      <c r="N6" s="5">
        <f>L6*5%</f>
        <v>589500</v>
      </c>
      <c r="O6" s="5">
        <f>(L6+N6)*1.12</f>
        <v>13865040.000000002</v>
      </c>
      <c r="P6" s="10">
        <v>685794</v>
      </c>
      <c r="Q6" s="8">
        <v>54.519957038724698</v>
      </c>
      <c r="R6">
        <v>1257877</v>
      </c>
      <c r="S6">
        <v>939517</v>
      </c>
      <c r="T6" s="8">
        <v>74.690689153231901</v>
      </c>
    </row>
    <row r="7" spans="1:20" x14ac:dyDescent="0.25">
      <c r="A7" s="11" t="s">
        <v>95</v>
      </c>
      <c r="B7" s="12" t="s">
        <v>97</v>
      </c>
      <c r="C7" t="s">
        <v>17</v>
      </c>
      <c r="D7" t="s">
        <v>25</v>
      </c>
      <c r="E7">
        <v>1</v>
      </c>
      <c r="F7" s="4" t="s">
        <v>103</v>
      </c>
      <c r="G7" t="s">
        <v>94</v>
      </c>
      <c r="H7" t="s">
        <v>91</v>
      </c>
      <c r="I7">
        <v>1</v>
      </c>
      <c r="J7" t="s">
        <v>92</v>
      </c>
      <c r="K7" s="5">
        <v>0</v>
      </c>
      <c r="L7" s="6">
        <v>4500000</v>
      </c>
      <c r="M7" s="4">
        <v>5</v>
      </c>
      <c r="N7" s="5">
        <f>L7*5%</f>
        <v>225000</v>
      </c>
      <c r="O7" s="5">
        <f>(L7+N7)*1.12</f>
        <v>5292000.0000000009</v>
      </c>
      <c r="P7" s="10">
        <v>210753</v>
      </c>
      <c r="Q7" s="8">
        <v>16.7546588418422</v>
      </c>
      <c r="R7">
        <v>1257877</v>
      </c>
      <c r="S7">
        <v>338927</v>
      </c>
      <c r="T7" s="8">
        <v>26.944367374552499</v>
      </c>
    </row>
    <row r="8" spans="1:20" x14ac:dyDescent="0.25">
      <c r="A8" s="11" t="s">
        <v>95</v>
      </c>
      <c r="B8" s="12" t="s">
        <v>96</v>
      </c>
      <c r="C8" t="s">
        <v>17</v>
      </c>
      <c r="D8" t="s">
        <v>26</v>
      </c>
      <c r="E8">
        <v>1</v>
      </c>
      <c r="F8" s="4" t="s">
        <v>103</v>
      </c>
      <c r="G8" t="s">
        <v>94</v>
      </c>
      <c r="H8" t="s">
        <v>91</v>
      </c>
      <c r="I8">
        <v>1</v>
      </c>
      <c r="J8" t="s">
        <v>92</v>
      </c>
      <c r="K8" s="5">
        <v>0</v>
      </c>
      <c r="L8" s="6">
        <v>4250000</v>
      </c>
      <c r="M8" s="4">
        <v>5</v>
      </c>
      <c r="N8" s="5">
        <f>L8*5%</f>
        <v>212500</v>
      </c>
      <c r="O8" s="5">
        <f>(L8+N8)*1.12</f>
        <v>4998000.0000000009</v>
      </c>
      <c r="P8" s="10">
        <v>485334</v>
      </c>
      <c r="Q8" s="8">
        <v>38.583581701549498</v>
      </c>
      <c r="R8">
        <v>1257877</v>
      </c>
      <c r="S8">
        <v>459431</v>
      </c>
      <c r="T8" s="8">
        <v>36.5243183554512</v>
      </c>
    </row>
    <row r="9" spans="1:20" x14ac:dyDescent="0.25">
      <c r="A9" s="11" t="s">
        <v>95</v>
      </c>
      <c r="B9" s="13" t="s">
        <v>102</v>
      </c>
      <c r="C9" t="s">
        <v>18</v>
      </c>
      <c r="D9" t="s">
        <v>27</v>
      </c>
      <c r="E9">
        <v>1</v>
      </c>
      <c r="F9" s="4" t="s">
        <v>103</v>
      </c>
      <c r="G9" t="s">
        <v>94</v>
      </c>
      <c r="H9" t="s">
        <v>91</v>
      </c>
      <c r="I9">
        <v>1</v>
      </c>
      <c r="J9" t="s">
        <v>92</v>
      </c>
      <c r="K9" s="5">
        <v>0</v>
      </c>
      <c r="L9" s="6">
        <v>9775000</v>
      </c>
      <c r="M9" s="4">
        <v>5</v>
      </c>
      <c r="N9" s="5">
        <f>L9*5%</f>
        <v>488750</v>
      </c>
      <c r="O9" s="5">
        <f>(L9+N9)*1.12</f>
        <v>11495400.000000002</v>
      </c>
      <c r="P9" s="10">
        <v>320151</v>
      </c>
      <c r="Q9" s="8">
        <v>25.4516936075625</v>
      </c>
      <c r="R9">
        <v>1257877</v>
      </c>
      <c r="S9">
        <v>332143</v>
      </c>
      <c r="T9" s="8">
        <v>26.405045962363499</v>
      </c>
    </row>
    <row r="10" spans="1:20" x14ac:dyDescent="0.25">
      <c r="A10" s="11" t="s">
        <v>95</v>
      </c>
      <c r="B10" s="14" t="s">
        <v>96</v>
      </c>
      <c r="C10" t="s">
        <v>17</v>
      </c>
      <c r="D10" t="s">
        <v>28</v>
      </c>
      <c r="E10">
        <v>1</v>
      </c>
      <c r="F10" s="4" t="s">
        <v>103</v>
      </c>
      <c r="G10" t="s">
        <v>94</v>
      </c>
      <c r="H10" t="s">
        <v>91</v>
      </c>
      <c r="I10">
        <v>1</v>
      </c>
      <c r="J10" t="s">
        <v>92</v>
      </c>
      <c r="K10" s="5">
        <v>0</v>
      </c>
      <c r="L10" s="6">
        <v>4500000</v>
      </c>
      <c r="M10" s="4">
        <v>5</v>
      </c>
      <c r="N10" s="5">
        <f>L10*5%</f>
        <v>225000</v>
      </c>
      <c r="O10" s="5">
        <f>(L10+N10)*1.12</f>
        <v>5292000.0000000009</v>
      </c>
      <c r="P10" s="10">
        <v>229802</v>
      </c>
      <c r="Q10" s="8">
        <v>18.269035843727099</v>
      </c>
      <c r="R10">
        <v>1257877</v>
      </c>
      <c r="S10">
        <v>285159</v>
      </c>
      <c r="T10" s="8">
        <v>22.669863587616199</v>
      </c>
    </row>
    <row r="11" spans="1:20" x14ac:dyDescent="0.25">
      <c r="A11" s="11" t="s">
        <v>95</v>
      </c>
      <c r="B11" s="13" t="s">
        <v>102</v>
      </c>
      <c r="C11" t="s">
        <v>18</v>
      </c>
      <c r="D11" t="s">
        <v>29</v>
      </c>
      <c r="E11">
        <v>1</v>
      </c>
      <c r="F11" s="4" t="s">
        <v>103</v>
      </c>
      <c r="G11" t="s">
        <v>94</v>
      </c>
      <c r="H11" t="s">
        <v>91</v>
      </c>
      <c r="I11">
        <v>1</v>
      </c>
      <c r="J11" t="s">
        <v>92</v>
      </c>
      <c r="K11" s="5">
        <v>0</v>
      </c>
      <c r="L11" s="6">
        <v>6750000</v>
      </c>
      <c r="M11" s="4">
        <v>5</v>
      </c>
      <c r="N11" s="5">
        <f>L11*5%</f>
        <v>337500</v>
      </c>
      <c r="O11" s="5">
        <f>(L11+N11)*1.12</f>
        <v>7938000.0000000009</v>
      </c>
      <c r="P11" s="10">
        <v>572069</v>
      </c>
      <c r="Q11" s="8">
        <v>45.478929974870297</v>
      </c>
      <c r="R11">
        <v>1257877</v>
      </c>
      <c r="S11">
        <v>621698</v>
      </c>
      <c r="T11" s="8">
        <v>49.424387281109297</v>
      </c>
    </row>
    <row r="12" spans="1:20" x14ac:dyDescent="0.25">
      <c r="A12" s="11" t="s">
        <v>95</v>
      </c>
      <c r="B12" s="12" t="s">
        <v>96</v>
      </c>
      <c r="C12" t="s">
        <v>17</v>
      </c>
      <c r="D12" t="s">
        <v>30</v>
      </c>
      <c r="E12">
        <v>1</v>
      </c>
      <c r="F12" s="4" t="s">
        <v>103</v>
      </c>
      <c r="G12" t="s">
        <v>94</v>
      </c>
      <c r="H12" t="s">
        <v>91</v>
      </c>
      <c r="I12">
        <v>1</v>
      </c>
      <c r="J12" t="s">
        <v>92</v>
      </c>
      <c r="K12" s="5">
        <v>0</v>
      </c>
      <c r="L12" s="6">
        <v>7650000</v>
      </c>
      <c r="M12" s="4">
        <v>5</v>
      </c>
      <c r="N12" s="5">
        <f>L12*5%</f>
        <v>382500</v>
      </c>
      <c r="O12" s="5">
        <f>(L12+N12)*1.12</f>
        <v>8996400</v>
      </c>
      <c r="P12" s="10">
        <v>329470</v>
      </c>
      <c r="Q12" s="8">
        <v>26.192545058062102</v>
      </c>
      <c r="R12">
        <v>1257877</v>
      </c>
      <c r="S12">
        <v>339825</v>
      </c>
      <c r="T12" s="8">
        <v>27.015757502522099</v>
      </c>
    </row>
    <row r="13" spans="1:20" x14ac:dyDescent="0.25">
      <c r="A13" s="11" t="s">
        <v>95</v>
      </c>
      <c r="B13" s="12" t="s">
        <v>96</v>
      </c>
      <c r="C13" t="s">
        <v>17</v>
      </c>
      <c r="D13" t="s">
        <v>31</v>
      </c>
      <c r="E13">
        <v>1</v>
      </c>
      <c r="F13" s="4" t="s">
        <v>103</v>
      </c>
      <c r="G13" t="s">
        <v>94</v>
      </c>
      <c r="H13" t="s">
        <v>91</v>
      </c>
      <c r="I13">
        <v>1</v>
      </c>
      <c r="J13" t="s">
        <v>92</v>
      </c>
      <c r="K13" s="5">
        <v>0</v>
      </c>
      <c r="L13" s="6">
        <v>4050000</v>
      </c>
      <c r="M13" s="4">
        <v>5</v>
      </c>
      <c r="N13" s="5">
        <f>L13*5%</f>
        <v>202500</v>
      </c>
      <c r="O13" s="5">
        <f>(L13+N13)*1.12</f>
        <v>4762800</v>
      </c>
      <c r="P13" s="10">
        <v>127315</v>
      </c>
      <c r="Q13" s="8">
        <v>10.121418866868501</v>
      </c>
      <c r="R13">
        <v>1257877</v>
      </c>
      <c r="S13">
        <v>172194</v>
      </c>
      <c r="T13" s="8">
        <v>13.6892557857405</v>
      </c>
    </row>
    <row r="14" spans="1:20" x14ac:dyDescent="0.25">
      <c r="A14" s="11" t="s">
        <v>95</v>
      </c>
      <c r="B14" s="12" t="s">
        <v>96</v>
      </c>
      <c r="C14" t="s">
        <v>17</v>
      </c>
      <c r="D14" t="s">
        <v>32</v>
      </c>
      <c r="E14">
        <v>1</v>
      </c>
      <c r="F14" s="4" t="s">
        <v>103</v>
      </c>
      <c r="G14" t="s">
        <v>94</v>
      </c>
      <c r="H14" t="s">
        <v>91</v>
      </c>
      <c r="I14">
        <v>1</v>
      </c>
      <c r="J14" t="s">
        <v>92</v>
      </c>
      <c r="K14" s="5">
        <v>0</v>
      </c>
      <c r="L14" s="6">
        <v>4250000</v>
      </c>
      <c r="M14" s="4">
        <v>5</v>
      </c>
      <c r="N14" s="5">
        <f>L14*5%</f>
        <v>212500</v>
      </c>
      <c r="O14" s="5">
        <f>(L14+N14)*1.12</f>
        <v>4998000.0000000009</v>
      </c>
      <c r="P14" s="10">
        <v>183135</v>
      </c>
      <c r="Q14" s="8">
        <v>14.5590546611473</v>
      </c>
      <c r="R14">
        <v>1257877</v>
      </c>
      <c r="S14">
        <v>194412</v>
      </c>
      <c r="T14" s="8">
        <v>15.455565210270899</v>
      </c>
    </row>
    <row r="15" spans="1:20" x14ac:dyDescent="0.25">
      <c r="A15" s="11" t="s">
        <v>95</v>
      </c>
      <c r="B15" s="12" t="s">
        <v>96</v>
      </c>
      <c r="C15" t="s">
        <v>17</v>
      </c>
      <c r="D15" t="s">
        <v>33</v>
      </c>
      <c r="E15">
        <v>1</v>
      </c>
      <c r="F15" s="4" t="s">
        <v>103</v>
      </c>
      <c r="G15" t="s">
        <v>94</v>
      </c>
      <c r="H15" t="s">
        <v>91</v>
      </c>
      <c r="I15">
        <v>1</v>
      </c>
      <c r="J15" t="s">
        <v>92</v>
      </c>
      <c r="K15" s="5">
        <v>0</v>
      </c>
      <c r="L15" s="6">
        <v>4050000</v>
      </c>
      <c r="M15" s="4">
        <v>5</v>
      </c>
      <c r="N15" s="5">
        <f>L15*5%</f>
        <v>202500</v>
      </c>
      <c r="O15" s="5">
        <f>(L15+N15)*1.12</f>
        <v>4762800</v>
      </c>
      <c r="P15" s="10">
        <v>300174</v>
      </c>
      <c r="Q15" s="8">
        <v>23.863541506840399</v>
      </c>
      <c r="R15">
        <v>1257877</v>
      </c>
      <c r="S15">
        <v>321801</v>
      </c>
      <c r="T15" s="8">
        <v>25.5828670052795</v>
      </c>
    </row>
    <row r="16" spans="1:20" x14ac:dyDescent="0.25">
      <c r="A16" s="11" t="s">
        <v>95</v>
      </c>
      <c r="B16" s="12" t="s">
        <v>96</v>
      </c>
      <c r="C16" t="s">
        <v>17</v>
      </c>
      <c r="D16" t="s">
        <v>34</v>
      </c>
      <c r="E16">
        <v>1</v>
      </c>
      <c r="F16" s="4" t="s">
        <v>103</v>
      </c>
      <c r="G16" t="s">
        <v>94</v>
      </c>
      <c r="H16" t="s">
        <v>91</v>
      </c>
      <c r="I16">
        <v>1</v>
      </c>
      <c r="J16" t="s">
        <v>92</v>
      </c>
      <c r="K16" s="5">
        <v>0</v>
      </c>
      <c r="L16" s="6">
        <v>4250000</v>
      </c>
      <c r="M16" s="4">
        <v>5</v>
      </c>
      <c r="N16" s="5">
        <f>L16*5%</f>
        <v>212500</v>
      </c>
      <c r="O16" s="5">
        <f>(L16+N16)*1.12</f>
        <v>4998000.0000000009</v>
      </c>
      <c r="P16" s="10">
        <v>133444</v>
      </c>
      <c r="Q16" s="8">
        <v>10.6086684151153</v>
      </c>
      <c r="R16">
        <v>1257877</v>
      </c>
      <c r="S16">
        <v>167886</v>
      </c>
      <c r="T16" s="8">
        <v>13.346773969155899</v>
      </c>
    </row>
    <row r="17" spans="1:20" x14ac:dyDescent="0.25">
      <c r="A17" s="11" t="s">
        <v>95</v>
      </c>
      <c r="B17" s="12" t="s">
        <v>96</v>
      </c>
      <c r="C17" t="s">
        <v>17</v>
      </c>
      <c r="D17" t="s">
        <v>35</v>
      </c>
      <c r="E17">
        <v>1</v>
      </c>
      <c r="F17" s="4" t="s">
        <v>103</v>
      </c>
      <c r="G17" t="s">
        <v>94</v>
      </c>
      <c r="H17" t="s">
        <v>91</v>
      </c>
      <c r="I17">
        <v>1</v>
      </c>
      <c r="J17" t="s">
        <v>92</v>
      </c>
      <c r="K17" s="5">
        <v>0</v>
      </c>
      <c r="L17" s="6">
        <v>5130000</v>
      </c>
      <c r="M17" s="4">
        <v>5</v>
      </c>
      <c r="N17" s="5">
        <f>L17*5%</f>
        <v>256500</v>
      </c>
      <c r="O17" s="5">
        <f>(L17+N17)*1.12</f>
        <v>6032880.0000000009</v>
      </c>
      <c r="P17" s="10">
        <v>880733</v>
      </c>
      <c r="Q17" s="8">
        <v>70.0174182372362</v>
      </c>
      <c r="R17">
        <v>1257877</v>
      </c>
      <c r="S17">
        <v>905535</v>
      </c>
      <c r="T17" s="8">
        <v>71.989153152494197</v>
      </c>
    </row>
    <row r="18" spans="1:20" x14ac:dyDescent="0.25">
      <c r="A18" s="11" t="s">
        <v>95</v>
      </c>
      <c r="B18" s="12" t="s">
        <v>96</v>
      </c>
      <c r="C18" t="s">
        <v>17</v>
      </c>
      <c r="D18" t="s">
        <v>36</v>
      </c>
      <c r="E18">
        <v>1</v>
      </c>
      <c r="F18" s="4" t="s">
        <v>103</v>
      </c>
      <c r="G18" t="s">
        <v>94</v>
      </c>
      <c r="H18" t="s">
        <v>91</v>
      </c>
      <c r="I18">
        <v>1</v>
      </c>
      <c r="J18" t="s">
        <v>92</v>
      </c>
      <c r="K18" s="5">
        <v>0</v>
      </c>
      <c r="L18" s="6">
        <v>4250000</v>
      </c>
      <c r="M18" s="4">
        <v>5</v>
      </c>
      <c r="N18" s="5">
        <f>L18*5%</f>
        <v>212500</v>
      </c>
      <c r="O18" s="5">
        <f>(L18+N18)*1.12</f>
        <v>4998000.0000000009</v>
      </c>
      <c r="P18" s="10">
        <v>406142</v>
      </c>
      <c r="Q18" s="8">
        <v>32.287894603367398</v>
      </c>
      <c r="R18">
        <v>1257877</v>
      </c>
      <c r="S18">
        <v>350440</v>
      </c>
      <c r="T18" s="8">
        <v>27.859639694501102</v>
      </c>
    </row>
    <row r="19" spans="1:20" x14ac:dyDescent="0.25">
      <c r="A19" s="11" t="s">
        <v>95</v>
      </c>
      <c r="B19" s="12" t="s">
        <v>96</v>
      </c>
      <c r="C19" t="s">
        <v>17</v>
      </c>
      <c r="D19" t="s">
        <v>37</v>
      </c>
      <c r="E19">
        <v>1</v>
      </c>
      <c r="F19" s="4" t="s">
        <v>103</v>
      </c>
      <c r="G19" t="s">
        <v>94</v>
      </c>
      <c r="H19" t="s">
        <v>91</v>
      </c>
      <c r="I19">
        <v>1</v>
      </c>
      <c r="J19" t="s">
        <v>92</v>
      </c>
      <c r="K19" s="5">
        <v>0</v>
      </c>
      <c r="L19" s="6">
        <v>4675000</v>
      </c>
      <c r="M19" s="4">
        <v>5</v>
      </c>
      <c r="N19" s="5">
        <f>L19*5%</f>
        <v>233750</v>
      </c>
      <c r="O19" s="5">
        <f>(L19+N19)*1.12</f>
        <v>5497800.0000000009</v>
      </c>
      <c r="P19" s="10">
        <v>450013</v>
      </c>
      <c r="Q19" s="8">
        <v>35.7755965010887</v>
      </c>
      <c r="R19">
        <v>1257877</v>
      </c>
      <c r="S19">
        <v>317199</v>
      </c>
      <c r="T19" s="8">
        <v>25.2170124741926</v>
      </c>
    </row>
    <row r="20" spans="1:20" x14ac:dyDescent="0.25">
      <c r="A20" s="11" t="s">
        <v>95</v>
      </c>
      <c r="B20" s="15" t="s">
        <v>96</v>
      </c>
      <c r="C20" t="s">
        <v>17</v>
      </c>
      <c r="D20" t="s">
        <v>38</v>
      </c>
      <c r="E20">
        <v>1</v>
      </c>
      <c r="F20" s="4" t="s">
        <v>103</v>
      </c>
      <c r="G20" t="s">
        <v>94</v>
      </c>
      <c r="H20" t="s">
        <v>91</v>
      </c>
      <c r="I20">
        <v>1</v>
      </c>
      <c r="J20" t="s">
        <v>92</v>
      </c>
      <c r="K20" s="5">
        <v>0</v>
      </c>
      <c r="L20" s="6">
        <v>5130000</v>
      </c>
      <c r="M20" s="4">
        <v>5</v>
      </c>
      <c r="N20" s="5">
        <f>L20*5%</f>
        <v>256500</v>
      </c>
      <c r="O20" s="5">
        <f>(L20+N20)*1.12</f>
        <v>6032880.0000000009</v>
      </c>
      <c r="P20" s="10">
        <v>73833</v>
      </c>
      <c r="Q20" s="8">
        <v>5.8696518022032302</v>
      </c>
      <c r="R20">
        <v>1257877</v>
      </c>
      <c r="S20">
        <v>90355</v>
      </c>
      <c r="T20" s="8">
        <v>7.1831347580089302</v>
      </c>
    </row>
    <row r="21" spans="1:20" x14ac:dyDescent="0.25">
      <c r="A21" s="11" t="s">
        <v>95</v>
      </c>
      <c r="B21" s="12" t="s">
        <v>96</v>
      </c>
      <c r="C21" t="s">
        <v>17</v>
      </c>
      <c r="D21" t="s">
        <v>39</v>
      </c>
      <c r="E21">
        <v>1</v>
      </c>
      <c r="F21" s="4" t="s">
        <v>103</v>
      </c>
      <c r="G21" t="s">
        <v>94</v>
      </c>
      <c r="H21" t="s">
        <v>91</v>
      </c>
      <c r="I21">
        <v>1</v>
      </c>
      <c r="J21" t="s">
        <v>92</v>
      </c>
      <c r="K21" s="5">
        <v>0</v>
      </c>
      <c r="L21" s="6">
        <v>5130000</v>
      </c>
      <c r="M21" s="4">
        <v>5</v>
      </c>
      <c r="N21" s="5">
        <f>L21*5%</f>
        <v>256500</v>
      </c>
      <c r="O21" s="5">
        <f>(L21+N21)*1.12</f>
        <v>6032880.0000000009</v>
      </c>
      <c r="P21" s="10">
        <v>226813</v>
      </c>
      <c r="Q21" s="8">
        <v>18.031413246287102</v>
      </c>
      <c r="R21">
        <v>1257877</v>
      </c>
      <c r="S21">
        <v>226824</v>
      </c>
      <c r="T21" s="8">
        <v>18.032287735605301</v>
      </c>
    </row>
    <row r="22" spans="1:20" x14ac:dyDescent="0.25">
      <c r="A22" s="11" t="s">
        <v>95</v>
      </c>
      <c r="B22" s="12" t="s">
        <v>96</v>
      </c>
      <c r="C22" t="s">
        <v>17</v>
      </c>
      <c r="D22" t="s">
        <v>40</v>
      </c>
      <c r="E22">
        <v>1</v>
      </c>
      <c r="F22" s="4" t="s">
        <v>103</v>
      </c>
      <c r="G22" t="s">
        <v>94</v>
      </c>
      <c r="H22" t="s">
        <v>91</v>
      </c>
      <c r="I22">
        <v>1</v>
      </c>
      <c r="J22" t="s">
        <v>92</v>
      </c>
      <c r="K22" s="5">
        <v>0</v>
      </c>
      <c r="L22" s="6">
        <v>4250000</v>
      </c>
      <c r="M22" s="4">
        <v>5</v>
      </c>
      <c r="N22" s="5">
        <f>L22*5%</f>
        <v>212500</v>
      </c>
      <c r="O22" s="5">
        <f>(L22+N22)*1.12</f>
        <v>4998000.0000000009</v>
      </c>
      <c r="P22" s="10">
        <v>316493</v>
      </c>
      <c r="Q22" s="8">
        <v>25.160886159775501</v>
      </c>
      <c r="R22">
        <v>1257877</v>
      </c>
      <c r="S22">
        <v>335686</v>
      </c>
      <c r="T22" s="8">
        <v>26.686711021824799</v>
      </c>
    </row>
    <row r="23" spans="1:20" x14ac:dyDescent="0.25">
      <c r="A23" s="11" t="s">
        <v>95</v>
      </c>
      <c r="B23" s="12" t="s">
        <v>96</v>
      </c>
      <c r="C23" t="s">
        <v>17</v>
      </c>
      <c r="D23" t="s">
        <v>41</v>
      </c>
      <c r="E23">
        <v>1</v>
      </c>
      <c r="F23" s="4" t="s">
        <v>103</v>
      </c>
      <c r="G23" t="s">
        <v>94</v>
      </c>
      <c r="H23" t="s">
        <v>91</v>
      </c>
      <c r="I23">
        <v>1</v>
      </c>
      <c r="J23" t="s">
        <v>92</v>
      </c>
      <c r="K23" s="5">
        <v>0</v>
      </c>
      <c r="L23" s="6">
        <v>5130000</v>
      </c>
      <c r="M23" s="4">
        <v>5</v>
      </c>
      <c r="N23" s="5">
        <f>L23*5%</f>
        <v>256500</v>
      </c>
      <c r="O23" s="5">
        <f>(L23+N23)*1.12</f>
        <v>6032880.0000000009</v>
      </c>
      <c r="P23" s="10">
        <v>453393</v>
      </c>
      <c r="Q23" s="8">
        <v>36.044303218836099</v>
      </c>
      <c r="R23">
        <v>1257877</v>
      </c>
      <c r="S23">
        <v>570619</v>
      </c>
      <c r="T23" s="8">
        <v>45.363656382937201</v>
      </c>
    </row>
    <row r="24" spans="1:20" x14ac:dyDescent="0.25">
      <c r="A24" s="11" t="s">
        <v>95</v>
      </c>
      <c r="B24" s="12" t="s">
        <v>96</v>
      </c>
      <c r="C24" t="s">
        <v>17</v>
      </c>
      <c r="D24" t="s">
        <v>42</v>
      </c>
      <c r="E24">
        <v>1</v>
      </c>
      <c r="F24" s="4" t="s">
        <v>103</v>
      </c>
      <c r="G24" t="s">
        <v>94</v>
      </c>
      <c r="H24" t="s">
        <v>91</v>
      </c>
      <c r="I24">
        <v>1</v>
      </c>
      <c r="J24" t="s">
        <v>92</v>
      </c>
      <c r="K24" s="5">
        <v>0</v>
      </c>
      <c r="L24" s="6">
        <v>4250000</v>
      </c>
      <c r="M24" s="4">
        <v>5</v>
      </c>
      <c r="N24" s="5">
        <f>L24*5%</f>
        <v>212500</v>
      </c>
      <c r="O24" s="5">
        <f>(L24+N24)*1.12</f>
        <v>4998000.0000000009</v>
      </c>
      <c r="P24" s="10">
        <v>572591</v>
      </c>
      <c r="Q24" s="8">
        <v>45.520428467966198</v>
      </c>
      <c r="R24">
        <v>1257877</v>
      </c>
      <c r="S24">
        <v>387379</v>
      </c>
      <c r="T24" s="8">
        <v>30.796254323753399</v>
      </c>
    </row>
    <row r="25" spans="1:20" x14ac:dyDescent="0.25">
      <c r="A25" s="11" t="s">
        <v>95</v>
      </c>
      <c r="B25" s="12" t="s">
        <v>96</v>
      </c>
      <c r="C25" t="s">
        <v>17</v>
      </c>
      <c r="D25" t="s">
        <v>43</v>
      </c>
      <c r="E25">
        <v>1</v>
      </c>
      <c r="F25" s="4" t="s">
        <v>103</v>
      </c>
      <c r="G25" t="s">
        <v>94</v>
      </c>
      <c r="H25" t="s">
        <v>91</v>
      </c>
      <c r="I25">
        <v>1</v>
      </c>
      <c r="J25" t="s">
        <v>92</v>
      </c>
      <c r="K25" s="5">
        <v>0</v>
      </c>
      <c r="L25" s="6">
        <v>11880000</v>
      </c>
      <c r="M25" s="4">
        <v>5</v>
      </c>
      <c r="N25" s="5">
        <f>L25*5%</f>
        <v>594000</v>
      </c>
      <c r="O25" s="5">
        <f>(L25+N25)*1.12</f>
        <v>13970880.000000002</v>
      </c>
      <c r="P25" s="10">
        <v>655206</v>
      </c>
      <c r="Q25" s="8">
        <v>52.088240742139298</v>
      </c>
      <c r="R25">
        <v>1257877</v>
      </c>
      <c r="S25">
        <v>941601</v>
      </c>
      <c r="T25" s="8">
        <v>74.856365129499906</v>
      </c>
    </row>
    <row r="26" spans="1:20" x14ac:dyDescent="0.25">
      <c r="A26" s="11" t="s">
        <v>95</v>
      </c>
      <c r="B26" s="12" t="s">
        <v>96</v>
      </c>
      <c r="C26" t="s">
        <v>17</v>
      </c>
      <c r="D26" t="s">
        <v>44</v>
      </c>
      <c r="E26">
        <v>1</v>
      </c>
      <c r="F26" s="4" t="s">
        <v>103</v>
      </c>
      <c r="G26" t="s">
        <v>94</v>
      </c>
      <c r="H26" t="s">
        <v>91</v>
      </c>
      <c r="I26">
        <v>1</v>
      </c>
      <c r="J26" t="s">
        <v>92</v>
      </c>
      <c r="K26" s="5">
        <v>0</v>
      </c>
      <c r="L26" s="6">
        <v>4500000</v>
      </c>
      <c r="M26" s="4">
        <v>5</v>
      </c>
      <c r="N26" s="5">
        <f>L26*5%</f>
        <v>225000</v>
      </c>
      <c r="O26" s="5">
        <f>(L26+N26)*1.12</f>
        <v>5292000.0000000009</v>
      </c>
      <c r="P26" s="10">
        <v>885693</v>
      </c>
      <c r="Q26" s="8">
        <v>70.4117334206762</v>
      </c>
      <c r="R26">
        <v>1257877</v>
      </c>
      <c r="S26">
        <v>1174638</v>
      </c>
      <c r="T26" s="8">
        <v>93.382580331781199</v>
      </c>
    </row>
    <row r="27" spans="1:20" x14ac:dyDescent="0.25">
      <c r="A27" s="11" t="s">
        <v>95</v>
      </c>
      <c r="B27" s="16" t="s">
        <v>102</v>
      </c>
      <c r="C27" t="s">
        <v>18</v>
      </c>
      <c r="D27" t="s">
        <v>45</v>
      </c>
      <c r="E27">
        <v>1</v>
      </c>
      <c r="F27" s="4" t="s">
        <v>103</v>
      </c>
      <c r="G27" t="s">
        <v>94</v>
      </c>
      <c r="H27" t="s">
        <v>91</v>
      </c>
      <c r="I27">
        <v>1</v>
      </c>
      <c r="J27" t="s">
        <v>92</v>
      </c>
      <c r="K27" s="5">
        <v>0</v>
      </c>
      <c r="L27" s="6">
        <v>4250000</v>
      </c>
      <c r="M27" s="4">
        <v>5</v>
      </c>
      <c r="N27" s="5">
        <f>L27*5%</f>
        <v>212500</v>
      </c>
      <c r="O27" s="5">
        <f>(L27+N27)*1.12</f>
        <v>4998000.0000000009</v>
      </c>
      <c r="P27" s="10">
        <v>425907</v>
      </c>
      <c r="Q27" s="8">
        <v>33.859192909958601</v>
      </c>
      <c r="R27">
        <v>1257877</v>
      </c>
      <c r="S27">
        <v>378947</v>
      </c>
      <c r="T27" s="8">
        <v>30.125918511905301</v>
      </c>
    </row>
    <row r="28" spans="1:20" x14ac:dyDescent="0.25">
      <c r="A28" s="11" t="s">
        <v>95</v>
      </c>
      <c r="B28" s="16" t="s">
        <v>102</v>
      </c>
      <c r="C28" t="s">
        <v>18</v>
      </c>
      <c r="D28" t="s">
        <v>46</v>
      </c>
      <c r="E28">
        <v>1</v>
      </c>
      <c r="F28" s="4" t="s">
        <v>103</v>
      </c>
      <c r="G28" t="s">
        <v>94</v>
      </c>
      <c r="H28" t="s">
        <v>91</v>
      </c>
      <c r="I28">
        <v>1</v>
      </c>
      <c r="J28" t="s">
        <v>92</v>
      </c>
      <c r="K28" s="5">
        <v>0</v>
      </c>
      <c r="L28" s="6">
        <v>5130000</v>
      </c>
      <c r="M28" s="4">
        <v>5</v>
      </c>
      <c r="N28" s="5">
        <f>L28*5%</f>
        <v>256500</v>
      </c>
      <c r="O28" s="5">
        <f>(L28+N28)*1.12</f>
        <v>6032880.0000000009</v>
      </c>
      <c r="P28" s="10">
        <v>1153911</v>
      </c>
      <c r="Q28" s="8">
        <v>91.7348039593696</v>
      </c>
      <c r="R28">
        <v>1257877</v>
      </c>
      <c r="S28">
        <v>1205726</v>
      </c>
      <c r="T28" s="8">
        <v>95.854046142826306</v>
      </c>
    </row>
    <row r="29" spans="1:20" x14ac:dyDescent="0.25">
      <c r="A29" s="11" t="s">
        <v>95</v>
      </c>
      <c r="B29" s="16" t="s">
        <v>102</v>
      </c>
      <c r="C29" t="s">
        <v>18</v>
      </c>
      <c r="D29" t="s">
        <v>47</v>
      </c>
      <c r="E29">
        <v>1</v>
      </c>
      <c r="F29" s="4" t="s">
        <v>103</v>
      </c>
      <c r="G29" t="s">
        <v>94</v>
      </c>
      <c r="H29" t="s">
        <v>91</v>
      </c>
      <c r="I29">
        <v>1</v>
      </c>
      <c r="J29" t="s">
        <v>92</v>
      </c>
      <c r="K29" s="5">
        <v>0</v>
      </c>
      <c r="L29" s="6">
        <v>9775000</v>
      </c>
      <c r="M29" s="4">
        <v>5</v>
      </c>
      <c r="N29" s="5">
        <f>L29*5%</f>
        <v>488750</v>
      </c>
      <c r="O29" s="5">
        <f>(L29+N29)*1.12</f>
        <v>11495400.000000002</v>
      </c>
      <c r="P29" s="10">
        <v>370429</v>
      </c>
      <c r="Q29" s="8">
        <v>29.4487457835702</v>
      </c>
      <c r="R29">
        <v>1257877</v>
      </c>
      <c r="S29">
        <v>411061</v>
      </c>
      <c r="T29" s="8">
        <v>32.678950326621703</v>
      </c>
    </row>
    <row r="30" spans="1:20" x14ac:dyDescent="0.25">
      <c r="A30" s="11" t="s">
        <v>95</v>
      </c>
      <c r="B30" s="17" t="s">
        <v>96</v>
      </c>
      <c r="C30" t="s">
        <v>17</v>
      </c>
      <c r="D30" t="s">
        <v>48</v>
      </c>
      <c r="E30">
        <v>1</v>
      </c>
      <c r="F30" s="4" t="s">
        <v>103</v>
      </c>
      <c r="G30" t="s">
        <v>94</v>
      </c>
      <c r="H30" t="s">
        <v>91</v>
      </c>
      <c r="I30">
        <v>1</v>
      </c>
      <c r="J30" t="s">
        <v>92</v>
      </c>
      <c r="K30" s="5">
        <v>0</v>
      </c>
      <c r="L30" s="6">
        <v>5100000</v>
      </c>
      <c r="M30" s="4">
        <v>5</v>
      </c>
      <c r="N30" s="5">
        <f>L30*5%</f>
        <v>255000</v>
      </c>
      <c r="O30" s="5">
        <f>(L30+N30)*1.12</f>
        <v>5997600.0000000009</v>
      </c>
      <c r="P30" s="10">
        <v>383701</v>
      </c>
      <c r="Q30" s="8">
        <v>30.503856895388001</v>
      </c>
      <c r="R30">
        <v>1257877</v>
      </c>
      <c r="S30">
        <v>374518</v>
      </c>
      <c r="T30" s="8">
        <v>29.7738173128215</v>
      </c>
    </row>
    <row r="31" spans="1:20" x14ac:dyDescent="0.25">
      <c r="A31" s="11" t="s">
        <v>95</v>
      </c>
      <c r="B31" s="18" t="s">
        <v>96</v>
      </c>
      <c r="C31" t="s">
        <v>18</v>
      </c>
      <c r="D31" t="s">
        <v>49</v>
      </c>
      <c r="E31">
        <v>1</v>
      </c>
      <c r="F31" s="4" t="s">
        <v>103</v>
      </c>
      <c r="G31" t="s">
        <v>94</v>
      </c>
      <c r="H31" t="s">
        <v>91</v>
      </c>
      <c r="I31">
        <v>1</v>
      </c>
      <c r="J31" t="s">
        <v>92</v>
      </c>
      <c r="K31" s="5">
        <v>0</v>
      </c>
      <c r="L31" s="6">
        <v>4500000</v>
      </c>
      <c r="M31" s="4">
        <v>5</v>
      </c>
      <c r="N31" s="5">
        <f>L31*5%</f>
        <v>225000</v>
      </c>
      <c r="O31" s="5">
        <f>(L31+N31)*1.12</f>
        <v>5292000.0000000009</v>
      </c>
      <c r="P31" s="10">
        <v>417623</v>
      </c>
      <c r="Q31" s="8">
        <v>33.200622954390603</v>
      </c>
      <c r="R31">
        <v>1257877</v>
      </c>
      <c r="S31">
        <v>396458</v>
      </c>
      <c r="T31" s="8">
        <v>31.518026007312301</v>
      </c>
    </row>
    <row r="32" spans="1:20" x14ac:dyDescent="0.25">
      <c r="A32" s="11" t="s">
        <v>95</v>
      </c>
      <c r="B32" s="19" t="s">
        <v>96</v>
      </c>
      <c r="C32" t="s">
        <v>18</v>
      </c>
      <c r="D32" t="s">
        <v>50</v>
      </c>
      <c r="E32">
        <v>1</v>
      </c>
      <c r="F32" s="4" t="s">
        <v>103</v>
      </c>
      <c r="G32" t="s">
        <v>94</v>
      </c>
      <c r="H32" t="s">
        <v>91</v>
      </c>
      <c r="I32">
        <v>1</v>
      </c>
      <c r="J32" t="s">
        <v>92</v>
      </c>
      <c r="K32" s="5">
        <v>0</v>
      </c>
      <c r="L32" s="6">
        <v>4050000</v>
      </c>
      <c r="M32" s="4">
        <v>5</v>
      </c>
      <c r="N32" s="5">
        <f>L32*5%</f>
        <v>202500</v>
      </c>
      <c r="O32" s="5">
        <f>(L32+N32)*1.12</f>
        <v>4762800</v>
      </c>
      <c r="P32" s="10">
        <v>184407</v>
      </c>
      <c r="Q32" s="8">
        <v>14.6601774259327</v>
      </c>
      <c r="R32">
        <v>1257877</v>
      </c>
      <c r="S32">
        <v>227168</v>
      </c>
      <c r="T32" s="8">
        <v>18.0596354015535</v>
      </c>
    </row>
    <row r="33" spans="1:20" x14ac:dyDescent="0.25">
      <c r="A33" s="11" t="s">
        <v>95</v>
      </c>
      <c r="B33" s="20" t="s">
        <v>96</v>
      </c>
      <c r="C33" t="s">
        <v>18</v>
      </c>
      <c r="D33" t="s">
        <v>51</v>
      </c>
      <c r="E33">
        <v>1</v>
      </c>
      <c r="F33" s="4" t="s">
        <v>103</v>
      </c>
      <c r="G33" t="s">
        <v>94</v>
      </c>
      <c r="H33" t="s">
        <v>91</v>
      </c>
      <c r="I33">
        <v>1</v>
      </c>
      <c r="J33" t="s">
        <v>92</v>
      </c>
      <c r="K33" s="5">
        <v>0</v>
      </c>
      <c r="L33" s="6">
        <v>13500000</v>
      </c>
      <c r="M33" s="4">
        <v>5</v>
      </c>
      <c r="N33" s="5">
        <f>L33*5%</f>
        <v>675000</v>
      </c>
      <c r="O33" s="5">
        <f>(L33+N33)*1.12</f>
        <v>15876000.000000002</v>
      </c>
      <c r="P33" s="10">
        <v>945666</v>
      </c>
      <c r="Q33" s="8">
        <v>75.179528682057096</v>
      </c>
      <c r="R33">
        <v>1257877</v>
      </c>
      <c r="S33">
        <v>1468092</v>
      </c>
      <c r="T33" s="8">
        <v>116.711888364283</v>
      </c>
    </row>
    <row r="34" spans="1:20" x14ac:dyDescent="0.25">
      <c r="A34" s="11" t="s">
        <v>95</v>
      </c>
      <c r="B34" s="16" t="s">
        <v>102</v>
      </c>
      <c r="C34" t="s">
        <v>17</v>
      </c>
      <c r="D34" t="s">
        <v>52</v>
      </c>
      <c r="E34">
        <v>1</v>
      </c>
      <c r="F34" s="4" t="s">
        <v>103</v>
      </c>
      <c r="G34" t="s">
        <v>94</v>
      </c>
      <c r="H34" t="s">
        <v>91</v>
      </c>
      <c r="I34">
        <v>1</v>
      </c>
      <c r="J34" t="s">
        <v>92</v>
      </c>
      <c r="K34" s="5">
        <v>0</v>
      </c>
      <c r="L34" s="6">
        <v>5100000</v>
      </c>
      <c r="M34" s="4">
        <v>5</v>
      </c>
      <c r="N34" s="5">
        <f>L34*5%</f>
        <v>255000</v>
      </c>
      <c r="O34" s="5">
        <f>(L34+N34)*1.12</f>
        <v>5997600.0000000009</v>
      </c>
      <c r="P34" s="10">
        <v>271769</v>
      </c>
      <c r="Q34" s="8">
        <v>21.605371590386</v>
      </c>
      <c r="R34">
        <v>1257877</v>
      </c>
      <c r="S34">
        <v>324916</v>
      </c>
      <c r="T34" s="8">
        <v>25.830506480363301</v>
      </c>
    </row>
    <row r="35" spans="1:20" x14ac:dyDescent="0.25">
      <c r="A35" s="11" t="s">
        <v>95</v>
      </c>
      <c r="B35" s="16" t="s">
        <v>102</v>
      </c>
      <c r="C35" t="s">
        <v>18</v>
      </c>
      <c r="D35" t="s">
        <v>53</v>
      </c>
      <c r="E35">
        <v>1</v>
      </c>
      <c r="F35" s="4" t="s">
        <v>103</v>
      </c>
      <c r="G35" t="s">
        <v>94</v>
      </c>
      <c r="H35" t="s">
        <v>91</v>
      </c>
      <c r="I35">
        <v>1</v>
      </c>
      <c r="J35" t="s">
        <v>92</v>
      </c>
      <c r="K35" s="5">
        <v>0</v>
      </c>
      <c r="L35" s="6">
        <v>4250000</v>
      </c>
      <c r="M35" s="4">
        <v>5</v>
      </c>
      <c r="N35" s="5">
        <f>L35*5%</f>
        <v>212500</v>
      </c>
      <c r="O35" s="5">
        <f>(L35+N35)*1.12</f>
        <v>4998000.0000000009</v>
      </c>
      <c r="P35" s="10">
        <v>143419</v>
      </c>
      <c r="Q35" s="8">
        <v>11.401671228585901</v>
      </c>
      <c r="R35">
        <v>1257877</v>
      </c>
      <c r="S35">
        <v>144396</v>
      </c>
      <c r="T35" s="8">
        <v>11.4793417798401</v>
      </c>
    </row>
    <row r="36" spans="1:20" x14ac:dyDescent="0.25">
      <c r="A36" s="11" t="s">
        <v>95</v>
      </c>
      <c r="B36" s="21" t="s">
        <v>96</v>
      </c>
      <c r="C36" t="s">
        <v>18</v>
      </c>
      <c r="D36" t="s">
        <v>54</v>
      </c>
      <c r="E36">
        <v>1</v>
      </c>
      <c r="F36" s="4" t="s">
        <v>103</v>
      </c>
      <c r="G36" t="s">
        <v>94</v>
      </c>
      <c r="H36" t="s">
        <v>91</v>
      </c>
      <c r="I36">
        <v>1</v>
      </c>
      <c r="J36" t="s">
        <v>92</v>
      </c>
      <c r="K36" s="5">
        <v>0</v>
      </c>
      <c r="L36" s="6">
        <v>13770000</v>
      </c>
      <c r="M36" s="4">
        <v>5</v>
      </c>
      <c r="N36" s="5">
        <f>L36*5%</f>
        <v>688500</v>
      </c>
      <c r="O36" s="5">
        <f>(L36+N36)*1.12</f>
        <v>16193520.000000002</v>
      </c>
      <c r="P36" s="10">
        <v>391730</v>
      </c>
      <c r="Q36" s="8">
        <v>31.142154598581499</v>
      </c>
      <c r="R36">
        <v>1257877</v>
      </c>
      <c r="S36">
        <v>502176</v>
      </c>
      <c r="T36" s="8">
        <v>39.922504346609401</v>
      </c>
    </row>
    <row r="37" spans="1:20" x14ac:dyDescent="0.25">
      <c r="A37" s="11" t="s">
        <v>95</v>
      </c>
      <c r="B37" s="22" t="s">
        <v>96</v>
      </c>
      <c r="C37" t="s">
        <v>18</v>
      </c>
      <c r="D37" t="s">
        <v>55</v>
      </c>
      <c r="E37">
        <v>1</v>
      </c>
      <c r="F37" s="4" t="s">
        <v>103</v>
      </c>
      <c r="G37" t="s">
        <v>94</v>
      </c>
      <c r="H37" t="s">
        <v>91</v>
      </c>
      <c r="I37">
        <v>1</v>
      </c>
      <c r="J37" t="s">
        <v>92</v>
      </c>
      <c r="K37" s="5">
        <v>0</v>
      </c>
      <c r="L37" s="6">
        <v>4500000</v>
      </c>
      <c r="M37" s="4">
        <v>5</v>
      </c>
      <c r="N37" s="5">
        <f>L37*5%</f>
        <v>225000</v>
      </c>
      <c r="O37" s="5">
        <f>(L37+N37)*1.12</f>
        <v>5292000.0000000009</v>
      </c>
      <c r="P37" s="10">
        <v>216968</v>
      </c>
      <c r="Q37" s="8">
        <v>17.248745306576001</v>
      </c>
      <c r="R37">
        <v>1257877</v>
      </c>
      <c r="S37">
        <v>226581</v>
      </c>
      <c r="T37" s="8">
        <v>18.0129694715779</v>
      </c>
    </row>
    <row r="38" spans="1:20" x14ac:dyDescent="0.25">
      <c r="A38" s="11" t="s">
        <v>95</v>
      </c>
      <c r="B38" s="16" t="s">
        <v>102</v>
      </c>
      <c r="C38" t="s">
        <v>18</v>
      </c>
      <c r="D38" t="s">
        <v>56</v>
      </c>
      <c r="E38">
        <v>1</v>
      </c>
      <c r="F38" s="4" t="s">
        <v>103</v>
      </c>
      <c r="G38" t="s">
        <v>94</v>
      </c>
      <c r="H38" t="s">
        <v>91</v>
      </c>
      <c r="I38">
        <v>1</v>
      </c>
      <c r="J38" t="s">
        <v>92</v>
      </c>
      <c r="K38" s="5">
        <v>0</v>
      </c>
      <c r="L38" s="6">
        <v>4250000</v>
      </c>
      <c r="M38" s="4">
        <v>5</v>
      </c>
      <c r="N38" s="5">
        <f>L38*5%</f>
        <v>212500</v>
      </c>
      <c r="O38" s="5">
        <f>(L38+N38)*1.12</f>
        <v>4998000.0000000009</v>
      </c>
      <c r="P38" s="10">
        <v>475358</v>
      </c>
      <c r="Q38" s="8">
        <v>37.790499389049899</v>
      </c>
      <c r="R38">
        <v>1257877</v>
      </c>
      <c r="S38">
        <v>558391</v>
      </c>
      <c r="T38" s="8">
        <v>44.391542257311301</v>
      </c>
    </row>
    <row r="39" spans="1:20" x14ac:dyDescent="0.25">
      <c r="A39" s="11" t="s">
        <v>98</v>
      </c>
      <c r="B39" s="30" t="s">
        <v>96</v>
      </c>
      <c r="C39" t="s">
        <v>17</v>
      </c>
      <c r="D39" t="s">
        <v>57</v>
      </c>
      <c r="E39">
        <v>1</v>
      </c>
      <c r="F39" s="4" t="s">
        <v>103</v>
      </c>
      <c r="G39" t="s">
        <v>94</v>
      </c>
      <c r="H39" t="s">
        <v>91</v>
      </c>
      <c r="I39">
        <v>1</v>
      </c>
      <c r="J39" t="s">
        <v>92</v>
      </c>
      <c r="K39" s="5">
        <v>0</v>
      </c>
      <c r="L39" s="6">
        <v>2070000</v>
      </c>
      <c r="M39" s="4">
        <v>5</v>
      </c>
      <c r="N39" s="5">
        <f>L39*5%</f>
        <v>103500</v>
      </c>
      <c r="O39" s="5">
        <f>(L39+N39)*1.12</f>
        <v>2434320</v>
      </c>
      <c r="P39" s="10">
        <v>227016</v>
      </c>
      <c r="Q39" s="8">
        <v>18.047551549157799</v>
      </c>
      <c r="R39">
        <v>1257877</v>
      </c>
      <c r="S39">
        <v>284963</v>
      </c>
      <c r="T39" s="8">
        <v>22.654281777948</v>
      </c>
    </row>
    <row r="40" spans="1:20" x14ac:dyDescent="0.25">
      <c r="A40" s="11" t="s">
        <v>98</v>
      </c>
      <c r="B40" s="30"/>
      <c r="C40" t="s">
        <v>17</v>
      </c>
      <c r="D40" t="s">
        <v>58</v>
      </c>
      <c r="E40">
        <v>1</v>
      </c>
      <c r="F40" s="4" t="s">
        <v>103</v>
      </c>
      <c r="G40" t="s">
        <v>94</v>
      </c>
      <c r="H40" t="s">
        <v>91</v>
      </c>
      <c r="I40">
        <v>1</v>
      </c>
      <c r="J40" t="s">
        <v>92</v>
      </c>
      <c r="K40" s="5">
        <v>0</v>
      </c>
      <c r="L40" s="6">
        <v>2070000</v>
      </c>
      <c r="M40" s="4">
        <v>5</v>
      </c>
      <c r="N40" s="5">
        <f>L40*5%</f>
        <v>103500</v>
      </c>
      <c r="O40" s="5">
        <f>(L40+N40)*1.12</f>
        <v>2434320</v>
      </c>
      <c r="P40" s="10">
        <v>50601</v>
      </c>
      <c r="Q40" s="8">
        <v>4.0227303623486197</v>
      </c>
      <c r="R40">
        <v>1257877</v>
      </c>
      <c r="S40">
        <v>55664</v>
      </c>
      <c r="T40" s="8">
        <v>4.4252339457673502</v>
      </c>
    </row>
    <row r="41" spans="1:20" x14ac:dyDescent="0.25">
      <c r="A41" s="11" t="s">
        <v>98</v>
      </c>
      <c r="B41" s="30"/>
      <c r="C41" t="s">
        <v>17</v>
      </c>
      <c r="D41" t="s">
        <v>59</v>
      </c>
      <c r="E41">
        <v>1</v>
      </c>
      <c r="F41" s="4" t="s">
        <v>103</v>
      </c>
      <c r="G41" t="s">
        <v>94</v>
      </c>
      <c r="H41" t="s">
        <v>91</v>
      </c>
      <c r="I41">
        <v>1</v>
      </c>
      <c r="J41" t="s">
        <v>92</v>
      </c>
      <c r="K41" s="5">
        <v>0</v>
      </c>
      <c r="L41" s="6">
        <v>2070000</v>
      </c>
      <c r="M41" s="4">
        <v>5</v>
      </c>
      <c r="N41" s="5">
        <f>L41*5%</f>
        <v>103500</v>
      </c>
      <c r="O41" s="5">
        <f>(L41+N41)*1.12</f>
        <v>2434320</v>
      </c>
      <c r="P41" s="10">
        <v>145214</v>
      </c>
      <c r="Q41" s="8">
        <v>11.544371985496101</v>
      </c>
      <c r="R41">
        <v>1257877</v>
      </c>
      <c r="S41">
        <v>190390</v>
      </c>
      <c r="T41" s="8">
        <v>15.1358201159572</v>
      </c>
    </row>
    <row r="42" spans="1:20" x14ac:dyDescent="0.25">
      <c r="A42" s="11" t="s">
        <v>98</v>
      </c>
      <c r="B42" s="30"/>
      <c r="C42" t="s">
        <v>17</v>
      </c>
      <c r="D42" t="s">
        <v>60</v>
      </c>
      <c r="E42">
        <v>1</v>
      </c>
      <c r="F42" s="4" t="s">
        <v>103</v>
      </c>
      <c r="G42" t="s">
        <v>94</v>
      </c>
      <c r="H42" t="s">
        <v>91</v>
      </c>
      <c r="I42">
        <v>1</v>
      </c>
      <c r="J42" t="s">
        <v>92</v>
      </c>
      <c r="K42" s="5">
        <v>0</v>
      </c>
      <c r="L42" s="6">
        <v>2070000</v>
      </c>
      <c r="M42" s="4">
        <v>5</v>
      </c>
      <c r="N42" s="5">
        <f>L42*5%</f>
        <v>103500</v>
      </c>
      <c r="O42" s="5">
        <f>(L42+N42)*1.12</f>
        <v>2434320</v>
      </c>
      <c r="P42" s="10">
        <v>160259</v>
      </c>
      <c r="Q42" s="8">
        <v>12.7404348755879</v>
      </c>
      <c r="R42">
        <v>1257877</v>
      </c>
      <c r="S42">
        <v>193142</v>
      </c>
      <c r="T42" s="8">
        <v>15.3546014435433</v>
      </c>
    </row>
    <row r="43" spans="1:20" x14ac:dyDescent="0.25">
      <c r="A43" s="11" t="s">
        <v>98</v>
      </c>
      <c r="B43" s="30"/>
      <c r="C43" t="s">
        <v>17</v>
      </c>
      <c r="D43" t="s">
        <v>61</v>
      </c>
      <c r="E43">
        <v>1</v>
      </c>
      <c r="F43" s="4" t="s">
        <v>103</v>
      </c>
      <c r="G43" t="s">
        <v>94</v>
      </c>
      <c r="H43" t="s">
        <v>91</v>
      </c>
      <c r="I43">
        <v>1</v>
      </c>
      <c r="J43" t="s">
        <v>92</v>
      </c>
      <c r="K43" s="5">
        <v>0</v>
      </c>
      <c r="L43" s="6">
        <v>2070000</v>
      </c>
      <c r="M43" s="4">
        <v>5</v>
      </c>
      <c r="N43" s="5">
        <f>L43*5%</f>
        <v>103500</v>
      </c>
      <c r="O43" s="5">
        <f>(L43+N43)*1.12</f>
        <v>2434320</v>
      </c>
      <c r="P43" s="10">
        <v>149673</v>
      </c>
      <c r="Q43" s="8">
        <v>11.8988581554476</v>
      </c>
      <c r="R43">
        <v>1257877</v>
      </c>
      <c r="S43">
        <v>226967</v>
      </c>
      <c r="T43" s="8">
        <v>18.043656096740701</v>
      </c>
    </row>
    <row r="44" spans="1:20" x14ac:dyDescent="0.25">
      <c r="A44" s="11" t="s">
        <v>98</v>
      </c>
      <c r="B44" s="30"/>
      <c r="C44" t="s">
        <v>17</v>
      </c>
      <c r="D44" t="s">
        <v>62</v>
      </c>
      <c r="E44">
        <v>1</v>
      </c>
      <c r="F44" s="4" t="s">
        <v>103</v>
      </c>
      <c r="G44" t="s">
        <v>94</v>
      </c>
      <c r="H44" t="s">
        <v>91</v>
      </c>
      <c r="I44">
        <v>1</v>
      </c>
      <c r="J44" t="s">
        <v>92</v>
      </c>
      <c r="K44" s="5">
        <v>0</v>
      </c>
      <c r="L44" s="6">
        <v>2520000</v>
      </c>
      <c r="M44" s="4">
        <v>5</v>
      </c>
      <c r="N44" s="5">
        <f>L44*5%</f>
        <v>126000</v>
      </c>
      <c r="O44" s="5">
        <f>(L44+N44)*1.12</f>
        <v>2963520.0000000005</v>
      </c>
      <c r="P44" s="10">
        <v>248900</v>
      </c>
      <c r="Q44" s="8">
        <v>19.7873082980291</v>
      </c>
      <c r="R44">
        <v>1257877</v>
      </c>
      <c r="S44">
        <v>245352</v>
      </c>
      <c r="T44" s="8">
        <v>19.505245743423199</v>
      </c>
    </row>
    <row r="45" spans="1:20" x14ac:dyDescent="0.25">
      <c r="A45" s="11" t="s">
        <v>98</v>
      </c>
      <c r="B45" s="30"/>
      <c r="C45" t="s">
        <v>17</v>
      </c>
      <c r="D45" t="s">
        <v>63</v>
      </c>
      <c r="E45">
        <v>1</v>
      </c>
      <c r="F45" s="4" t="s">
        <v>103</v>
      </c>
      <c r="G45" t="s">
        <v>94</v>
      </c>
      <c r="H45" t="s">
        <v>91</v>
      </c>
      <c r="I45">
        <v>1</v>
      </c>
      <c r="J45" t="s">
        <v>92</v>
      </c>
      <c r="K45" s="5">
        <v>0</v>
      </c>
      <c r="L45" s="6">
        <v>2520000</v>
      </c>
      <c r="M45" s="4">
        <v>5</v>
      </c>
      <c r="N45" s="5">
        <f>L45*5%</f>
        <v>126000</v>
      </c>
      <c r="O45" s="5">
        <f>(L45+N45)*1.12</f>
        <v>2963520.0000000005</v>
      </c>
      <c r="P45" s="10">
        <v>401186</v>
      </c>
      <c r="Q45" s="8">
        <v>31.893897416043</v>
      </c>
      <c r="R45">
        <v>1257877</v>
      </c>
      <c r="S45">
        <v>541496</v>
      </c>
      <c r="T45" s="8">
        <v>43.048406163718703</v>
      </c>
    </row>
    <row r="46" spans="1:20" x14ac:dyDescent="0.25">
      <c r="A46" s="11" t="s">
        <v>98</v>
      </c>
      <c r="B46" s="30"/>
      <c r="C46" t="s">
        <v>17</v>
      </c>
      <c r="D46" t="s">
        <v>64</v>
      </c>
      <c r="E46">
        <v>1</v>
      </c>
      <c r="F46" s="4" t="s">
        <v>103</v>
      </c>
      <c r="G46" t="s">
        <v>94</v>
      </c>
      <c r="H46" t="s">
        <v>91</v>
      </c>
      <c r="I46">
        <v>1</v>
      </c>
      <c r="J46" t="s">
        <v>92</v>
      </c>
      <c r="K46" s="5">
        <v>0</v>
      </c>
      <c r="L46" s="6">
        <v>2520000</v>
      </c>
      <c r="M46" s="4">
        <v>5</v>
      </c>
      <c r="N46" s="5">
        <f>L46*5%</f>
        <v>126000</v>
      </c>
      <c r="O46" s="5">
        <f>(L46+N46)*1.12</f>
        <v>2963520.0000000005</v>
      </c>
      <c r="P46" s="10">
        <v>190343</v>
      </c>
      <c r="Q46" s="8">
        <v>15.132083661597999</v>
      </c>
      <c r="R46">
        <v>1257877</v>
      </c>
      <c r="S46">
        <v>212119</v>
      </c>
      <c r="T46" s="8">
        <v>16.863254515346</v>
      </c>
    </row>
    <row r="47" spans="1:20" x14ac:dyDescent="0.25">
      <c r="A47" s="11" t="s">
        <v>98</v>
      </c>
      <c r="B47" s="30"/>
      <c r="C47" t="s">
        <v>17</v>
      </c>
      <c r="D47" t="s">
        <v>65</v>
      </c>
      <c r="E47">
        <v>1</v>
      </c>
      <c r="F47" s="4" t="s">
        <v>103</v>
      </c>
      <c r="G47" t="s">
        <v>94</v>
      </c>
      <c r="H47" t="s">
        <v>91</v>
      </c>
      <c r="I47">
        <v>1</v>
      </c>
      <c r="J47" t="s">
        <v>92</v>
      </c>
      <c r="K47" s="5">
        <v>0</v>
      </c>
      <c r="L47" s="6">
        <v>2520000</v>
      </c>
      <c r="M47" s="4">
        <v>5</v>
      </c>
      <c r="N47" s="5">
        <f>L47*5%</f>
        <v>126000</v>
      </c>
      <c r="O47" s="5">
        <f>(L47+N47)*1.12</f>
        <v>2963520.0000000005</v>
      </c>
      <c r="P47" s="10">
        <v>127410</v>
      </c>
      <c r="Q47" s="8">
        <v>10.1289712746158</v>
      </c>
      <c r="R47">
        <v>1257877</v>
      </c>
      <c r="S47">
        <v>140413</v>
      </c>
      <c r="T47" s="8">
        <v>11.162697147654301</v>
      </c>
    </row>
    <row r="48" spans="1:20" x14ac:dyDescent="0.25">
      <c r="A48" s="11" t="s">
        <v>98</v>
      </c>
      <c r="B48" s="30"/>
      <c r="C48" t="s">
        <v>17</v>
      </c>
      <c r="D48" t="s">
        <v>66</v>
      </c>
      <c r="E48">
        <v>1</v>
      </c>
      <c r="F48" s="4" t="s">
        <v>103</v>
      </c>
      <c r="G48" t="s">
        <v>94</v>
      </c>
      <c r="H48" t="s">
        <v>91</v>
      </c>
      <c r="I48">
        <v>1</v>
      </c>
      <c r="J48" t="s">
        <v>92</v>
      </c>
      <c r="K48" s="5">
        <v>0</v>
      </c>
      <c r="L48" s="6">
        <v>2520000</v>
      </c>
      <c r="M48" s="4">
        <v>5</v>
      </c>
      <c r="N48" s="5">
        <f>L48*5%</f>
        <v>126000</v>
      </c>
      <c r="O48" s="5">
        <f>(L48+N48)*1.12</f>
        <v>2963520.0000000005</v>
      </c>
      <c r="P48" s="10">
        <v>199576</v>
      </c>
      <c r="Q48" s="8">
        <v>15.866098195610499</v>
      </c>
      <c r="R48">
        <v>1257877</v>
      </c>
      <c r="S48">
        <v>319465</v>
      </c>
      <c r="T48" s="8">
        <v>25.397157273723899</v>
      </c>
    </row>
    <row r="49" spans="1:20" x14ac:dyDescent="0.25">
      <c r="A49" s="11" t="s">
        <v>95</v>
      </c>
      <c r="B49" s="31" t="s">
        <v>99</v>
      </c>
      <c r="C49" t="s">
        <v>19</v>
      </c>
      <c r="D49" t="s">
        <v>67</v>
      </c>
      <c r="E49">
        <v>1</v>
      </c>
      <c r="F49" s="4" t="s">
        <v>103</v>
      </c>
      <c r="G49" t="s">
        <v>94</v>
      </c>
      <c r="H49" t="s">
        <v>91</v>
      </c>
      <c r="I49">
        <v>1</v>
      </c>
      <c r="J49" t="s">
        <v>92</v>
      </c>
      <c r="K49" s="5">
        <v>0</v>
      </c>
      <c r="L49" s="6">
        <v>3150000</v>
      </c>
      <c r="M49" s="4">
        <v>5</v>
      </c>
      <c r="N49" s="5">
        <f>L49*5%</f>
        <v>157500</v>
      </c>
      <c r="O49" s="5">
        <f>(L49+N49)*1.12</f>
        <v>3704400.0000000005</v>
      </c>
      <c r="P49" s="10">
        <v>61228</v>
      </c>
      <c r="Q49" s="8">
        <v>38.901843180359698</v>
      </c>
      <c r="R49">
        <v>157391</v>
      </c>
      <c r="S49">
        <v>67354</v>
      </c>
      <c r="T49" s="8">
        <v>42.794060651498498</v>
      </c>
    </row>
    <row r="50" spans="1:20" x14ac:dyDescent="0.25">
      <c r="A50" s="11" t="s">
        <v>95</v>
      </c>
      <c r="B50" s="32"/>
      <c r="C50" t="s">
        <v>19</v>
      </c>
      <c r="D50" t="s">
        <v>68</v>
      </c>
      <c r="E50">
        <v>1</v>
      </c>
      <c r="F50" s="4" t="s">
        <v>103</v>
      </c>
      <c r="G50" t="s">
        <v>94</v>
      </c>
      <c r="H50" t="s">
        <v>91</v>
      </c>
      <c r="I50">
        <v>1</v>
      </c>
      <c r="J50" t="s">
        <v>92</v>
      </c>
      <c r="K50" s="5">
        <v>0</v>
      </c>
      <c r="L50" s="6">
        <v>3150000</v>
      </c>
      <c r="M50" s="4">
        <v>5</v>
      </c>
      <c r="N50" s="5">
        <f>L50*5%</f>
        <v>157500</v>
      </c>
      <c r="O50" s="5">
        <f>(L50+N50)*1.12</f>
        <v>3704400.0000000005</v>
      </c>
      <c r="P50" s="10">
        <v>46805</v>
      </c>
      <c r="Q50" s="8">
        <v>29.738040929913399</v>
      </c>
      <c r="R50">
        <v>157391</v>
      </c>
      <c r="S50">
        <v>51487</v>
      </c>
      <c r="T50" s="8">
        <v>32.712798063421602</v>
      </c>
    </row>
    <row r="51" spans="1:20" x14ac:dyDescent="0.25">
      <c r="A51" s="11" t="s">
        <v>95</v>
      </c>
      <c r="B51" s="32"/>
      <c r="C51" t="s">
        <v>19</v>
      </c>
      <c r="D51" t="s">
        <v>69</v>
      </c>
      <c r="E51">
        <v>1</v>
      </c>
      <c r="F51" s="4" t="s">
        <v>103</v>
      </c>
      <c r="G51" t="s">
        <v>94</v>
      </c>
      <c r="H51" t="s">
        <v>91</v>
      </c>
      <c r="I51">
        <v>1</v>
      </c>
      <c r="J51" t="s">
        <v>92</v>
      </c>
      <c r="K51" s="5">
        <v>0</v>
      </c>
      <c r="L51" s="6">
        <v>3150000</v>
      </c>
      <c r="M51" s="4">
        <v>5</v>
      </c>
      <c r="N51" s="5">
        <f>L51*5%</f>
        <v>157500</v>
      </c>
      <c r="O51" s="5">
        <f>(L51+N51)*1.12</f>
        <v>3704400.0000000005</v>
      </c>
      <c r="P51" s="10">
        <v>33147</v>
      </c>
      <c r="Q51" s="8">
        <v>21.060289343100902</v>
      </c>
      <c r="R51">
        <v>157391</v>
      </c>
      <c r="S51">
        <v>36463</v>
      </c>
      <c r="T51" s="8">
        <v>23.167144245858999</v>
      </c>
    </row>
    <row r="52" spans="1:20" x14ac:dyDescent="0.25">
      <c r="A52" s="11" t="s">
        <v>95</v>
      </c>
      <c r="B52" s="32"/>
      <c r="C52" t="s">
        <v>19</v>
      </c>
      <c r="D52" t="s">
        <v>70</v>
      </c>
      <c r="E52">
        <v>1</v>
      </c>
      <c r="F52" s="4" t="s">
        <v>103</v>
      </c>
      <c r="G52" t="s">
        <v>94</v>
      </c>
      <c r="H52" t="s">
        <v>91</v>
      </c>
      <c r="I52">
        <v>1</v>
      </c>
      <c r="J52" t="s">
        <v>92</v>
      </c>
      <c r="K52" s="5">
        <v>0</v>
      </c>
      <c r="L52" s="6">
        <v>3150000</v>
      </c>
      <c r="M52" s="4">
        <v>5</v>
      </c>
      <c r="N52" s="5">
        <f>L52*5%</f>
        <v>157500</v>
      </c>
      <c r="O52" s="5">
        <f>(L52+N52)*1.12</f>
        <v>3704400.0000000005</v>
      </c>
      <c r="P52" s="10">
        <v>35414</v>
      </c>
      <c r="Q52" s="8">
        <v>22.5006512443532</v>
      </c>
      <c r="R52">
        <v>157391</v>
      </c>
      <c r="S52">
        <v>38956</v>
      </c>
      <c r="T52" s="8">
        <v>24.7510975849953</v>
      </c>
    </row>
    <row r="53" spans="1:20" x14ac:dyDescent="0.25">
      <c r="A53" s="11" t="s">
        <v>95</v>
      </c>
      <c r="B53" s="32"/>
      <c r="C53" t="s">
        <v>19</v>
      </c>
      <c r="D53" t="s">
        <v>71</v>
      </c>
      <c r="E53">
        <v>1</v>
      </c>
      <c r="F53" s="4" t="s">
        <v>103</v>
      </c>
      <c r="G53" t="s">
        <v>94</v>
      </c>
      <c r="H53" t="s">
        <v>91</v>
      </c>
      <c r="I53">
        <v>1</v>
      </c>
      <c r="J53" t="s">
        <v>92</v>
      </c>
      <c r="K53" s="5">
        <v>0</v>
      </c>
      <c r="L53" s="6">
        <v>3150000</v>
      </c>
      <c r="M53" s="4">
        <v>5</v>
      </c>
      <c r="N53" s="5">
        <f>L53*5%</f>
        <v>157500</v>
      </c>
      <c r="O53" s="5">
        <f>(L53+N53)*1.12</f>
        <v>3704400.0000000005</v>
      </c>
      <c r="P53" s="10">
        <v>65612</v>
      </c>
      <c r="Q53" s="8">
        <v>41.687262931171396</v>
      </c>
      <c r="R53">
        <v>157391</v>
      </c>
      <c r="S53">
        <v>72175</v>
      </c>
      <c r="T53" s="8">
        <v>45.857132872908799</v>
      </c>
    </row>
    <row r="54" spans="1:20" x14ac:dyDescent="0.25">
      <c r="A54" s="11" t="s">
        <v>95</v>
      </c>
      <c r="B54" s="32"/>
      <c r="C54" t="s">
        <v>19</v>
      </c>
      <c r="D54" t="s">
        <v>72</v>
      </c>
      <c r="E54">
        <v>1</v>
      </c>
      <c r="F54" s="4" t="s">
        <v>103</v>
      </c>
      <c r="G54" t="s">
        <v>94</v>
      </c>
      <c r="H54" t="s">
        <v>91</v>
      </c>
      <c r="I54">
        <v>1</v>
      </c>
      <c r="J54" t="s">
        <v>92</v>
      </c>
      <c r="K54" s="5">
        <v>0</v>
      </c>
      <c r="L54" s="6">
        <v>3150000</v>
      </c>
      <c r="M54" s="4">
        <v>5</v>
      </c>
      <c r="N54" s="5">
        <f>L54*5%</f>
        <v>157500</v>
      </c>
      <c r="O54" s="5">
        <f>(L54+N54)*1.12</f>
        <v>3704400.0000000005</v>
      </c>
      <c r="P54" s="10">
        <v>44361</v>
      </c>
      <c r="Q54" s="8">
        <v>28.185220247663398</v>
      </c>
      <c r="R54">
        <v>157391</v>
      </c>
      <c r="S54">
        <v>48797</v>
      </c>
      <c r="T54" s="8">
        <v>31.003678736395301</v>
      </c>
    </row>
    <row r="55" spans="1:20" x14ac:dyDescent="0.25">
      <c r="A55" s="11" t="s">
        <v>95</v>
      </c>
      <c r="B55" s="32"/>
      <c r="C55" t="s">
        <v>19</v>
      </c>
      <c r="D55" t="s">
        <v>73</v>
      </c>
      <c r="E55">
        <v>1</v>
      </c>
      <c r="F55" s="4" t="s">
        <v>103</v>
      </c>
      <c r="G55" t="s">
        <v>94</v>
      </c>
      <c r="H55" t="s">
        <v>91</v>
      </c>
      <c r="I55">
        <v>1</v>
      </c>
      <c r="J55" t="s">
        <v>92</v>
      </c>
      <c r="K55" s="5">
        <v>0</v>
      </c>
      <c r="L55" s="6">
        <v>3150000</v>
      </c>
      <c r="M55" s="4">
        <v>5</v>
      </c>
      <c r="N55" s="5">
        <f>L55*5%</f>
        <v>157500</v>
      </c>
      <c r="O55" s="5">
        <f>(L55+N55)*1.12</f>
        <v>3704400.0000000005</v>
      </c>
      <c r="P55" s="10">
        <v>33088</v>
      </c>
      <c r="Q55" s="8">
        <v>21.022803082768299</v>
      </c>
      <c r="R55">
        <v>157391</v>
      </c>
      <c r="S55">
        <v>36397</v>
      </c>
      <c r="T55" s="8">
        <v>23.125210463114101</v>
      </c>
    </row>
    <row r="56" spans="1:20" x14ac:dyDescent="0.25">
      <c r="A56" s="11" t="s">
        <v>95</v>
      </c>
      <c r="B56" s="32"/>
      <c r="C56" t="s">
        <v>19</v>
      </c>
      <c r="D56" t="s">
        <v>74</v>
      </c>
      <c r="E56">
        <v>1</v>
      </c>
      <c r="F56" s="4" t="s">
        <v>103</v>
      </c>
      <c r="G56" t="s">
        <v>94</v>
      </c>
      <c r="H56" t="s">
        <v>91</v>
      </c>
      <c r="I56">
        <v>1</v>
      </c>
      <c r="J56" t="s">
        <v>92</v>
      </c>
      <c r="K56" s="5">
        <v>0</v>
      </c>
      <c r="L56" s="6">
        <v>3150000</v>
      </c>
      <c r="M56" s="4">
        <v>5</v>
      </c>
      <c r="N56" s="5">
        <f>L56*5%</f>
        <v>157500</v>
      </c>
      <c r="O56" s="5">
        <f>(L56+N56)*1.12</f>
        <v>3704400.0000000005</v>
      </c>
      <c r="P56" s="10">
        <v>37733</v>
      </c>
      <c r="Q56" s="8">
        <v>23.9740518835257</v>
      </c>
      <c r="R56">
        <v>157391</v>
      </c>
      <c r="S56">
        <v>41511</v>
      </c>
      <c r="T56" s="8">
        <v>26.374443265498002</v>
      </c>
    </row>
    <row r="57" spans="1:20" x14ac:dyDescent="0.25">
      <c r="A57" s="11" t="s">
        <v>95</v>
      </c>
      <c r="B57" s="32"/>
      <c r="C57" t="s">
        <v>20</v>
      </c>
      <c r="D57" t="s">
        <v>75</v>
      </c>
      <c r="E57">
        <v>1</v>
      </c>
      <c r="F57" s="4" t="s">
        <v>103</v>
      </c>
      <c r="G57" t="s">
        <v>94</v>
      </c>
      <c r="H57" t="s">
        <v>91</v>
      </c>
      <c r="I57">
        <v>1</v>
      </c>
      <c r="J57" t="s">
        <v>92</v>
      </c>
      <c r="K57" s="5">
        <v>0</v>
      </c>
      <c r="L57" s="6">
        <v>3150000</v>
      </c>
      <c r="M57" s="4">
        <v>5</v>
      </c>
      <c r="N57" s="5">
        <f>L57*5%</f>
        <v>157500</v>
      </c>
      <c r="O57" s="5">
        <f>(L57+N57)*1.12</f>
        <v>3704400.0000000005</v>
      </c>
      <c r="P57" s="10">
        <v>151038</v>
      </c>
      <c r="Q57" s="8">
        <v>63.007584037644797</v>
      </c>
      <c r="R57">
        <v>239714</v>
      </c>
      <c r="S57">
        <v>166146</v>
      </c>
      <c r="T57" s="8">
        <v>69.3100945293141</v>
      </c>
    </row>
    <row r="58" spans="1:20" x14ac:dyDescent="0.25">
      <c r="A58" s="11" t="s">
        <v>95</v>
      </c>
      <c r="B58" s="32"/>
      <c r="C58" t="s">
        <v>20</v>
      </c>
      <c r="D58" t="s">
        <v>76</v>
      </c>
      <c r="E58">
        <v>1</v>
      </c>
      <c r="F58" s="4" t="s">
        <v>103</v>
      </c>
      <c r="G58" t="s">
        <v>94</v>
      </c>
      <c r="H58" t="s">
        <v>91</v>
      </c>
      <c r="I58">
        <v>1</v>
      </c>
      <c r="J58" t="s">
        <v>92</v>
      </c>
      <c r="K58" s="5">
        <v>0</v>
      </c>
      <c r="L58" s="6">
        <v>3150000</v>
      </c>
      <c r="M58" s="4">
        <v>5</v>
      </c>
      <c r="N58" s="5">
        <f>L58*5%</f>
        <v>157500</v>
      </c>
      <c r="O58" s="5">
        <f>(L58+N58)*1.12</f>
        <v>3704400.0000000005</v>
      </c>
      <c r="P58" s="10">
        <v>163419</v>
      </c>
      <c r="Q58" s="8">
        <v>68.172488882585</v>
      </c>
      <c r="R58">
        <v>239714</v>
      </c>
      <c r="S58">
        <v>179740</v>
      </c>
      <c r="T58" s="8">
        <v>74.981019047698496</v>
      </c>
    </row>
    <row r="59" spans="1:20" x14ac:dyDescent="0.25">
      <c r="A59" s="11" t="s">
        <v>95</v>
      </c>
      <c r="B59" s="32"/>
      <c r="C59" t="s">
        <v>20</v>
      </c>
      <c r="D59" t="s">
        <v>77</v>
      </c>
      <c r="E59">
        <v>1</v>
      </c>
      <c r="F59" s="4" t="s">
        <v>103</v>
      </c>
      <c r="G59" t="s">
        <v>94</v>
      </c>
      <c r="H59" t="s">
        <v>91</v>
      </c>
      <c r="I59">
        <v>1</v>
      </c>
      <c r="J59" t="s">
        <v>92</v>
      </c>
      <c r="K59" s="5">
        <v>0</v>
      </c>
      <c r="L59" s="6">
        <v>3150000</v>
      </c>
      <c r="M59" s="4">
        <v>5</v>
      </c>
      <c r="N59" s="5">
        <f>L59*5%</f>
        <v>157500</v>
      </c>
      <c r="O59" s="5">
        <f>(L59+N59)*1.12</f>
        <v>3704400.0000000005</v>
      </c>
      <c r="P59" s="10">
        <v>114515</v>
      </c>
      <c r="Q59" s="8">
        <v>47.7715110506687</v>
      </c>
      <c r="R59">
        <v>239714</v>
      </c>
      <c r="S59">
        <v>125967</v>
      </c>
      <c r="T59" s="8">
        <v>52.548870737629002</v>
      </c>
    </row>
    <row r="60" spans="1:20" x14ac:dyDescent="0.25">
      <c r="A60" s="11" t="s">
        <v>95</v>
      </c>
      <c r="B60" s="32"/>
      <c r="C60" t="s">
        <v>20</v>
      </c>
      <c r="D60" t="s">
        <v>78</v>
      </c>
      <c r="E60">
        <v>1</v>
      </c>
      <c r="F60" s="4" t="s">
        <v>103</v>
      </c>
      <c r="G60" t="s">
        <v>94</v>
      </c>
      <c r="H60" t="s">
        <v>91</v>
      </c>
      <c r="I60">
        <v>1</v>
      </c>
      <c r="J60" t="s">
        <v>92</v>
      </c>
      <c r="K60" s="5">
        <v>0</v>
      </c>
      <c r="L60" s="6">
        <v>3150000</v>
      </c>
      <c r="M60" s="4">
        <v>5</v>
      </c>
      <c r="N60" s="5">
        <f>L60*5%</f>
        <v>157500</v>
      </c>
      <c r="O60" s="5">
        <f>(L60+N60)*1.12</f>
        <v>3704400.0000000005</v>
      </c>
      <c r="P60" s="10">
        <v>49445</v>
      </c>
      <c r="Q60" s="8">
        <v>20.626663440600002</v>
      </c>
      <c r="R60">
        <v>239714</v>
      </c>
      <c r="S60">
        <v>54394</v>
      </c>
      <c r="T60" s="8">
        <v>22.691207021700802</v>
      </c>
    </row>
    <row r="61" spans="1:20" x14ac:dyDescent="0.25">
      <c r="A61" s="11" t="s">
        <v>95</v>
      </c>
      <c r="B61" s="32"/>
      <c r="C61" t="s">
        <v>20</v>
      </c>
      <c r="D61" t="s">
        <v>79</v>
      </c>
      <c r="E61">
        <v>1</v>
      </c>
      <c r="F61" s="4" t="s">
        <v>103</v>
      </c>
      <c r="G61" t="s">
        <v>94</v>
      </c>
      <c r="H61" t="s">
        <v>91</v>
      </c>
      <c r="I61">
        <v>1</v>
      </c>
      <c r="J61" t="s">
        <v>92</v>
      </c>
      <c r="K61" s="5">
        <v>0</v>
      </c>
      <c r="L61" s="6">
        <v>3150000</v>
      </c>
      <c r="M61" s="4">
        <v>5</v>
      </c>
      <c r="N61" s="5">
        <f>L61*5%</f>
        <v>157500</v>
      </c>
      <c r="O61" s="5">
        <f>(L61+N61)*1.12</f>
        <v>3704400.0000000005</v>
      </c>
      <c r="P61" s="10">
        <v>24019</v>
      </c>
      <c r="Q61" s="8">
        <v>10.0198569962538</v>
      </c>
      <c r="R61">
        <v>239714</v>
      </c>
      <c r="S61">
        <v>26423</v>
      </c>
      <c r="T61" s="8">
        <v>11.0227187398316</v>
      </c>
    </row>
    <row r="62" spans="1:20" x14ac:dyDescent="0.25">
      <c r="A62" s="11" t="s">
        <v>95</v>
      </c>
      <c r="B62" s="32"/>
      <c r="C62" t="s">
        <v>20</v>
      </c>
      <c r="D62" t="s">
        <v>80</v>
      </c>
      <c r="E62">
        <v>1</v>
      </c>
      <c r="F62" s="4" t="s">
        <v>103</v>
      </c>
      <c r="G62" t="s">
        <v>94</v>
      </c>
      <c r="H62" t="s">
        <v>91</v>
      </c>
      <c r="I62">
        <v>1</v>
      </c>
      <c r="J62" t="s">
        <v>92</v>
      </c>
      <c r="K62" s="5">
        <v>0</v>
      </c>
      <c r="L62" s="6">
        <v>3150000</v>
      </c>
      <c r="M62" s="4">
        <v>5</v>
      </c>
      <c r="N62" s="5">
        <f>L62*5%</f>
        <v>157500</v>
      </c>
      <c r="O62" s="5">
        <f>(L62+N62)*1.12</f>
        <v>3704400.0000000005</v>
      </c>
      <c r="P62" s="10">
        <v>48252</v>
      </c>
      <c r="Q62" s="8">
        <v>20.1289870428927</v>
      </c>
      <c r="R62">
        <v>239714</v>
      </c>
      <c r="S62">
        <v>53079</v>
      </c>
      <c r="T62" s="8">
        <v>22.142636641998301</v>
      </c>
    </row>
    <row r="63" spans="1:20" x14ac:dyDescent="0.25">
      <c r="A63" s="11" t="s">
        <v>95</v>
      </c>
      <c r="B63" s="32"/>
      <c r="C63" t="s">
        <v>20</v>
      </c>
      <c r="D63" t="s">
        <v>81</v>
      </c>
      <c r="E63">
        <v>1</v>
      </c>
      <c r="F63" s="4" t="s">
        <v>103</v>
      </c>
      <c r="G63" t="s">
        <v>94</v>
      </c>
      <c r="H63" t="s">
        <v>91</v>
      </c>
      <c r="I63">
        <v>1</v>
      </c>
      <c r="J63" t="s">
        <v>92</v>
      </c>
      <c r="K63" s="5">
        <v>0</v>
      </c>
      <c r="L63" s="6">
        <v>3150000</v>
      </c>
      <c r="M63" s="4">
        <v>5</v>
      </c>
      <c r="N63" s="5">
        <f>L63*5%</f>
        <v>157500</v>
      </c>
      <c r="O63" s="5">
        <f>(L63+N63)*1.12</f>
        <v>3704400.0000000005</v>
      </c>
      <c r="P63" s="10">
        <v>62304</v>
      </c>
      <c r="Q63" s="8">
        <v>25.990972575652599</v>
      </c>
      <c r="R63">
        <v>239714</v>
      </c>
      <c r="S63">
        <v>68537</v>
      </c>
      <c r="T63" s="8">
        <v>28.591154459063699</v>
      </c>
    </row>
    <row r="64" spans="1:20" x14ac:dyDescent="0.25">
      <c r="A64" s="11" t="s">
        <v>95</v>
      </c>
      <c r="B64" s="32"/>
      <c r="C64" t="s">
        <v>20</v>
      </c>
      <c r="D64" t="s">
        <v>82</v>
      </c>
      <c r="E64">
        <v>1</v>
      </c>
      <c r="F64" s="4" t="s">
        <v>103</v>
      </c>
      <c r="G64" t="s">
        <v>94</v>
      </c>
      <c r="H64" t="s">
        <v>91</v>
      </c>
      <c r="I64">
        <v>1</v>
      </c>
      <c r="J64" t="s">
        <v>92</v>
      </c>
      <c r="K64" s="5">
        <v>0</v>
      </c>
      <c r="L64" s="6">
        <v>3150000</v>
      </c>
      <c r="M64" s="4">
        <v>5</v>
      </c>
      <c r="N64" s="5">
        <f>L64*5%</f>
        <v>157500</v>
      </c>
      <c r="O64" s="5">
        <f>(L64+N64)*1.12</f>
        <v>3704400.0000000005</v>
      </c>
      <c r="P64" s="10">
        <v>47766</v>
      </c>
      <c r="Q64" s="8">
        <v>19.926245442485602</v>
      </c>
      <c r="R64">
        <v>239714</v>
      </c>
      <c r="S64">
        <v>52544</v>
      </c>
      <c r="T64" s="8">
        <v>21.919454016035701</v>
      </c>
    </row>
    <row r="65" spans="1:20" x14ac:dyDescent="0.25">
      <c r="A65" s="11" t="s">
        <v>95</v>
      </c>
      <c r="B65" s="32"/>
      <c r="C65" t="s">
        <v>20</v>
      </c>
      <c r="D65" t="s">
        <v>83</v>
      </c>
      <c r="E65">
        <v>1</v>
      </c>
      <c r="F65" s="4" t="s">
        <v>103</v>
      </c>
      <c r="G65" t="s">
        <v>94</v>
      </c>
      <c r="H65" t="s">
        <v>91</v>
      </c>
      <c r="I65">
        <v>1</v>
      </c>
      <c r="J65" t="s">
        <v>92</v>
      </c>
      <c r="K65" s="5">
        <v>0</v>
      </c>
      <c r="L65" s="6">
        <v>3150000</v>
      </c>
      <c r="M65" s="4">
        <v>5</v>
      </c>
      <c r="N65" s="5">
        <f>L65*5%</f>
        <v>157500</v>
      </c>
      <c r="O65" s="5">
        <f>(L65+N65)*1.12</f>
        <v>3704400.0000000005</v>
      </c>
      <c r="P65" s="10">
        <v>79103</v>
      </c>
      <c r="Q65" s="8">
        <v>32.998907030878399</v>
      </c>
      <c r="R65">
        <v>239714</v>
      </c>
      <c r="S65">
        <v>82725</v>
      </c>
      <c r="T65" s="8">
        <v>34.509874266834601</v>
      </c>
    </row>
    <row r="66" spans="1:20" x14ac:dyDescent="0.25">
      <c r="A66" s="11" t="s">
        <v>95</v>
      </c>
      <c r="B66" s="32"/>
      <c r="C66" t="s">
        <v>20</v>
      </c>
      <c r="D66" t="s">
        <v>84</v>
      </c>
      <c r="E66">
        <v>1</v>
      </c>
      <c r="F66" s="4" t="s">
        <v>103</v>
      </c>
      <c r="G66" t="s">
        <v>94</v>
      </c>
      <c r="H66" t="s">
        <v>91</v>
      </c>
      <c r="I66">
        <v>1</v>
      </c>
      <c r="J66" t="s">
        <v>92</v>
      </c>
      <c r="K66" s="5">
        <v>0</v>
      </c>
      <c r="L66" s="6">
        <v>3150000</v>
      </c>
      <c r="M66" s="4">
        <v>5</v>
      </c>
      <c r="N66" s="5">
        <f>L66*5%</f>
        <v>157500</v>
      </c>
      <c r="O66" s="5">
        <f>(L66+N66)*1.12</f>
        <v>3704400.0000000005</v>
      </c>
      <c r="P66" s="10">
        <v>13815</v>
      </c>
      <c r="Q66" s="8">
        <v>5.76311771527737</v>
      </c>
      <c r="R66">
        <v>239714</v>
      </c>
      <c r="S66">
        <v>15200</v>
      </c>
      <c r="T66" s="8">
        <v>6.34088956005907</v>
      </c>
    </row>
    <row r="67" spans="1:20" x14ac:dyDescent="0.25">
      <c r="A67" s="11" t="s">
        <v>95</v>
      </c>
      <c r="B67" s="32"/>
      <c r="C67" t="s">
        <v>20</v>
      </c>
      <c r="D67" t="s">
        <v>85</v>
      </c>
      <c r="E67">
        <v>1</v>
      </c>
      <c r="F67" s="4" t="s">
        <v>103</v>
      </c>
      <c r="G67" t="s">
        <v>94</v>
      </c>
      <c r="H67" t="s">
        <v>91</v>
      </c>
      <c r="I67">
        <v>1</v>
      </c>
      <c r="J67" t="s">
        <v>92</v>
      </c>
      <c r="K67" s="5">
        <v>0</v>
      </c>
      <c r="L67" s="6">
        <v>7650000</v>
      </c>
      <c r="M67" s="4">
        <v>5</v>
      </c>
      <c r="N67" s="5">
        <f>L67*5%</f>
        <v>382500</v>
      </c>
      <c r="O67" s="5">
        <f>(L67+N67)*1.12</f>
        <v>8996400</v>
      </c>
      <c r="P67" s="10">
        <v>221244</v>
      </c>
      <c r="Q67" s="8">
        <v>92.2949848569545</v>
      </c>
      <c r="R67">
        <v>239714</v>
      </c>
      <c r="S67">
        <v>243364</v>
      </c>
      <c r="T67" s="8">
        <v>101.52264782198699</v>
      </c>
    </row>
    <row r="68" spans="1:20" x14ac:dyDescent="0.25">
      <c r="A68" s="11" t="s">
        <v>95</v>
      </c>
      <c r="B68" s="32"/>
      <c r="C68" t="s">
        <v>20</v>
      </c>
      <c r="D68" t="s">
        <v>86</v>
      </c>
      <c r="E68">
        <v>1</v>
      </c>
      <c r="F68" s="4" t="s">
        <v>103</v>
      </c>
      <c r="G68" t="s">
        <v>94</v>
      </c>
      <c r="H68" t="s">
        <v>91</v>
      </c>
      <c r="I68">
        <v>1</v>
      </c>
      <c r="J68" t="s">
        <v>92</v>
      </c>
      <c r="K68" s="5">
        <v>0</v>
      </c>
      <c r="L68" s="6">
        <v>7650000</v>
      </c>
      <c r="M68" s="4">
        <v>5</v>
      </c>
      <c r="N68" s="5">
        <f>L68*5%</f>
        <v>382500</v>
      </c>
      <c r="O68" s="5">
        <f>(L68+N68)*1.12</f>
        <v>8996400</v>
      </c>
      <c r="P68" s="10">
        <v>118796</v>
      </c>
      <c r="Q68" s="8">
        <v>49.557389222156402</v>
      </c>
      <c r="R68">
        <v>239714</v>
      </c>
      <c r="S68">
        <v>130679</v>
      </c>
      <c r="T68" s="8">
        <v>54.514546501247303</v>
      </c>
    </row>
    <row r="69" spans="1:20" x14ac:dyDescent="0.25">
      <c r="A69" s="11" t="s">
        <v>95</v>
      </c>
      <c r="B69" s="32"/>
      <c r="C69" t="s">
        <v>20</v>
      </c>
      <c r="D69" t="s">
        <v>87</v>
      </c>
      <c r="E69">
        <v>1</v>
      </c>
      <c r="F69" s="4" t="s">
        <v>103</v>
      </c>
      <c r="G69" t="s">
        <v>94</v>
      </c>
      <c r="H69" t="s">
        <v>91</v>
      </c>
      <c r="I69">
        <v>1</v>
      </c>
      <c r="J69" t="s">
        <v>92</v>
      </c>
      <c r="K69" s="5">
        <v>0</v>
      </c>
      <c r="L69" s="6">
        <v>3150000</v>
      </c>
      <c r="M69" s="4">
        <v>5</v>
      </c>
      <c r="N69" s="5">
        <f>L69*5%</f>
        <v>157500</v>
      </c>
      <c r="O69" s="5">
        <f>(L69+N69)*1.12</f>
        <v>3704400.0000000005</v>
      </c>
      <c r="P69" s="10">
        <v>63646</v>
      </c>
      <c r="Q69" s="8">
        <v>26.550806377599901</v>
      </c>
      <c r="R69">
        <v>239714</v>
      </c>
      <c r="S69">
        <v>70011</v>
      </c>
      <c r="T69" s="8">
        <v>29.206053880874698</v>
      </c>
    </row>
    <row r="70" spans="1:20" x14ac:dyDescent="0.25">
      <c r="A70" s="11" t="s">
        <v>95</v>
      </c>
      <c r="B70" s="32"/>
      <c r="C70" t="s">
        <v>20</v>
      </c>
      <c r="D70" t="s">
        <v>88</v>
      </c>
      <c r="E70">
        <v>1</v>
      </c>
      <c r="F70" s="4" t="s">
        <v>103</v>
      </c>
      <c r="G70" t="s">
        <v>94</v>
      </c>
      <c r="H70" t="s">
        <v>91</v>
      </c>
      <c r="I70">
        <v>1</v>
      </c>
      <c r="J70" t="s">
        <v>92</v>
      </c>
      <c r="K70" s="5">
        <v>0</v>
      </c>
      <c r="L70" s="6">
        <v>3150000</v>
      </c>
      <c r="M70" s="4">
        <v>5</v>
      </c>
      <c r="N70" s="5">
        <f>L70*5%</f>
        <v>157500</v>
      </c>
      <c r="O70" s="5">
        <f>(L70+N70)*1.12</f>
        <v>3704400.0000000005</v>
      </c>
      <c r="P70" s="10">
        <v>28279</v>
      </c>
      <c r="Q70" s="8">
        <v>11.7969747282177</v>
      </c>
      <c r="R70">
        <v>239714</v>
      </c>
      <c r="S70">
        <v>31107</v>
      </c>
      <c r="T70" s="8">
        <v>12.9767139174182</v>
      </c>
    </row>
    <row r="71" spans="1:20" x14ac:dyDescent="0.25">
      <c r="A71" s="11" t="s">
        <v>95</v>
      </c>
      <c r="B71" s="33"/>
      <c r="C71" t="s">
        <v>20</v>
      </c>
      <c r="D71" t="s">
        <v>89</v>
      </c>
      <c r="E71">
        <v>1</v>
      </c>
      <c r="F71" s="4" t="s">
        <v>103</v>
      </c>
      <c r="G71" t="s">
        <v>94</v>
      </c>
      <c r="H71" t="s">
        <v>91</v>
      </c>
      <c r="I71">
        <v>1</v>
      </c>
      <c r="J71" t="s">
        <v>92</v>
      </c>
      <c r="K71" s="5">
        <v>0</v>
      </c>
      <c r="L71" s="6">
        <v>3150000</v>
      </c>
      <c r="M71" s="4">
        <v>5</v>
      </c>
      <c r="N71" s="5">
        <f>L71*5%</f>
        <v>157500</v>
      </c>
      <c r="O71" s="5">
        <f>(L71+N71)*1.12</f>
        <v>3704400.0000000005</v>
      </c>
      <c r="P71" s="10">
        <v>187666</v>
      </c>
      <c r="Q71" s="8">
        <v>78.287459222239804</v>
      </c>
      <c r="R71">
        <v>239714</v>
      </c>
      <c r="S71">
        <v>202570</v>
      </c>
      <c r="T71" s="8">
        <v>84.504868301392406</v>
      </c>
    </row>
    <row r="72" spans="1:20" x14ac:dyDescent="0.25">
      <c r="A72" s="11" t="s">
        <v>100</v>
      </c>
      <c r="B72" s="31" t="s">
        <v>96</v>
      </c>
      <c r="C72" t="s">
        <v>20</v>
      </c>
      <c r="D72" t="s">
        <v>90</v>
      </c>
      <c r="E72">
        <v>1</v>
      </c>
      <c r="F72" s="4" t="s">
        <v>103</v>
      </c>
      <c r="G72" t="s">
        <v>93</v>
      </c>
      <c r="H72" t="s">
        <v>93</v>
      </c>
      <c r="I72" t="s">
        <v>93</v>
      </c>
      <c r="J72" t="s">
        <v>93</v>
      </c>
      <c r="K72" s="5">
        <v>1500000</v>
      </c>
      <c r="L72" s="6">
        <v>2250000</v>
      </c>
      <c r="M72" s="4">
        <v>5</v>
      </c>
      <c r="N72" s="5">
        <f>(L72+K72)*5%</f>
        <v>187500</v>
      </c>
      <c r="O72" s="5">
        <f>(L72+N72+K72)*1.12</f>
        <v>4410000</v>
      </c>
      <c r="P72" s="10">
        <v>121336</v>
      </c>
      <c r="Q72" s="8">
        <v>50.616985240745201</v>
      </c>
      <c r="R72">
        <v>239714</v>
      </c>
      <c r="S72">
        <v>133473</v>
      </c>
      <c r="T72" s="8">
        <v>55.680102121695001</v>
      </c>
    </row>
    <row r="73" spans="1:20" x14ac:dyDescent="0.25">
      <c r="A73" s="11" t="s">
        <v>100</v>
      </c>
      <c r="B73" s="32"/>
      <c r="C73" t="s">
        <v>20</v>
      </c>
      <c r="D73" t="s">
        <v>90</v>
      </c>
      <c r="E73">
        <v>1</v>
      </c>
      <c r="F73" s="4" t="s">
        <v>103</v>
      </c>
      <c r="G73" t="s">
        <v>93</v>
      </c>
      <c r="H73" t="s">
        <v>93</v>
      </c>
      <c r="I73" t="s">
        <v>93</v>
      </c>
      <c r="J73" t="s">
        <v>93</v>
      </c>
      <c r="K73" s="5">
        <v>1500000</v>
      </c>
      <c r="L73" s="6">
        <v>2250000</v>
      </c>
      <c r="M73" s="4">
        <v>5</v>
      </c>
      <c r="N73" s="5">
        <f>(L73+K73)*5%</f>
        <v>187500</v>
      </c>
      <c r="O73" s="5">
        <f>(L73+N73+K73)*1.12</f>
        <v>4410000</v>
      </c>
      <c r="P73" s="10">
        <v>188490</v>
      </c>
      <c r="Q73" s="8">
        <v>78.631202182600902</v>
      </c>
      <c r="R73">
        <v>239714</v>
      </c>
      <c r="S73">
        <v>207342</v>
      </c>
      <c r="T73" s="8">
        <v>86.495573892221501</v>
      </c>
    </row>
    <row r="74" spans="1:20" x14ac:dyDescent="0.25">
      <c r="A74" s="11" t="s">
        <v>100</v>
      </c>
      <c r="B74" s="32"/>
      <c r="C74" t="s">
        <v>20</v>
      </c>
      <c r="D74" t="s">
        <v>90</v>
      </c>
      <c r="E74">
        <v>1</v>
      </c>
      <c r="F74" s="4" t="s">
        <v>103</v>
      </c>
      <c r="G74" t="s">
        <v>93</v>
      </c>
      <c r="H74" t="s">
        <v>93</v>
      </c>
      <c r="I74" t="s">
        <v>93</v>
      </c>
      <c r="J74" t="s">
        <v>93</v>
      </c>
      <c r="K74" s="5">
        <v>1500000</v>
      </c>
      <c r="L74" s="6">
        <v>2250000</v>
      </c>
      <c r="M74" s="4">
        <v>5</v>
      </c>
      <c r="N74" s="5">
        <f>(L74+K74)*5%</f>
        <v>187500</v>
      </c>
      <c r="O74" s="5">
        <f>(L74+N74+K74)*1.12</f>
        <v>4410000</v>
      </c>
      <c r="P74" s="10">
        <v>254207</v>
      </c>
      <c r="Q74" s="8">
        <v>106.045954762758</v>
      </c>
      <c r="R74">
        <v>239714</v>
      </c>
      <c r="S74">
        <v>279630</v>
      </c>
      <c r="T74" s="8">
        <v>116.651509715744</v>
      </c>
    </row>
    <row r="75" spans="1:20" x14ac:dyDescent="0.25">
      <c r="A75" s="11" t="s">
        <v>100</v>
      </c>
      <c r="B75" s="32"/>
      <c r="C75" t="s">
        <v>20</v>
      </c>
      <c r="D75" t="s">
        <v>90</v>
      </c>
      <c r="E75">
        <v>1</v>
      </c>
      <c r="F75" s="4" t="s">
        <v>103</v>
      </c>
      <c r="G75" t="s">
        <v>93</v>
      </c>
      <c r="H75" t="s">
        <v>93</v>
      </c>
      <c r="I75" t="s">
        <v>93</v>
      </c>
      <c r="J75" t="s">
        <v>93</v>
      </c>
      <c r="K75" s="5">
        <v>1500000</v>
      </c>
      <c r="L75" s="6">
        <v>2250000</v>
      </c>
      <c r="M75" s="4">
        <v>5</v>
      </c>
      <c r="N75" s="5">
        <f>(L75+K75)*5%</f>
        <v>187500</v>
      </c>
      <c r="O75" s="5">
        <f>(L75+N75+K75)*1.12</f>
        <v>4410000</v>
      </c>
      <c r="P75" s="10">
        <v>110111</v>
      </c>
      <c r="Q75" s="8">
        <v>45.934321733398903</v>
      </c>
      <c r="R75">
        <v>239714</v>
      </c>
      <c r="S75">
        <v>121124</v>
      </c>
      <c r="T75" s="8">
        <v>50.528546517933798</v>
      </c>
    </row>
    <row r="76" spans="1:20" x14ac:dyDescent="0.25">
      <c r="A76" s="11" t="s">
        <v>100</v>
      </c>
      <c r="B76" s="32"/>
      <c r="C76" t="s">
        <v>20</v>
      </c>
      <c r="D76" t="s">
        <v>90</v>
      </c>
      <c r="E76">
        <v>1</v>
      </c>
      <c r="F76" s="4" t="s">
        <v>103</v>
      </c>
      <c r="G76" t="s">
        <v>93</v>
      </c>
      <c r="H76" t="s">
        <v>93</v>
      </c>
      <c r="I76" t="s">
        <v>93</v>
      </c>
      <c r="J76" t="s">
        <v>93</v>
      </c>
      <c r="K76" s="5">
        <v>1500000</v>
      </c>
      <c r="L76" s="6">
        <v>2250000</v>
      </c>
      <c r="M76" s="4">
        <v>5</v>
      </c>
      <c r="N76" s="5">
        <f>(L76+K76)*5%</f>
        <v>187500</v>
      </c>
      <c r="O76" s="5">
        <f>(L76+N76+K76)*1.12</f>
        <v>4410000</v>
      </c>
      <c r="P76" s="10">
        <v>119983</v>
      </c>
      <c r="Q76" s="8">
        <v>50.052562637142501</v>
      </c>
      <c r="R76">
        <v>239714</v>
      </c>
      <c r="S76">
        <v>131979</v>
      </c>
      <c r="T76" s="8">
        <v>55.056859424147099</v>
      </c>
    </row>
    <row r="77" spans="1:20" x14ac:dyDescent="0.25">
      <c r="A77" s="11" t="s">
        <v>100</v>
      </c>
      <c r="B77" s="32"/>
      <c r="C77" t="s">
        <v>19</v>
      </c>
      <c r="D77" t="s">
        <v>90</v>
      </c>
      <c r="E77">
        <v>1</v>
      </c>
      <c r="F77" s="4" t="s">
        <v>103</v>
      </c>
      <c r="G77" t="s">
        <v>93</v>
      </c>
      <c r="H77" t="s">
        <v>93</v>
      </c>
      <c r="I77" t="s">
        <v>93</v>
      </c>
      <c r="J77" t="s">
        <v>93</v>
      </c>
      <c r="K77" s="5">
        <v>1500000</v>
      </c>
      <c r="L77" s="6">
        <v>2250000</v>
      </c>
      <c r="M77" s="4">
        <v>5</v>
      </c>
      <c r="N77" s="5">
        <f>(L77+K77)*5%</f>
        <v>187500</v>
      </c>
      <c r="O77" s="5">
        <f>(L77+N77+K77)*1.12</f>
        <v>4410000</v>
      </c>
      <c r="P77" s="10">
        <v>42850</v>
      </c>
      <c r="Q77" s="8">
        <v>27.225190766943399</v>
      </c>
      <c r="R77">
        <v>157391</v>
      </c>
      <c r="S77">
        <v>47138</v>
      </c>
      <c r="T77" s="8">
        <v>29.949615924671601</v>
      </c>
    </row>
    <row r="78" spans="1:20" x14ac:dyDescent="0.25">
      <c r="A78" s="11" t="s">
        <v>100</v>
      </c>
      <c r="B78" s="32"/>
      <c r="C78" t="s">
        <v>19</v>
      </c>
      <c r="D78" t="s">
        <v>90</v>
      </c>
      <c r="E78">
        <v>1</v>
      </c>
      <c r="F78" s="4" t="s">
        <v>103</v>
      </c>
      <c r="G78" t="s">
        <v>93</v>
      </c>
      <c r="H78" t="s">
        <v>93</v>
      </c>
      <c r="I78" t="s">
        <v>93</v>
      </c>
      <c r="J78" t="s">
        <v>93</v>
      </c>
      <c r="K78" s="5">
        <v>1500000</v>
      </c>
      <c r="L78" s="6">
        <v>2250000</v>
      </c>
      <c r="M78" s="4">
        <v>5</v>
      </c>
      <c r="N78" s="5">
        <f>(L78+K78)*5%</f>
        <v>187500</v>
      </c>
      <c r="O78" s="5">
        <f>(L78+N78+K78)*1.12</f>
        <v>4410000</v>
      </c>
      <c r="P78" s="10">
        <v>71731</v>
      </c>
      <c r="Q78" s="8">
        <v>45.575032879897797</v>
      </c>
      <c r="R78">
        <v>157391</v>
      </c>
      <c r="S78">
        <v>78908</v>
      </c>
      <c r="T78" s="8">
        <v>50.135014073231602</v>
      </c>
    </row>
    <row r="79" spans="1:20" x14ac:dyDescent="0.25">
      <c r="A79" s="11" t="s">
        <v>100</v>
      </c>
      <c r="B79" s="32"/>
      <c r="C79" t="s">
        <v>19</v>
      </c>
      <c r="D79" t="s">
        <v>90</v>
      </c>
      <c r="E79">
        <v>1</v>
      </c>
      <c r="F79" s="4" t="s">
        <v>103</v>
      </c>
      <c r="G79" t="s">
        <v>93</v>
      </c>
      <c r="H79" t="s">
        <v>93</v>
      </c>
      <c r="I79" t="s">
        <v>93</v>
      </c>
      <c r="J79" t="s">
        <v>93</v>
      </c>
      <c r="K79" s="5">
        <v>1500000</v>
      </c>
      <c r="L79" s="6">
        <v>2250000</v>
      </c>
      <c r="M79" s="4">
        <v>5</v>
      </c>
      <c r="N79" s="5">
        <f>(L79+K79)*5%</f>
        <v>187500</v>
      </c>
      <c r="O79" s="5">
        <f>(L79+N79+K79)*1.12</f>
        <v>4410000</v>
      </c>
      <c r="P79" s="10">
        <v>64100</v>
      </c>
      <c r="Q79" s="8">
        <v>40.726598090106798</v>
      </c>
      <c r="R79">
        <v>157391</v>
      </c>
      <c r="S79">
        <v>70512</v>
      </c>
      <c r="T79" s="8">
        <v>44.800528619806698</v>
      </c>
    </row>
    <row r="80" spans="1:20" x14ac:dyDescent="0.25">
      <c r="A80" s="11" t="s">
        <v>100</v>
      </c>
      <c r="B80" s="33"/>
      <c r="C80" t="s">
        <v>19</v>
      </c>
      <c r="D80" t="s">
        <v>90</v>
      </c>
      <c r="E80">
        <v>1</v>
      </c>
      <c r="F80" s="4" t="s">
        <v>103</v>
      </c>
      <c r="G80" t="s">
        <v>93</v>
      </c>
      <c r="H80" t="s">
        <v>93</v>
      </c>
      <c r="I80" t="s">
        <v>93</v>
      </c>
      <c r="J80" t="s">
        <v>93</v>
      </c>
      <c r="K80" s="5">
        <v>1500000</v>
      </c>
      <c r="L80" s="6">
        <v>2250000</v>
      </c>
      <c r="M80" s="4">
        <v>5</v>
      </c>
      <c r="N80" s="5">
        <f>(L80+K80)*5%</f>
        <v>187500</v>
      </c>
      <c r="O80" s="5">
        <f>(L80+N80+K80)*1.12</f>
        <v>4410000</v>
      </c>
      <c r="P80" s="10">
        <v>81983</v>
      </c>
      <c r="Q80" s="8">
        <v>52.088747132936398</v>
      </c>
      <c r="R80">
        <v>157391</v>
      </c>
      <c r="S80">
        <v>90182</v>
      </c>
      <c r="T80" s="8">
        <v>57.298066598471301</v>
      </c>
    </row>
    <row r="81" spans="12:19" x14ac:dyDescent="0.25">
      <c r="L81" s="6"/>
      <c r="O81" s="6"/>
      <c r="P81" s="10"/>
      <c r="S81" s="36"/>
    </row>
  </sheetData>
  <protectedRanges>
    <protectedRange algorithmName="SHA-512" hashValue="20tZejZtY/ZGRcGLZm0ZbWfCu51ejQGMqdRYwv0b9rb/5Q/ejFDHQOXySZDQbnMuPhvZC4Bfbq/BWdBxp9Ls4w==" saltValue="Q+V8rXhHsE4u/j5xUQJeAg==" spinCount="100000" sqref="B17:B19" name="Диапазон1_9_1_1_1_1"/>
    <protectedRange algorithmName="SHA-512" hashValue="20tZejZtY/ZGRcGLZm0ZbWfCu51ejQGMqdRYwv0b9rb/5Q/ejFDHQOXySZDQbnMuPhvZC4Bfbq/BWdBxp9Ls4w==" saltValue="Q+V8rXhHsE4u/j5xUQJeAg==" spinCount="100000" sqref="B20" name="Диапазон1_2_1_1_1"/>
    <protectedRange algorithmName="SHA-512" hashValue="20tZejZtY/ZGRcGLZm0ZbWfCu51ejQGMqdRYwv0b9rb/5Q/ejFDHQOXySZDQbnMuPhvZC4Bfbq/BWdBxp9Ls4w==" saltValue="Q+V8rXhHsE4u/j5xUQJeAg==" spinCount="100000" sqref="B3:B4 B7:B8" name="Диапазон1_9_1_1_1_1_7"/>
    <protectedRange algorithmName="SHA-512" hashValue="20tZejZtY/ZGRcGLZm0ZbWfCu51ejQGMqdRYwv0b9rb/5Q/ejFDHQOXySZDQbnMuPhvZC4Bfbq/BWdBxp9Ls4w==" saltValue="Q+V8rXhHsE4u/j5xUQJeAg==" spinCount="100000" sqref="B12" name="Диапазон1_9_1_1_1_1_6_1"/>
    <protectedRange algorithmName="SHA-512" hashValue="20tZejZtY/ZGRcGLZm0ZbWfCu51ejQGMqdRYwv0b9rb/5Q/ejFDHQOXySZDQbnMuPhvZC4Bfbq/BWdBxp9Ls4w==" saltValue="Q+V8rXhHsE4u/j5xUQJeAg==" spinCount="100000" sqref="B14:B15" name="Диапазон1_9_1_1_1_1_11_1_1"/>
    <protectedRange algorithmName="SHA-512" hashValue="20tZejZtY/ZGRcGLZm0ZbWfCu51ejQGMqdRYwv0b9rb/5Q/ejFDHQOXySZDQbnMuPhvZC4Bfbq/BWdBxp9Ls4w==" saltValue="Q+V8rXhHsE4u/j5xUQJeAg==" spinCount="100000" sqref="B6 B16" name="Диапазон1_9_1_1_1_1_13"/>
    <protectedRange algorithmName="SHA-512" hashValue="20tZejZtY/ZGRcGLZm0ZbWfCu51ejQGMqdRYwv0b9rb/5Q/ejFDHQOXySZDQbnMuPhvZC4Bfbq/BWdBxp9Ls4w==" saltValue="Q+V8rXhHsE4u/j5xUQJeAg==" spinCount="100000" sqref="B26:B38" name="Диапазон1_9_1_1_1_1_1"/>
  </protectedRanges>
  <mergeCells count="5">
    <mergeCell ref="P1:R1"/>
    <mergeCell ref="S1:T1"/>
    <mergeCell ref="B39:B48"/>
    <mergeCell ref="B49:B71"/>
    <mergeCell ref="B72:B80"/>
  </mergeCells>
  <phoneticPr fontId="10" type="noConversion"/>
  <hyperlinks>
    <hyperlink ref="B18" r:id="rId1" xr:uid="{81A02529-C984-B342-B1BC-3BE1C3F9848C}"/>
    <hyperlink ref="B19" r:id="rId2" xr:uid="{2AB073C8-F397-224D-9C18-78C0639D7BA7}"/>
    <hyperlink ref="B21" r:id="rId3" xr:uid="{DE151060-0981-164A-AE79-2259AFACC3C5}"/>
    <hyperlink ref="B22" r:id="rId4" xr:uid="{7BB0B328-0294-604C-9756-7B860A85A8AD}"/>
    <hyperlink ref="B17" r:id="rId5" xr:uid="{CDC8786F-2A0A-9E49-B264-F2544B217101}"/>
    <hyperlink ref="B23" r:id="rId6" xr:uid="{55135711-26C7-1F4C-BD39-4AF603087D4E}"/>
    <hyperlink ref="B24" r:id="rId7" xr:uid="{758407B7-5C66-0C40-8B31-9F44770584D9}"/>
    <hyperlink ref="B3" r:id="rId8" xr:uid="{6C722284-7F11-7848-83FB-367169AB0ABD}"/>
    <hyperlink ref="B4" r:id="rId9" xr:uid="{36D3C421-4ABC-804F-BF10-FF3FCEC8D42F}"/>
    <hyperlink ref="B8" r:id="rId10" xr:uid="{C08C93E4-7A35-954A-86CD-D9DEEA597CCC}"/>
    <hyperlink ref="B12" r:id="rId11" xr:uid="{1B0C52E9-AD0D-BB42-A865-B4100636782F}"/>
    <hyperlink ref="B7" r:id="rId12" xr:uid="{2E770976-B59C-D242-869B-6A78B25AEA33}"/>
    <hyperlink ref="B13" r:id="rId13" xr:uid="{04831686-7246-354E-AE3A-A3F4B8DB6DD8}"/>
    <hyperlink ref="B14" r:id="rId14" xr:uid="{01134EEF-D44E-1947-9416-5EFC03BC36BC}"/>
    <hyperlink ref="B6" r:id="rId15" xr:uid="{056A6334-3301-6143-A5A9-DD986345A77E}"/>
    <hyperlink ref="B15" r:id="rId16" xr:uid="{71DEC459-3C71-C144-AE18-E10CCFD145FD}"/>
    <hyperlink ref="B16" r:id="rId17" xr:uid="{49C8CCE5-A491-CF45-9CA7-95C8B16F8371}"/>
    <hyperlink ref="B20" r:id="rId18" xr:uid="{AE66D8D6-0091-2B47-A4E2-677FDEFF8BEE}"/>
    <hyperlink ref="B11" r:id="rId19" xr:uid="{0EA6AE8D-628D-8F4D-82AB-BCD071C64216}"/>
    <hyperlink ref="B9" r:id="rId20" xr:uid="{623FF073-EC12-784A-ABF7-F4734F75B785}"/>
    <hyperlink ref="B10" r:id="rId21" xr:uid="{874A60A0-F96A-3E47-B1D8-E02118E1D10E}"/>
    <hyperlink ref="B5" r:id="rId22" xr:uid="{3BFB8EEE-2706-B74A-A1D6-3316B07454DF}"/>
    <hyperlink ref="B25" r:id="rId23" xr:uid="{DF6FE20B-3813-4440-9462-F2A1FC44C1E6}"/>
    <hyperlink ref="B26" r:id="rId24" xr:uid="{57B2772A-2D1E-5E43-B570-BABCE92D3323}"/>
    <hyperlink ref="B39:B48" r:id="rId25" display="Фото" xr:uid="{3E10A3C1-523F-994F-B114-57686AB278BB}"/>
    <hyperlink ref="B72:B80" r:id="rId26" display="Фото" xr:uid="{533AE2E4-DCC5-464A-9BD9-C3DF2C74AD13}"/>
    <hyperlink ref="B49:B66" r:id="rId27" display="Презентация " xr:uid="{E60FE14E-3850-1240-82BA-66C28205AB7E}"/>
    <hyperlink ref="B27" r:id="rId28" xr:uid="{251AA643-7AB5-D04E-8D66-1B668CF382AF}"/>
    <hyperlink ref="B28" r:id="rId29" xr:uid="{AC1BED27-940C-B244-BED5-47AEECD6C338}"/>
    <hyperlink ref="B29" r:id="rId30" xr:uid="{68A9C2EB-3C7E-E54F-B7DD-A5135A4745D4}"/>
    <hyperlink ref="B30" r:id="rId31" xr:uid="{0B0C7CB2-CAAE-E64D-876A-CF3C0E31BBDD}"/>
    <hyperlink ref="B31" r:id="rId32" xr:uid="{BEBA5FF2-4F40-7347-A088-8626E6336749}"/>
    <hyperlink ref="B32" r:id="rId33" xr:uid="{53CF4C8E-611B-4142-90C9-A424363C2C19}"/>
    <hyperlink ref="B33" r:id="rId34" xr:uid="{3FF13372-C41C-ED4A-90BA-C0674F3D29F9}"/>
    <hyperlink ref="B34" r:id="rId35" xr:uid="{0A07DADD-4C82-7144-9B2E-5CC8CB612C18}"/>
    <hyperlink ref="B35" r:id="rId36" xr:uid="{4622E3A2-B668-A947-8C9B-7651C6214D24}"/>
    <hyperlink ref="B36" r:id="rId37" xr:uid="{E6C96BEC-DA53-EC46-BB9E-FA3C36373C10}"/>
    <hyperlink ref="B37" r:id="rId38" xr:uid="{E106D998-9B40-9D4B-A8E8-64B6EB6FA5D0}"/>
    <hyperlink ref="B38" r:id="rId39" xr:uid="{0EECC662-9619-DA40-983C-2E3F15A921E5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68F3-DE76-884D-9675-CC65B0F164D5}">
  <dimension ref="A1:O44"/>
  <sheetViews>
    <sheetView workbookViewId="0">
      <selection activeCell="S1" sqref="S1:AG1048576"/>
    </sheetView>
  </sheetViews>
  <sheetFormatPr defaultColWidth="11.42578125" defaultRowHeight="15" x14ac:dyDescent="0.25"/>
  <sheetData>
    <row r="1" spans="1:15" x14ac:dyDescent="0.25">
      <c r="A1" s="34" t="s">
        <v>105</v>
      </c>
      <c r="B1" s="23" t="s">
        <v>106</v>
      </c>
      <c r="C1" s="23" t="s">
        <v>106</v>
      </c>
      <c r="D1" s="23" t="s">
        <v>106</v>
      </c>
      <c r="E1" s="23" t="s">
        <v>106</v>
      </c>
      <c r="F1" s="23" t="s">
        <v>106</v>
      </c>
      <c r="G1" s="23" t="s">
        <v>98</v>
      </c>
      <c r="H1" s="23" t="s">
        <v>100</v>
      </c>
      <c r="I1" s="23" t="s">
        <v>100</v>
      </c>
      <c r="J1" s="23" t="s">
        <v>100</v>
      </c>
      <c r="K1" s="23" t="s">
        <v>95</v>
      </c>
      <c r="L1" s="23" t="s">
        <v>95</v>
      </c>
      <c r="M1" s="23" t="s">
        <v>95</v>
      </c>
      <c r="N1" s="23" t="s">
        <v>95</v>
      </c>
      <c r="O1" s="23" t="s">
        <v>95</v>
      </c>
    </row>
    <row r="2" spans="1:15" x14ac:dyDescent="0.25">
      <c r="A2" s="35"/>
      <c r="B2" s="23" t="s">
        <v>108</v>
      </c>
      <c r="C2" s="23" t="s">
        <v>109</v>
      </c>
      <c r="D2" s="23" t="s">
        <v>17</v>
      </c>
      <c r="E2" s="23" t="s">
        <v>19</v>
      </c>
      <c r="F2" s="23" t="s">
        <v>20</v>
      </c>
      <c r="G2" s="23" t="s">
        <v>17</v>
      </c>
      <c r="H2" s="23" t="s">
        <v>108</v>
      </c>
      <c r="I2" s="23" t="s">
        <v>20</v>
      </c>
      <c r="J2" s="23" t="s">
        <v>19</v>
      </c>
      <c r="K2" s="23" t="s">
        <v>108</v>
      </c>
      <c r="L2" s="23" t="s">
        <v>109</v>
      </c>
      <c r="M2" s="23" t="s">
        <v>17</v>
      </c>
      <c r="N2" s="23" t="s">
        <v>19</v>
      </c>
      <c r="O2" s="23" t="s">
        <v>20</v>
      </c>
    </row>
    <row r="3" spans="1:15" x14ac:dyDescent="0.25">
      <c r="A3" s="24" t="s">
        <v>110</v>
      </c>
      <c r="B3" s="25">
        <v>75.606756104044507</v>
      </c>
      <c r="C3" s="25">
        <v>66.118206729410403</v>
      </c>
      <c r="D3" s="25">
        <v>78.602240081741996</v>
      </c>
      <c r="E3" s="25">
        <v>56.245275437363901</v>
      </c>
      <c r="F3" s="25">
        <v>72.600558736328907</v>
      </c>
      <c r="G3" s="25">
        <v>21.822625139327901</v>
      </c>
      <c r="H3" s="25">
        <v>35.913247563354801</v>
      </c>
      <c r="I3" s="25">
        <v>38.896819794806902</v>
      </c>
      <c r="J3" s="25">
        <v>31.369124748896901</v>
      </c>
      <c r="K3" s="25">
        <v>67.106469959838606</v>
      </c>
      <c r="L3" s="25">
        <v>46.707580086975902</v>
      </c>
      <c r="M3" s="25">
        <v>73.546289721995905</v>
      </c>
      <c r="N3" s="25">
        <v>37.085458810958997</v>
      </c>
      <c r="O3" s="25">
        <v>53.025255691044002</v>
      </c>
    </row>
    <row r="4" spans="1:15" x14ac:dyDescent="0.25">
      <c r="A4" s="24" t="s">
        <v>111</v>
      </c>
      <c r="B4" s="25">
        <v>72.212843899080298</v>
      </c>
      <c r="C4" s="25">
        <v>63.0899956785209</v>
      </c>
      <c r="D4" s="25">
        <v>75.092877990350999</v>
      </c>
      <c r="E4" s="25">
        <v>52.744203099041997</v>
      </c>
      <c r="F4" s="25">
        <v>69.882818124756</v>
      </c>
      <c r="G4" s="25">
        <v>18.342127368863999</v>
      </c>
      <c r="H4" s="25">
        <v>33.695397848632602</v>
      </c>
      <c r="I4" s="25">
        <v>36.918265477976902</v>
      </c>
      <c r="J4" s="25">
        <v>28.786816729631902</v>
      </c>
      <c r="K4" s="25">
        <v>63.829511523206698</v>
      </c>
      <c r="L4" s="25">
        <v>44.003224004862197</v>
      </c>
      <c r="M4" s="25">
        <v>70.088563803336001</v>
      </c>
      <c r="N4" s="25">
        <v>34.281924248948997</v>
      </c>
      <c r="O4" s="25">
        <v>50.386018042269001</v>
      </c>
    </row>
    <row r="5" spans="1:15" x14ac:dyDescent="0.25">
      <c r="A5" s="24" t="s">
        <v>112</v>
      </c>
      <c r="B5" s="25">
        <v>69.1987767284227</v>
      </c>
      <c r="C5" s="25">
        <v>60.375870607362003</v>
      </c>
      <c r="D5" s="25">
        <v>71.984120712932906</v>
      </c>
      <c r="E5" s="25">
        <v>49.855174216223901</v>
      </c>
      <c r="F5" s="25">
        <v>67.283531093180997</v>
      </c>
      <c r="G5" s="25">
        <v>16.191485768444998</v>
      </c>
      <c r="H5" s="25">
        <v>31.5096999339885</v>
      </c>
      <c r="I5" s="25">
        <v>34.912444864907997</v>
      </c>
      <c r="J5" s="25">
        <v>26.327157105171</v>
      </c>
      <c r="K5" s="25">
        <v>60.861082056877997</v>
      </c>
      <c r="L5" s="25">
        <v>41.474553896726903</v>
      </c>
      <c r="M5" s="25">
        <v>66.981304674062997</v>
      </c>
      <c r="N5" s="25">
        <v>31.745958945635898</v>
      </c>
      <c r="O5" s="25">
        <v>47.862137800658999</v>
      </c>
    </row>
    <row r="6" spans="1:15" x14ac:dyDescent="0.25">
      <c r="A6" s="24" t="s">
        <v>113</v>
      </c>
      <c r="B6" s="25">
        <v>64.877505864152099</v>
      </c>
      <c r="C6" s="25">
        <v>56.549048088377099</v>
      </c>
      <c r="D6" s="25">
        <v>67.506755166785993</v>
      </c>
      <c r="E6" s="25">
        <v>44.934856201872002</v>
      </c>
      <c r="F6" s="25">
        <v>64.17467393922</v>
      </c>
      <c r="G6" s="25">
        <v>12.002763431568001</v>
      </c>
      <c r="H6" s="25">
        <v>28.8770610996492</v>
      </c>
      <c r="I6" s="25">
        <v>32.625072277121902</v>
      </c>
      <c r="J6" s="25">
        <v>23.168661309339001</v>
      </c>
      <c r="K6" s="25">
        <v>56.855016237721301</v>
      </c>
      <c r="L6" s="25">
        <v>38.4982188638728</v>
      </c>
      <c r="M6" s="25">
        <v>62.650158386867901</v>
      </c>
      <c r="N6" s="25">
        <v>28.603643149769901</v>
      </c>
      <c r="O6" s="25">
        <v>44.994782127672003</v>
      </c>
    </row>
    <row r="7" spans="1:15" x14ac:dyDescent="0.25">
      <c r="A7" s="24" t="s">
        <v>114</v>
      </c>
      <c r="B7" s="25">
        <v>59.894829100904097</v>
      </c>
      <c r="C7" s="25">
        <v>52.120539520780802</v>
      </c>
      <c r="D7" s="25">
        <v>62.349130486265899</v>
      </c>
      <c r="E7" s="25">
        <v>39.424367694932997</v>
      </c>
      <c r="F7" s="25">
        <v>60.456569872959001</v>
      </c>
      <c r="G7" s="25">
        <v>8.2721747974319992</v>
      </c>
      <c r="H7" s="25">
        <v>25.708735933107</v>
      </c>
      <c r="I7" s="25">
        <v>29.987432653034901</v>
      </c>
      <c r="J7" s="25">
        <v>19.192076749793902</v>
      </c>
      <c r="K7" s="25">
        <v>52.140055793595103</v>
      </c>
      <c r="L7" s="25">
        <v>34.688114865803399</v>
      </c>
      <c r="M7" s="25">
        <v>57.649539631944002</v>
      </c>
      <c r="N7" s="25">
        <v>24.201784270131</v>
      </c>
      <c r="O7" s="25">
        <v>41.573211517577903</v>
      </c>
    </row>
    <row r="8" spans="1:15" x14ac:dyDescent="0.25">
      <c r="A8" s="24" t="s">
        <v>115</v>
      </c>
      <c r="B8" s="25">
        <v>44.716684451662402</v>
      </c>
      <c r="C8" s="25">
        <v>37.934197257750697</v>
      </c>
      <c r="D8" s="25">
        <v>46.857879160793999</v>
      </c>
      <c r="E8" s="25">
        <v>22.449150693566999</v>
      </c>
      <c r="F8" s="25">
        <v>48.101342121144</v>
      </c>
      <c r="G8" s="25">
        <v>2.2541136989669899</v>
      </c>
      <c r="H8" s="25">
        <v>14.6664333800202</v>
      </c>
      <c r="I8" s="25">
        <v>20.265549833957898</v>
      </c>
      <c r="J8" s="25">
        <v>6.1387119624089896</v>
      </c>
      <c r="K8" s="25">
        <v>37.755972400138504</v>
      </c>
      <c r="L8" s="25">
        <v>23.299228821813401</v>
      </c>
      <c r="M8" s="25">
        <v>42.319888553045999</v>
      </c>
      <c r="N8" s="25">
        <v>11.721211456851</v>
      </c>
      <c r="O8" s="25">
        <v>30.901103268398899</v>
      </c>
    </row>
    <row r="9" spans="1:15" x14ac:dyDescent="0.25">
      <c r="A9" s="24" t="s">
        <v>116</v>
      </c>
      <c r="B9" s="25">
        <v>35.672137439272802</v>
      </c>
      <c r="C9" s="25">
        <v>29.556474550166001</v>
      </c>
      <c r="D9" s="25">
        <v>37.602819303699</v>
      </c>
      <c r="E9" s="25">
        <v>14.028259723608</v>
      </c>
      <c r="F9" s="25">
        <v>39.751962755972997</v>
      </c>
      <c r="G9" s="25">
        <v>0.90088641785999901</v>
      </c>
      <c r="H9" s="25">
        <v>9.2555296074591897</v>
      </c>
      <c r="I9" s="25">
        <v>14.179472809709999</v>
      </c>
      <c r="J9" s="25">
        <v>1.756129255569</v>
      </c>
      <c r="K9" s="25">
        <v>29.351853332073301</v>
      </c>
      <c r="L9" s="25">
        <v>16.943270677522101</v>
      </c>
      <c r="M9" s="25">
        <v>33.269176102929002</v>
      </c>
      <c r="N9" s="25">
        <v>5.9946899874029898</v>
      </c>
      <c r="O9" s="25">
        <v>24.131870690031</v>
      </c>
    </row>
    <row r="10" spans="1:15" x14ac:dyDescent="0.25">
      <c r="A10" s="24" t="s">
        <v>117</v>
      </c>
      <c r="B10" s="25">
        <v>28.0029409905584</v>
      </c>
      <c r="C10" s="25">
        <v>22.671636129702101</v>
      </c>
      <c r="D10" s="25">
        <v>29.686005246261001</v>
      </c>
      <c r="E10" s="25">
        <v>8.029275044856</v>
      </c>
      <c r="F10" s="25">
        <v>32.285492030922001</v>
      </c>
      <c r="G10" s="25">
        <v>0.34687123383899998</v>
      </c>
      <c r="H10" s="25">
        <v>5.7534252425459602</v>
      </c>
      <c r="I10" s="25">
        <v>9.3953864000100005</v>
      </c>
      <c r="J10" s="25">
        <v>0.20654469092399999</v>
      </c>
      <c r="K10" s="25">
        <v>22.487957077341701</v>
      </c>
      <c r="L10" s="25">
        <v>12.0656110769257</v>
      </c>
      <c r="M10" s="25">
        <v>25.778235624842999</v>
      </c>
      <c r="N10" s="25">
        <v>2.5804103649479999</v>
      </c>
      <c r="O10" s="25">
        <v>18.293387615879901</v>
      </c>
    </row>
    <row r="11" spans="1:15" x14ac:dyDescent="0.25">
      <c r="A11" s="24" t="s">
        <v>118</v>
      </c>
      <c r="B11" s="25">
        <v>21.626255154855698</v>
      </c>
      <c r="C11" s="25">
        <v>17.146721488141999</v>
      </c>
      <c r="D11" s="25">
        <v>23.040419828127</v>
      </c>
      <c r="E11" s="25">
        <v>3.9372332016029898</v>
      </c>
      <c r="F11" s="25">
        <v>25.819784266730998</v>
      </c>
      <c r="G11" s="25">
        <v>0.12973962935700001</v>
      </c>
      <c r="H11" s="25">
        <v>3.60557485303198</v>
      </c>
      <c r="I11" s="25">
        <v>5.9729169010289898</v>
      </c>
      <c r="J11" s="25">
        <v>0</v>
      </c>
      <c r="K11" s="25">
        <v>16.994987599690699</v>
      </c>
      <c r="L11" s="25">
        <v>8.5586295045375795</v>
      </c>
      <c r="M11" s="25">
        <v>19.658300452517999</v>
      </c>
      <c r="N11" s="25">
        <v>0.82517999826599997</v>
      </c>
      <c r="O11" s="25">
        <v>13.636244292333</v>
      </c>
    </row>
    <row r="12" spans="1:15" x14ac:dyDescent="0.25">
      <c r="A12" s="24" t="s">
        <v>119</v>
      </c>
      <c r="B12" s="25">
        <v>18.895340940705101</v>
      </c>
      <c r="C12" s="25">
        <v>14.8597074312523</v>
      </c>
      <c r="D12" s="25">
        <v>20.169368723049001</v>
      </c>
      <c r="E12" s="25">
        <v>2.5083993774449902</v>
      </c>
      <c r="F12" s="25">
        <v>22.969307729510898</v>
      </c>
      <c r="G12" s="25">
        <v>7.9401851684999997E-2</v>
      </c>
      <c r="H12" s="25">
        <v>2.85151695147401</v>
      </c>
      <c r="I12" s="25">
        <v>4.7237609777279896</v>
      </c>
      <c r="J12" s="25">
        <v>0</v>
      </c>
      <c r="K12" s="25">
        <v>14.6948115992725</v>
      </c>
      <c r="L12" s="25">
        <v>7.2084539971594097</v>
      </c>
      <c r="M12" s="25">
        <v>17.058214408599</v>
      </c>
      <c r="N12" s="25">
        <v>0.363450739976999</v>
      </c>
      <c r="O12" s="25">
        <v>11.702734296395899</v>
      </c>
    </row>
    <row r="13" spans="1:15" x14ac:dyDescent="0.25">
      <c r="A13" s="24" t="s">
        <v>120</v>
      </c>
      <c r="B13" s="25">
        <v>16.453758200171901</v>
      </c>
      <c r="C13" s="25">
        <v>12.869899680091001</v>
      </c>
      <c r="D13" s="25">
        <v>17.585163049466999</v>
      </c>
      <c r="E13" s="25">
        <v>1.4438153056079901</v>
      </c>
      <c r="F13" s="25">
        <v>20.372018228795898</v>
      </c>
      <c r="G13" s="25">
        <v>4.9139259155999898E-2</v>
      </c>
      <c r="H13" s="25">
        <v>2.2501758216955601</v>
      </c>
      <c r="I13" s="25">
        <v>3.7275923378460001</v>
      </c>
      <c r="J13" s="25">
        <v>0</v>
      </c>
      <c r="K13" s="25">
        <v>12.663592483706701</v>
      </c>
      <c r="L13" s="25">
        <v>6.0803787830730203</v>
      </c>
      <c r="M13" s="25">
        <v>14.741877623342999</v>
      </c>
      <c r="N13" s="25">
        <v>0.101574444230999</v>
      </c>
      <c r="O13" s="25">
        <v>10.005931707368999</v>
      </c>
    </row>
    <row r="14" spans="1:15" x14ac:dyDescent="0.25">
      <c r="A14" s="24" t="s">
        <v>121</v>
      </c>
      <c r="B14" s="25">
        <v>12.3726438158367</v>
      </c>
      <c r="C14" s="25">
        <v>9.6912042772973308</v>
      </c>
      <c r="D14" s="25">
        <v>13.2191598487649</v>
      </c>
      <c r="E14" s="25">
        <v>0.24260012294700001</v>
      </c>
      <c r="F14" s="25">
        <v>15.8949523122779</v>
      </c>
      <c r="G14" s="25">
        <v>2.0574567857999999E-2</v>
      </c>
      <c r="H14" s="25">
        <v>1.3935631515639799</v>
      </c>
      <c r="I14" s="25">
        <v>2.3085464149019899</v>
      </c>
      <c r="J14" s="25">
        <v>0</v>
      </c>
      <c r="K14" s="25">
        <v>9.3249373604900594</v>
      </c>
      <c r="L14" s="25">
        <v>4.3748863445071198</v>
      </c>
      <c r="M14" s="25">
        <v>10.8876418289729</v>
      </c>
      <c r="N14" s="25">
        <v>0</v>
      </c>
      <c r="O14" s="25">
        <v>7.2473415897090003</v>
      </c>
    </row>
    <row r="15" spans="1:15" x14ac:dyDescent="0.25">
      <c r="A15" s="24" t="s">
        <v>122</v>
      </c>
      <c r="B15" s="25">
        <v>9.2267051952952901</v>
      </c>
      <c r="C15" s="25">
        <v>7.4044422328405499</v>
      </c>
      <c r="D15" s="25">
        <v>9.8019838065629994</v>
      </c>
      <c r="E15" s="25">
        <v>0</v>
      </c>
      <c r="F15" s="25">
        <v>12.266037998916</v>
      </c>
      <c r="G15" s="25">
        <v>1.098641973E-2</v>
      </c>
      <c r="H15" s="25">
        <v>0.84684554931503797</v>
      </c>
      <c r="I15" s="25">
        <v>1.4028659229780001</v>
      </c>
      <c r="J15" s="25">
        <v>0</v>
      </c>
      <c r="K15" s="25">
        <v>6.7827594478186297</v>
      </c>
      <c r="L15" s="25">
        <v>3.1398881790387199</v>
      </c>
      <c r="M15" s="25">
        <v>7.9327943043179996</v>
      </c>
      <c r="N15" s="25">
        <v>0</v>
      </c>
      <c r="O15" s="25">
        <v>5.2014704828970002</v>
      </c>
    </row>
    <row r="16" spans="1:15" x14ac:dyDescent="0.25">
      <c r="A16" s="24" t="s">
        <v>123</v>
      </c>
      <c r="B16" s="25">
        <v>4.2268946634242299</v>
      </c>
      <c r="C16" s="25">
        <v>3.6650819409697499</v>
      </c>
      <c r="D16" s="25">
        <v>4.4042559166709996</v>
      </c>
      <c r="E16" s="25">
        <v>0</v>
      </c>
      <c r="F16" s="25">
        <v>6.0714950489699904</v>
      </c>
      <c r="G16" s="25">
        <v>6.7916049239999899E-3</v>
      </c>
      <c r="H16" s="25">
        <v>0.19745259675400401</v>
      </c>
      <c r="I16" s="25">
        <v>0.32709567832499897</v>
      </c>
      <c r="J16" s="25">
        <v>0</v>
      </c>
      <c r="K16" s="25">
        <v>2.91116866752412</v>
      </c>
      <c r="L16" s="25">
        <v>1.3156070576394301</v>
      </c>
      <c r="M16" s="25">
        <v>3.41487888171299</v>
      </c>
      <c r="N16" s="25">
        <v>0</v>
      </c>
      <c r="O16" s="25">
        <v>2.1794060448029899</v>
      </c>
    </row>
    <row r="17" spans="1:15" x14ac:dyDescent="0.25">
      <c r="A17" s="24" t="s">
        <v>124</v>
      </c>
      <c r="B17" s="25">
        <v>1.8311487469429499</v>
      </c>
      <c r="C17" s="25">
        <v>1.6847077591136299</v>
      </c>
      <c r="D17" s="25">
        <v>1.877379378771</v>
      </c>
      <c r="E17" s="25">
        <v>0</v>
      </c>
      <c r="F17" s="25">
        <v>2.7908502410489899</v>
      </c>
      <c r="G17" s="25">
        <v>6.5918518380000003E-3</v>
      </c>
      <c r="H17" s="25">
        <v>2.4719256387524199E-2</v>
      </c>
      <c r="I17" s="25">
        <v>4.0949382629999899E-2</v>
      </c>
      <c r="J17" s="25">
        <v>0</v>
      </c>
      <c r="K17" s="25">
        <v>1.1869279953307601</v>
      </c>
      <c r="L17" s="25">
        <v>0.50861377289062104</v>
      </c>
      <c r="M17" s="25">
        <v>1.4010681452039999</v>
      </c>
      <c r="N17" s="25">
        <v>0</v>
      </c>
      <c r="O17" s="25">
        <v>0.84255851674799997</v>
      </c>
    </row>
    <row r="18" spans="1:15" x14ac:dyDescent="0.25">
      <c r="A18" s="24" t="s">
        <v>125</v>
      </c>
      <c r="B18" s="25">
        <v>0.35275685102069299</v>
      </c>
      <c r="C18" s="25">
        <v>0.29705311273495599</v>
      </c>
      <c r="D18" s="25">
        <v>0.37034222144399997</v>
      </c>
      <c r="E18" s="25">
        <v>0</v>
      </c>
      <c r="F18" s="25">
        <v>0.49209172736099899</v>
      </c>
      <c r="G18" s="25">
        <v>6.5918518380000003E-3</v>
      </c>
      <c r="H18" s="25">
        <v>0</v>
      </c>
      <c r="I18" s="25">
        <v>0</v>
      </c>
      <c r="J18" s="25">
        <v>0</v>
      </c>
      <c r="K18" s="25">
        <v>0.222316768745316</v>
      </c>
      <c r="L18" s="25">
        <v>6.5053847907655296E-2</v>
      </c>
      <c r="M18" s="25">
        <v>0.27196382658899998</v>
      </c>
      <c r="N18" s="25">
        <v>0</v>
      </c>
      <c r="O18" s="25">
        <v>0.107766789897</v>
      </c>
    </row>
    <row r="19" spans="1:15" x14ac:dyDescent="0.25">
      <c r="A19" s="26" t="s">
        <v>14</v>
      </c>
      <c r="B19" s="27">
        <v>19159771</v>
      </c>
      <c r="C19" s="27">
        <v>2785486</v>
      </c>
      <c r="D19" s="27">
        <v>16374285</v>
      </c>
      <c r="E19" s="27">
        <v>618052</v>
      </c>
      <c r="F19" s="27">
        <v>2167434</v>
      </c>
      <c r="G19" s="27">
        <v>1900178</v>
      </c>
      <c r="H19" s="27">
        <v>1054791</v>
      </c>
      <c r="I19" s="27">
        <v>794127</v>
      </c>
      <c r="J19" s="27">
        <v>260664</v>
      </c>
      <c r="K19" s="27">
        <v>16204802</v>
      </c>
      <c r="L19" s="27">
        <v>1730695</v>
      </c>
      <c r="M19" s="27">
        <v>14474107</v>
      </c>
      <c r="N19" s="27">
        <v>357388</v>
      </c>
      <c r="O19" s="27">
        <v>1373307</v>
      </c>
    </row>
    <row r="20" spans="1:15" x14ac:dyDescent="0.25">
      <c r="A20" s="24" t="s">
        <v>15</v>
      </c>
      <c r="B20" s="25">
        <v>1157.7026819626999</v>
      </c>
      <c r="C20" s="25">
        <v>701.44823157603105</v>
      </c>
      <c r="D20" s="25">
        <v>1301.7397567488699</v>
      </c>
      <c r="E20" s="25">
        <v>392.68573171273999</v>
      </c>
      <c r="F20" s="25">
        <v>904.17497517875404</v>
      </c>
      <c r="G20" s="25">
        <v>151.06230577393401</v>
      </c>
      <c r="H20" s="25">
        <v>265.62017602397299</v>
      </c>
      <c r="I20" s="25">
        <v>331.281026556646</v>
      </c>
      <c r="J20" s="25">
        <v>165.61556886988399</v>
      </c>
      <c r="K20" s="25">
        <v>979.15276419924805</v>
      </c>
      <c r="L20" s="25">
        <v>435.828055552058</v>
      </c>
      <c r="M20" s="25">
        <v>1150.67745097493</v>
      </c>
      <c r="N20" s="25">
        <v>227.07016284285601</v>
      </c>
      <c r="O20" s="25">
        <v>572.89394862210804</v>
      </c>
    </row>
    <row r="21" spans="1:15" x14ac:dyDescent="0.25">
      <c r="A21" s="26" t="s">
        <v>16</v>
      </c>
      <c r="B21" s="27">
        <v>1654982</v>
      </c>
      <c r="C21" s="27">
        <v>397105</v>
      </c>
      <c r="D21" s="27">
        <v>1257877</v>
      </c>
      <c r="E21" s="27">
        <v>157391</v>
      </c>
      <c r="F21" s="27">
        <v>239714</v>
      </c>
      <c r="G21" s="27">
        <v>1257877</v>
      </c>
      <c r="H21" s="27">
        <v>397105</v>
      </c>
      <c r="I21" s="27">
        <v>239714</v>
      </c>
      <c r="J21" s="27">
        <v>157391</v>
      </c>
      <c r="K21" s="27">
        <v>1654982</v>
      </c>
      <c r="L21" s="27">
        <v>397105</v>
      </c>
      <c r="M21" s="27">
        <v>1257877</v>
      </c>
      <c r="N21" s="27">
        <v>157391</v>
      </c>
      <c r="O21" s="27">
        <v>239714</v>
      </c>
    </row>
    <row r="22" spans="1:15" x14ac:dyDescent="0.25">
      <c r="A22" s="26" t="s">
        <v>126</v>
      </c>
      <c r="B22" s="27">
        <v>1251278</v>
      </c>
      <c r="C22" s="27">
        <v>262559</v>
      </c>
      <c r="D22" s="27">
        <v>988719</v>
      </c>
      <c r="E22" s="27">
        <v>88525</v>
      </c>
      <c r="F22" s="27">
        <v>174034</v>
      </c>
      <c r="G22" s="27">
        <v>274502</v>
      </c>
      <c r="H22" s="27">
        <v>142613</v>
      </c>
      <c r="I22" s="27">
        <v>93241</v>
      </c>
      <c r="J22" s="27">
        <v>49372</v>
      </c>
      <c r="K22" s="27">
        <v>1110600</v>
      </c>
      <c r="L22" s="27">
        <v>185478</v>
      </c>
      <c r="M22" s="27">
        <v>925122</v>
      </c>
      <c r="N22" s="27">
        <v>58369</v>
      </c>
      <c r="O22" s="27">
        <v>127109</v>
      </c>
    </row>
    <row r="23" spans="1:15" x14ac:dyDescent="0.25">
      <c r="A23" s="34" t="s">
        <v>107</v>
      </c>
      <c r="B23" s="23" t="s">
        <v>106</v>
      </c>
      <c r="C23" s="23" t="s">
        <v>106</v>
      </c>
      <c r="D23" s="23" t="s">
        <v>106</v>
      </c>
      <c r="E23" s="23" t="s">
        <v>106</v>
      </c>
      <c r="F23" s="23" t="s">
        <v>106</v>
      </c>
      <c r="G23" s="23" t="s">
        <v>98</v>
      </c>
      <c r="H23" s="23" t="s">
        <v>100</v>
      </c>
      <c r="I23" s="23" t="s">
        <v>100</v>
      </c>
      <c r="J23" s="23" t="s">
        <v>100</v>
      </c>
      <c r="K23" s="23" t="s">
        <v>95</v>
      </c>
      <c r="L23" s="23" t="s">
        <v>95</v>
      </c>
      <c r="M23" s="23" t="s">
        <v>95</v>
      </c>
      <c r="N23" s="23" t="s">
        <v>95</v>
      </c>
      <c r="O23" s="23" t="s">
        <v>95</v>
      </c>
    </row>
    <row r="24" spans="1:15" x14ac:dyDescent="0.25">
      <c r="A24" s="35"/>
      <c r="B24" s="23" t="s">
        <v>108</v>
      </c>
      <c r="C24" s="23" t="s">
        <v>109</v>
      </c>
      <c r="D24" s="23" t="s">
        <v>17</v>
      </c>
      <c r="E24" s="23" t="s">
        <v>19</v>
      </c>
      <c r="F24" s="23" t="s">
        <v>20</v>
      </c>
      <c r="G24" s="23" t="s">
        <v>17</v>
      </c>
      <c r="H24" s="23" t="s">
        <v>108</v>
      </c>
      <c r="I24" s="23" t="s">
        <v>20</v>
      </c>
      <c r="J24" s="23" t="s">
        <v>19</v>
      </c>
      <c r="K24" s="23" t="s">
        <v>108</v>
      </c>
      <c r="L24" s="23" t="s">
        <v>109</v>
      </c>
      <c r="M24" s="23" t="s">
        <v>17</v>
      </c>
      <c r="N24" s="23" t="s">
        <v>19</v>
      </c>
      <c r="O24" s="23" t="s">
        <v>20</v>
      </c>
    </row>
    <row r="25" spans="1:15" x14ac:dyDescent="0.25">
      <c r="A25" s="24" t="s">
        <v>110</v>
      </c>
      <c r="B25" s="25">
        <v>78.164949333075697</v>
      </c>
      <c r="C25" s="25">
        <v>67.772387632176901</v>
      </c>
      <c r="D25" s="25">
        <v>81.445825137494893</v>
      </c>
      <c r="E25" s="25">
        <v>57.581723459246902</v>
      </c>
      <c r="F25" s="25">
        <v>74.463356139821997</v>
      </c>
      <c r="G25" s="25">
        <v>25.277055132068998</v>
      </c>
      <c r="H25" s="25">
        <v>38.024710948228197</v>
      </c>
      <c r="I25" s="25">
        <v>41.202569666504999</v>
      </c>
      <c r="J25" s="25">
        <v>33.184680547550997</v>
      </c>
      <c r="K25" s="25">
        <v>69.397554649865299</v>
      </c>
      <c r="L25" s="25">
        <v>48.089468049062503</v>
      </c>
      <c r="M25" s="25">
        <v>76.124402926454906</v>
      </c>
      <c r="N25" s="25">
        <v>38.276586462776997</v>
      </c>
      <c r="O25" s="25">
        <v>54.532392724913898</v>
      </c>
    </row>
    <row r="26" spans="1:15" x14ac:dyDescent="0.25">
      <c r="A26" s="24" t="s">
        <v>111</v>
      </c>
      <c r="B26" s="25">
        <v>75.200110622556394</v>
      </c>
      <c r="C26" s="25">
        <v>65.012545980358297</v>
      </c>
      <c r="D26" s="25">
        <v>78.416269958675997</v>
      </c>
      <c r="E26" s="25">
        <v>54.497336058320997</v>
      </c>
      <c r="F26" s="25">
        <v>71.916604169864996</v>
      </c>
      <c r="G26" s="25">
        <v>21.753111065399999</v>
      </c>
      <c r="H26" s="25">
        <v>35.819439313169703</v>
      </c>
      <c r="I26" s="25">
        <v>39.207735473165997</v>
      </c>
      <c r="J26" s="25">
        <v>30.658902651623901</v>
      </c>
      <c r="K26" s="25">
        <v>66.461548746436804</v>
      </c>
      <c r="L26" s="25">
        <v>45.540905302705198</v>
      </c>
      <c r="M26" s="25">
        <v>73.066083303252</v>
      </c>
      <c r="N26" s="25">
        <v>35.700470789177999</v>
      </c>
      <c r="O26" s="25">
        <v>52.0019206314659</v>
      </c>
    </row>
    <row r="27" spans="1:15" x14ac:dyDescent="0.25">
      <c r="A27" s="24" t="s">
        <v>112</v>
      </c>
      <c r="B27" s="25">
        <v>72.467969682033299</v>
      </c>
      <c r="C27" s="25">
        <v>62.4638427189564</v>
      </c>
      <c r="D27" s="25">
        <v>75.626218729971001</v>
      </c>
      <c r="E27" s="25">
        <v>51.782591743037997</v>
      </c>
      <c r="F27" s="25">
        <v>69.476919854003995</v>
      </c>
      <c r="G27" s="25">
        <v>19.358670823517901</v>
      </c>
      <c r="H27" s="25">
        <v>33.619336721622901</v>
      </c>
      <c r="I27" s="25">
        <v>37.180741032980997</v>
      </c>
      <c r="J27" s="25">
        <v>28.195148088899899</v>
      </c>
      <c r="K27" s="25">
        <v>63.721083821552497</v>
      </c>
      <c r="L27" s="25">
        <v>43.119809047347303</v>
      </c>
      <c r="M27" s="25">
        <v>70.224795407987997</v>
      </c>
      <c r="N27" s="25">
        <v>33.287453510298</v>
      </c>
      <c r="O27" s="25">
        <v>49.575519895823902</v>
      </c>
    </row>
    <row r="28" spans="1:15" x14ac:dyDescent="0.25">
      <c r="A28" s="24" t="s">
        <v>113</v>
      </c>
      <c r="B28" s="25">
        <v>68.7340732417304</v>
      </c>
      <c r="C28" s="25">
        <v>58.991230885233897</v>
      </c>
      <c r="D28" s="25">
        <v>71.809836145397995</v>
      </c>
      <c r="E28" s="25">
        <v>47.422980641087896</v>
      </c>
      <c r="F28" s="25">
        <v>66.586692452669993</v>
      </c>
      <c r="G28" s="25">
        <v>15.135091573134</v>
      </c>
      <c r="H28" s="25">
        <v>30.961130533282301</v>
      </c>
      <c r="I28" s="25">
        <v>34.883081161265999</v>
      </c>
      <c r="J28" s="25">
        <v>24.987812663541</v>
      </c>
      <c r="K28" s="25">
        <v>60.169390966775403</v>
      </c>
      <c r="L28" s="25">
        <v>40.333154167387697</v>
      </c>
      <c r="M28" s="25">
        <v>66.431584181390903</v>
      </c>
      <c r="N28" s="25">
        <v>30.332406232556998</v>
      </c>
      <c r="O28" s="25">
        <v>46.899427802681998</v>
      </c>
    </row>
    <row r="29" spans="1:15" x14ac:dyDescent="0.25">
      <c r="A29" s="24" t="s">
        <v>114</v>
      </c>
      <c r="B29" s="25">
        <v>64.338881298129195</v>
      </c>
      <c r="C29" s="25">
        <v>54.926567841654901</v>
      </c>
      <c r="D29" s="25">
        <v>67.310298006704997</v>
      </c>
      <c r="E29" s="25">
        <v>42.376119046755001</v>
      </c>
      <c r="F29" s="25">
        <v>63.166919620349901</v>
      </c>
      <c r="G29" s="25">
        <v>11.175885532071</v>
      </c>
      <c r="H29" s="25">
        <v>27.8170002207859</v>
      </c>
      <c r="I29" s="25">
        <v>32.237651166824897</v>
      </c>
      <c r="J29" s="25">
        <v>21.084137980386</v>
      </c>
      <c r="K29" s="25">
        <v>55.953593643253598</v>
      </c>
      <c r="L29" s="25">
        <v>36.785821490731998</v>
      </c>
      <c r="M29" s="25">
        <v>62.004756166001997</v>
      </c>
      <c r="N29" s="25">
        <v>26.325958586654998</v>
      </c>
      <c r="O29" s="25">
        <v>43.653540031724901</v>
      </c>
    </row>
    <row r="30" spans="1:15" x14ac:dyDescent="0.25">
      <c r="A30" s="24" t="s">
        <v>115</v>
      </c>
      <c r="B30" s="25">
        <v>50.3958758638584</v>
      </c>
      <c r="C30" s="25">
        <v>41.545942012552999</v>
      </c>
      <c r="D30" s="25">
        <v>53.189752357364902</v>
      </c>
      <c r="E30" s="25">
        <v>25.669969452231001</v>
      </c>
      <c r="F30" s="25">
        <v>51.969760384620002</v>
      </c>
      <c r="G30" s="25">
        <v>3.7472680168169901</v>
      </c>
      <c r="H30" s="25">
        <v>16.458993108489199</v>
      </c>
      <c r="I30" s="25">
        <v>22.382632915928902</v>
      </c>
      <c r="J30" s="25">
        <v>7.4370071448659996</v>
      </c>
      <c r="K30" s="25">
        <v>42.632043450809299</v>
      </c>
      <c r="L30" s="25">
        <v>25.971139621416999</v>
      </c>
      <c r="M30" s="25">
        <v>47.891801133929903</v>
      </c>
      <c r="N30" s="25">
        <v>13.928882563323</v>
      </c>
      <c r="O30" s="25">
        <v>33.877823755971001</v>
      </c>
    </row>
    <row r="31" spans="1:15" x14ac:dyDescent="0.25">
      <c r="A31" s="24" t="s">
        <v>116</v>
      </c>
      <c r="B31" s="25">
        <v>41.724364271557</v>
      </c>
      <c r="C31" s="25">
        <v>33.412797215612002</v>
      </c>
      <c r="D31" s="25">
        <v>44.348281264832998</v>
      </c>
      <c r="E31" s="25">
        <v>16.899610458314999</v>
      </c>
      <c r="F31" s="25">
        <v>44.254996573671001</v>
      </c>
      <c r="G31" s="25">
        <v>1.6752292557389901</v>
      </c>
      <c r="H31" s="25">
        <v>10.637000188439099</v>
      </c>
      <c r="I31" s="25">
        <v>16.020097620657001</v>
      </c>
      <c r="J31" s="25">
        <v>2.43828604425899</v>
      </c>
      <c r="K31" s="25">
        <v>34.512192651253002</v>
      </c>
      <c r="L31" s="25">
        <v>19.800804243204499</v>
      </c>
      <c r="M31" s="25">
        <v>39.156498806606997</v>
      </c>
      <c r="N31" s="25">
        <v>7.5576580088099998</v>
      </c>
      <c r="O31" s="25">
        <v>27.839387842733998</v>
      </c>
    </row>
    <row r="32" spans="1:15" x14ac:dyDescent="0.25">
      <c r="A32" s="24" t="s">
        <v>117</v>
      </c>
      <c r="B32" s="25">
        <v>34.0307107553528</v>
      </c>
      <c r="C32" s="25">
        <v>26.418438179142001</v>
      </c>
      <c r="D32" s="25">
        <v>36.4338642444269</v>
      </c>
      <c r="E32" s="25">
        <v>10.404339237396</v>
      </c>
      <c r="F32" s="25">
        <v>36.932947329797997</v>
      </c>
      <c r="G32" s="25">
        <v>0.72030962811599897</v>
      </c>
      <c r="H32" s="25">
        <v>6.7665294184301299</v>
      </c>
      <c r="I32" s="25">
        <v>10.902123927708001</v>
      </c>
      <c r="J32" s="25">
        <v>0.46782172741199901</v>
      </c>
      <c r="K32" s="25">
        <v>27.5600000421366</v>
      </c>
      <c r="L32" s="25">
        <v>14.8889302948965</v>
      </c>
      <c r="M32" s="25">
        <v>31.560188575655999</v>
      </c>
      <c r="N32" s="25">
        <v>3.5575025851169899</v>
      </c>
      <c r="O32" s="25">
        <v>22.328899335795001</v>
      </c>
    </row>
    <row r="33" spans="1:15" x14ac:dyDescent="0.25">
      <c r="A33" s="24" t="s">
        <v>118</v>
      </c>
      <c r="B33" s="25">
        <v>27.299317283215601</v>
      </c>
      <c r="C33" s="25">
        <v>20.503236564697101</v>
      </c>
      <c r="D33" s="25">
        <v>29.444803394916001</v>
      </c>
      <c r="E33" s="25">
        <v>5.6958593707469998</v>
      </c>
      <c r="F33" s="25">
        <v>30.225438455003999</v>
      </c>
      <c r="G33" s="25">
        <v>0.30192678948899998</v>
      </c>
      <c r="H33" s="25">
        <v>4.3000653757829301</v>
      </c>
      <c r="I33" s="25">
        <v>7.1233947998459897</v>
      </c>
      <c r="J33" s="25">
        <v>0</v>
      </c>
      <c r="K33" s="25">
        <v>21.667539090549901</v>
      </c>
      <c r="L33" s="25">
        <v>11.0460943269757</v>
      </c>
      <c r="M33" s="25">
        <v>25.020672046188</v>
      </c>
      <c r="N33" s="25">
        <v>1.382191478577</v>
      </c>
      <c r="O33" s="25">
        <v>17.391202802961001</v>
      </c>
    </row>
    <row r="34" spans="1:15" x14ac:dyDescent="0.25">
      <c r="A34" s="24" t="s">
        <v>119</v>
      </c>
      <c r="B34" s="25">
        <v>24.3143185912046</v>
      </c>
      <c r="C34" s="25">
        <v>17.976379298879099</v>
      </c>
      <c r="D34" s="25">
        <v>26.315171920011</v>
      </c>
      <c r="E34" s="25">
        <v>3.9413281398659898</v>
      </c>
      <c r="F34" s="25">
        <v>27.191488708293001</v>
      </c>
      <c r="G34" s="25">
        <v>0.19435975267799999</v>
      </c>
      <c r="H34" s="25">
        <v>3.44652753998249</v>
      </c>
      <c r="I34" s="25">
        <v>5.7094425805949998</v>
      </c>
      <c r="J34" s="25">
        <v>0</v>
      </c>
      <c r="K34" s="25">
        <v>19.100546179441601</v>
      </c>
      <c r="L34" s="25">
        <v>9.4504673050384405</v>
      </c>
      <c r="M34" s="25">
        <v>22.147024150991999</v>
      </c>
      <c r="N34" s="25">
        <v>0.75007283793000001</v>
      </c>
      <c r="O34" s="25">
        <v>15.162957128631</v>
      </c>
    </row>
    <row r="35" spans="1:15" x14ac:dyDescent="0.25">
      <c r="A35" s="24" t="s">
        <v>120</v>
      </c>
      <c r="B35" s="25">
        <v>21.5890860187701</v>
      </c>
      <c r="C35" s="25">
        <v>15.7437321177015</v>
      </c>
      <c r="D35" s="25">
        <v>23.434432790262001</v>
      </c>
      <c r="E35" s="25">
        <v>2.5579381427729899</v>
      </c>
      <c r="F35" s="25">
        <v>24.4012377265019</v>
      </c>
      <c r="G35" s="25">
        <v>0.124945555293</v>
      </c>
      <c r="H35" s="25">
        <v>2.7557750511242798</v>
      </c>
      <c r="I35" s="25">
        <v>4.5651570274439903</v>
      </c>
      <c r="J35" s="25">
        <v>0</v>
      </c>
      <c r="K35" s="25">
        <v>16.782274242185601</v>
      </c>
      <c r="L35" s="25">
        <v>8.0622065914837897</v>
      </c>
      <c r="M35" s="25">
        <v>19.535152674998901</v>
      </c>
      <c r="N35" s="25">
        <v>0.33478617213599998</v>
      </c>
      <c r="O35" s="25">
        <v>13.135862811902999</v>
      </c>
    </row>
    <row r="36" spans="1:15" x14ac:dyDescent="0.25">
      <c r="A36" s="24" t="s">
        <v>121</v>
      </c>
      <c r="B36" s="25">
        <v>16.891604882568501</v>
      </c>
      <c r="C36" s="25">
        <v>12.1045501325363</v>
      </c>
      <c r="D36" s="25">
        <v>18.402852307008001</v>
      </c>
      <c r="E36" s="25">
        <v>0.77673987491099905</v>
      </c>
      <c r="F36" s="25">
        <v>19.542144033008999</v>
      </c>
      <c r="G36" s="25">
        <v>5.2435185074999897E-2</v>
      </c>
      <c r="H36" s="25">
        <v>1.7536202226525099</v>
      </c>
      <c r="I36" s="25">
        <v>2.9050091296980001</v>
      </c>
      <c r="J36" s="25">
        <v>0</v>
      </c>
      <c r="K36" s="25">
        <v>12.856558737062601</v>
      </c>
      <c r="L36" s="25">
        <v>5.8864387271696099</v>
      </c>
      <c r="M36" s="25">
        <v>15.056988116508</v>
      </c>
      <c r="N36" s="25">
        <v>0</v>
      </c>
      <c r="O36" s="25">
        <v>9.7513463992619993</v>
      </c>
    </row>
    <row r="37" spans="1:15" x14ac:dyDescent="0.25">
      <c r="A37" s="24" t="s">
        <v>122</v>
      </c>
      <c r="B37" s="25">
        <v>13.1045878436707</v>
      </c>
      <c r="C37" s="25">
        <v>9.3992105193061608</v>
      </c>
      <c r="D37" s="25">
        <v>14.2743555255599</v>
      </c>
      <c r="E37" s="25">
        <v>5.5331604822000002E-2</v>
      </c>
      <c r="F37" s="25">
        <v>15.534198238961901</v>
      </c>
      <c r="G37" s="25">
        <v>2.397037032E-2</v>
      </c>
      <c r="H37" s="25">
        <v>1.09916283707549</v>
      </c>
      <c r="I37" s="25">
        <v>1.82084925543299</v>
      </c>
      <c r="J37" s="25">
        <v>0</v>
      </c>
      <c r="K37" s="25">
        <v>9.7613763617861107</v>
      </c>
      <c r="L37" s="25">
        <v>4.3550506485278699</v>
      </c>
      <c r="M37" s="25">
        <v>11.468124296888901</v>
      </c>
      <c r="N37" s="25">
        <v>0</v>
      </c>
      <c r="O37" s="25">
        <v>7.2144822070619998</v>
      </c>
    </row>
    <row r="38" spans="1:15" x14ac:dyDescent="0.25">
      <c r="A38" s="24" t="s">
        <v>123</v>
      </c>
      <c r="B38" s="25">
        <v>6.6756233482773002</v>
      </c>
      <c r="C38" s="25">
        <v>5.0357948530925896</v>
      </c>
      <c r="D38" s="25">
        <v>7.1933083799459903</v>
      </c>
      <c r="E38" s="25">
        <v>0</v>
      </c>
      <c r="F38" s="25">
        <v>8.3421882540749994</v>
      </c>
      <c r="G38" s="25">
        <v>8.2897530689999901E-3</v>
      </c>
      <c r="H38" s="25">
        <v>0.28686395583375701</v>
      </c>
      <c r="I38" s="25">
        <v>0.47521259159399898</v>
      </c>
      <c r="J38" s="25">
        <v>0</v>
      </c>
      <c r="K38" s="25">
        <v>4.6876813867246696</v>
      </c>
      <c r="L38" s="25">
        <v>2.04337814020968</v>
      </c>
      <c r="M38" s="25">
        <v>5.5224736920989903</v>
      </c>
      <c r="N38" s="25">
        <v>0</v>
      </c>
      <c r="O38" s="25">
        <v>3.3850157953559901</v>
      </c>
    </row>
    <row r="39" spans="1:15" x14ac:dyDescent="0.25">
      <c r="A39" s="24" t="s">
        <v>124</v>
      </c>
      <c r="B39" s="25">
        <v>3.2019078295443202</v>
      </c>
      <c r="C39" s="25">
        <v>2.5152747737344399</v>
      </c>
      <c r="D39" s="25">
        <v>3.4186741903470002</v>
      </c>
      <c r="E39" s="25">
        <v>0</v>
      </c>
      <c r="F39" s="25">
        <v>4.1667494974169896</v>
      </c>
      <c r="G39" s="25">
        <v>7.1911110959999996E-3</v>
      </c>
      <c r="H39" s="25">
        <v>4.76900775671504E-2</v>
      </c>
      <c r="I39" s="25">
        <v>7.9002345513000005E-2</v>
      </c>
      <c r="J39" s="25">
        <v>0</v>
      </c>
      <c r="K39" s="25">
        <v>2.1264028871524498</v>
      </c>
      <c r="L39" s="25">
        <v>0.90183082205997001</v>
      </c>
      <c r="M39" s="25">
        <v>2.5129936984229899</v>
      </c>
      <c r="N39" s="25">
        <v>0</v>
      </c>
      <c r="O39" s="25">
        <v>1.493953330194</v>
      </c>
    </row>
    <row r="40" spans="1:15" x14ac:dyDescent="0.25">
      <c r="A40" s="24" t="s">
        <v>125</v>
      </c>
      <c r="B40" s="25">
        <v>0.68291704253928498</v>
      </c>
      <c r="C40" s="25">
        <v>0.53061994016244096</v>
      </c>
      <c r="D40" s="25">
        <v>0.73099641821700001</v>
      </c>
      <c r="E40" s="25">
        <v>0</v>
      </c>
      <c r="F40" s="25">
        <v>0.87901345494299998</v>
      </c>
      <c r="G40" s="25">
        <v>7.091234553E-3</v>
      </c>
      <c r="H40" s="25">
        <v>0</v>
      </c>
      <c r="I40" s="25">
        <v>0</v>
      </c>
      <c r="J40" s="25">
        <v>0</v>
      </c>
      <c r="K40" s="25">
        <v>0.42167750886392502</v>
      </c>
      <c r="L40" s="25">
        <v>0.145481867470965</v>
      </c>
      <c r="M40" s="25">
        <v>0.50887098658499996</v>
      </c>
      <c r="N40" s="25">
        <v>0</v>
      </c>
      <c r="O40" s="25">
        <v>0.24100209825899899</v>
      </c>
    </row>
    <row r="41" spans="1:15" x14ac:dyDescent="0.25">
      <c r="A41" s="26" t="s">
        <v>14</v>
      </c>
      <c r="B41" s="27">
        <v>21889565</v>
      </c>
      <c r="C41" s="27">
        <v>3055914</v>
      </c>
      <c r="D41" s="27">
        <v>18833651</v>
      </c>
      <c r="E41" s="27">
        <v>679880</v>
      </c>
      <c r="F41" s="27">
        <v>2376034</v>
      </c>
      <c r="G41" s="27">
        <v>2409971</v>
      </c>
      <c r="H41" s="27">
        <v>1160288</v>
      </c>
      <c r="I41" s="27">
        <v>873548</v>
      </c>
      <c r="J41" s="27">
        <v>286740</v>
      </c>
      <c r="K41" s="27">
        <v>18319306</v>
      </c>
      <c r="L41" s="27">
        <v>1895626</v>
      </c>
      <c r="M41" s="27">
        <v>16423680</v>
      </c>
      <c r="N41" s="27">
        <v>393140</v>
      </c>
      <c r="O41" s="27">
        <v>1502486</v>
      </c>
    </row>
    <row r="42" spans="1:15" x14ac:dyDescent="0.25">
      <c r="A42" s="24" t="s">
        <v>15</v>
      </c>
      <c r="B42" s="25">
        <v>1322.64671156544</v>
      </c>
      <c r="C42" s="25">
        <v>769.54810440563494</v>
      </c>
      <c r="D42" s="25">
        <v>1497.25696550616</v>
      </c>
      <c r="E42" s="25">
        <v>431.96879109987202</v>
      </c>
      <c r="F42" s="25">
        <v>991.19534111482801</v>
      </c>
      <c r="G42" s="25">
        <v>191.590354223823</v>
      </c>
      <c r="H42" s="25">
        <v>292.186701250299</v>
      </c>
      <c r="I42" s="25">
        <v>364.41259167174201</v>
      </c>
      <c r="J42" s="25">
        <v>182.183225216181</v>
      </c>
      <c r="K42" s="25">
        <v>1106.91874594406</v>
      </c>
      <c r="L42" s="25">
        <v>477.36140315533601</v>
      </c>
      <c r="M42" s="25">
        <v>1305.66661128234</v>
      </c>
      <c r="N42" s="25">
        <v>249.78556588369</v>
      </c>
      <c r="O42" s="25">
        <v>626.782749443086</v>
      </c>
    </row>
    <row r="43" spans="1:15" x14ac:dyDescent="0.25">
      <c r="A43" s="26" t="s">
        <v>16</v>
      </c>
      <c r="B43" s="27">
        <v>1654982</v>
      </c>
      <c r="C43" s="27">
        <v>397105</v>
      </c>
      <c r="D43" s="27">
        <v>1257877</v>
      </c>
      <c r="E43" s="27">
        <v>157391</v>
      </c>
      <c r="F43" s="27">
        <v>239714</v>
      </c>
      <c r="G43" s="27">
        <v>1257877</v>
      </c>
      <c r="H43" s="27">
        <v>397105</v>
      </c>
      <c r="I43" s="27">
        <v>239714</v>
      </c>
      <c r="J43" s="27">
        <v>157391</v>
      </c>
      <c r="K43" s="27">
        <v>1654982</v>
      </c>
      <c r="L43" s="27">
        <v>397105</v>
      </c>
      <c r="M43" s="27">
        <v>1257877</v>
      </c>
      <c r="N43" s="27">
        <v>157391</v>
      </c>
      <c r="O43" s="27">
        <v>239714</v>
      </c>
    </row>
    <row r="44" spans="1:15" x14ac:dyDescent="0.25">
      <c r="A44" s="26" t="s">
        <v>126</v>
      </c>
      <c r="B44" s="27">
        <v>1293616</v>
      </c>
      <c r="C44" s="27">
        <v>269128</v>
      </c>
      <c r="D44" s="27">
        <v>1024488</v>
      </c>
      <c r="E44" s="27">
        <v>90628</v>
      </c>
      <c r="F44" s="27">
        <v>178499</v>
      </c>
      <c r="G44" s="27">
        <v>317954</v>
      </c>
      <c r="H44" s="27">
        <v>150998</v>
      </c>
      <c r="I44" s="27">
        <v>98768</v>
      </c>
      <c r="J44" s="27">
        <v>52230</v>
      </c>
      <c r="K44" s="27">
        <v>1148517</v>
      </c>
      <c r="L44" s="27">
        <v>190966</v>
      </c>
      <c r="M44" s="27">
        <v>957551</v>
      </c>
      <c r="N44" s="27">
        <v>60244</v>
      </c>
      <c r="O44" s="27">
        <v>130722</v>
      </c>
    </row>
  </sheetData>
  <protectedRanges>
    <protectedRange sqref="E1:O22" name="Range1_1_5"/>
  </protectedRanges>
  <mergeCells count="2">
    <mergeCell ref="A1:A2"/>
    <mergeCell ref="A23:A24"/>
  </mergeCells>
  <conditionalFormatting sqref="B3:O18">
    <cfRule type="colorScale" priority="3">
      <colorScale>
        <cfvo type="min"/>
        <cfvo type="max"/>
        <color rgb="FFFCFCFF"/>
        <color rgb="FF63BE7B"/>
      </colorScale>
    </cfRule>
  </conditionalFormatting>
  <conditionalFormatting sqref="B25:O4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Медиаплан</vt:lpstr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2026-04-17T12:45:15Z</dcterms:modified>
  <cp:category/>
</cp:coreProperties>
</file>