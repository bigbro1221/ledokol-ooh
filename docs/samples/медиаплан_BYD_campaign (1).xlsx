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 filterPrivacy="1"/>
  <xr:revisionPtr revIDLastSave="0" documentId="13_ncr:1_{285F14BB-909C-3C4B-BE08-6AF7E07E08E0}" xr6:coauthVersionLast="47" xr6:coauthVersionMax="47" xr10:uidLastSave="{00000000-0000-0000-0000-000000000000}"/>
  <bookViews>
    <workbookView xWindow="680" yWindow="880" windowWidth="29400" windowHeight="16520" xr2:uid="{00000000-000D-0000-FFFF-FFFF00000000}"/>
  </bookViews>
  <sheets>
    <sheet name="Медиаплан" sheetId="1" r:id="rId1"/>
  </sheets>
  <definedNames>
    <definedName name="_xlnm._FilterDatabase" localSheetId="0" hidden="1">Медиаплан!$A$2:$T$215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15" i="1" l="1"/>
  <c r="O215" i="1" s="1"/>
  <c r="N214" i="1"/>
  <c r="O214" i="1" s="1"/>
  <c r="N213" i="1"/>
  <c r="O213" i="1" s="1"/>
  <c r="N212" i="1"/>
  <c r="O212" i="1" s="1"/>
  <c r="N211" i="1"/>
  <c r="O211" i="1" s="1"/>
  <c r="N210" i="1"/>
  <c r="O210" i="1" s="1"/>
  <c r="N209" i="1"/>
  <c r="O209" i="1" s="1"/>
  <c r="N208" i="1"/>
  <c r="O208" i="1" s="1"/>
  <c r="N207" i="1"/>
  <c r="O207" i="1" s="1"/>
  <c r="N206" i="1"/>
  <c r="O206" i="1" s="1"/>
  <c r="N205" i="1"/>
  <c r="O205" i="1" s="1"/>
  <c r="N204" i="1"/>
  <c r="O204" i="1" s="1"/>
  <c r="N203" i="1"/>
  <c r="O203" i="1" s="1"/>
  <c r="N202" i="1"/>
  <c r="O202" i="1" s="1"/>
  <c r="N201" i="1"/>
  <c r="O201" i="1" s="1"/>
  <c r="N200" i="1"/>
  <c r="O200" i="1" s="1"/>
  <c r="N199" i="1"/>
  <c r="O199" i="1" s="1"/>
  <c r="N198" i="1"/>
  <c r="O198" i="1" s="1"/>
  <c r="N197" i="1"/>
  <c r="O197" i="1" s="1"/>
  <c r="N196" i="1"/>
  <c r="O196" i="1" s="1"/>
  <c r="N195" i="1"/>
  <c r="O195" i="1" s="1"/>
  <c r="N194" i="1"/>
  <c r="O194" i="1" s="1"/>
  <c r="N193" i="1"/>
  <c r="O193" i="1" s="1"/>
  <c r="N192" i="1"/>
  <c r="O192" i="1" s="1"/>
  <c r="N191" i="1"/>
  <c r="O191" i="1" s="1"/>
  <c r="N190" i="1"/>
  <c r="O190" i="1" s="1"/>
  <c r="N189" i="1"/>
  <c r="O189" i="1" s="1"/>
  <c r="N188" i="1"/>
  <c r="O188" i="1" s="1"/>
  <c r="N187" i="1"/>
  <c r="O187" i="1" s="1"/>
  <c r="N186" i="1"/>
  <c r="O186" i="1" s="1"/>
  <c r="N185" i="1"/>
  <c r="O185" i="1" s="1"/>
  <c r="N184" i="1"/>
  <c r="O184" i="1" s="1"/>
  <c r="N183" i="1"/>
  <c r="O183" i="1" s="1"/>
  <c r="N182" i="1"/>
  <c r="O182" i="1" s="1"/>
  <c r="N181" i="1"/>
  <c r="O181" i="1" s="1"/>
  <c r="N180" i="1"/>
  <c r="O180" i="1" s="1"/>
  <c r="N179" i="1"/>
  <c r="O179" i="1" s="1"/>
  <c r="N178" i="1"/>
  <c r="O178" i="1" s="1"/>
  <c r="N177" i="1"/>
  <c r="O177" i="1" s="1"/>
  <c r="N176" i="1"/>
  <c r="O176" i="1" s="1"/>
  <c r="N175" i="1"/>
  <c r="O175" i="1" s="1"/>
  <c r="N174" i="1"/>
  <c r="O174" i="1" s="1"/>
  <c r="N173" i="1"/>
  <c r="O173" i="1" s="1"/>
  <c r="N172" i="1"/>
  <c r="O172" i="1" s="1"/>
  <c r="N171" i="1"/>
  <c r="O171" i="1" s="1"/>
  <c r="N170" i="1"/>
  <c r="O170" i="1" s="1"/>
  <c r="N169" i="1"/>
  <c r="O169" i="1" s="1"/>
  <c r="N168" i="1"/>
  <c r="O168" i="1" s="1"/>
  <c r="N167" i="1"/>
  <c r="O167" i="1" s="1"/>
  <c r="N166" i="1"/>
  <c r="O166" i="1" s="1"/>
  <c r="N165" i="1"/>
  <c r="O165" i="1" s="1"/>
  <c r="N164" i="1"/>
  <c r="O164" i="1" s="1"/>
  <c r="N163" i="1"/>
  <c r="O163" i="1" s="1"/>
  <c r="N162" i="1"/>
  <c r="O162" i="1" s="1"/>
  <c r="N161" i="1"/>
  <c r="O161" i="1" s="1"/>
  <c r="N160" i="1"/>
  <c r="O160" i="1" s="1"/>
  <c r="N159" i="1"/>
  <c r="O159" i="1" s="1"/>
  <c r="N158" i="1"/>
  <c r="O158" i="1" s="1"/>
  <c r="N157" i="1"/>
  <c r="O157" i="1" s="1"/>
  <c r="N156" i="1"/>
  <c r="O156" i="1" s="1"/>
  <c r="N155" i="1"/>
  <c r="O155" i="1" s="1"/>
  <c r="N154" i="1"/>
  <c r="O154" i="1" s="1"/>
  <c r="N153" i="1"/>
  <c r="O153" i="1" s="1"/>
  <c r="N152" i="1"/>
  <c r="O152" i="1" s="1"/>
  <c r="N151" i="1"/>
  <c r="O151" i="1" s="1"/>
  <c r="N150" i="1"/>
  <c r="O150" i="1" s="1"/>
  <c r="N149" i="1"/>
  <c r="O149" i="1" s="1"/>
  <c r="N148" i="1"/>
  <c r="O148" i="1" s="1"/>
  <c r="N147" i="1"/>
  <c r="O147" i="1" s="1"/>
  <c r="N146" i="1"/>
  <c r="O146" i="1" s="1"/>
  <c r="N145" i="1"/>
  <c r="O145" i="1" s="1"/>
  <c r="N144" i="1"/>
  <c r="O144" i="1" s="1"/>
  <c r="N143" i="1"/>
  <c r="O143" i="1" s="1"/>
  <c r="N142" i="1"/>
  <c r="O142" i="1" s="1"/>
  <c r="N141" i="1"/>
  <c r="O141" i="1" s="1"/>
  <c r="N140" i="1"/>
  <c r="O140" i="1" s="1"/>
  <c r="N139" i="1"/>
  <c r="O139" i="1" s="1"/>
  <c r="N138" i="1"/>
  <c r="O138" i="1" s="1"/>
  <c r="N137" i="1"/>
  <c r="O137" i="1" s="1"/>
  <c r="N136" i="1"/>
  <c r="O136" i="1" s="1"/>
  <c r="N135" i="1"/>
  <c r="O135" i="1" s="1"/>
  <c r="N134" i="1"/>
  <c r="O134" i="1" s="1"/>
  <c r="N133" i="1"/>
  <c r="O133" i="1" s="1"/>
  <c r="N132" i="1"/>
  <c r="O132" i="1" s="1"/>
  <c r="N131" i="1"/>
  <c r="O131" i="1" s="1"/>
  <c r="N130" i="1"/>
  <c r="O130" i="1" s="1"/>
  <c r="N129" i="1"/>
  <c r="O129" i="1" s="1"/>
  <c r="N128" i="1"/>
  <c r="O128" i="1" s="1"/>
  <c r="N127" i="1"/>
  <c r="O127" i="1" s="1"/>
  <c r="N126" i="1"/>
  <c r="O126" i="1" s="1"/>
  <c r="N125" i="1"/>
  <c r="O125" i="1" s="1"/>
  <c r="N124" i="1"/>
  <c r="O124" i="1" s="1"/>
  <c r="N123" i="1"/>
  <c r="O123" i="1" s="1"/>
  <c r="N122" i="1"/>
  <c r="O122" i="1" s="1"/>
  <c r="N121" i="1"/>
  <c r="O121" i="1" s="1"/>
  <c r="N120" i="1"/>
  <c r="O120" i="1" s="1"/>
  <c r="N119" i="1"/>
  <c r="O119" i="1" s="1"/>
  <c r="N118" i="1"/>
  <c r="O118" i="1" s="1"/>
  <c r="N117" i="1"/>
  <c r="O117" i="1" s="1"/>
  <c r="N116" i="1"/>
  <c r="O116" i="1" s="1"/>
  <c r="N115" i="1"/>
  <c r="O115" i="1" s="1"/>
  <c r="N114" i="1"/>
  <c r="O114" i="1" s="1"/>
  <c r="N113" i="1"/>
  <c r="O113" i="1" s="1"/>
  <c r="N112" i="1"/>
  <c r="O112" i="1" s="1"/>
  <c r="N111" i="1"/>
  <c r="O111" i="1" s="1"/>
  <c r="N110" i="1"/>
  <c r="O110" i="1" s="1"/>
  <c r="N109" i="1"/>
  <c r="O109" i="1" s="1"/>
  <c r="N108" i="1"/>
  <c r="O108" i="1" s="1"/>
  <c r="N107" i="1"/>
  <c r="O107" i="1" s="1"/>
  <c r="N106" i="1"/>
  <c r="O106" i="1" s="1"/>
  <c r="N105" i="1"/>
  <c r="O105" i="1" s="1"/>
  <c r="N104" i="1"/>
  <c r="O104" i="1" s="1"/>
  <c r="N103" i="1"/>
  <c r="O103" i="1" s="1"/>
  <c r="N102" i="1"/>
  <c r="O102" i="1" s="1"/>
  <c r="N101" i="1"/>
  <c r="O101" i="1" s="1"/>
  <c r="N100" i="1"/>
  <c r="O100" i="1" s="1"/>
  <c r="N99" i="1"/>
  <c r="O99" i="1" s="1"/>
  <c r="N98" i="1"/>
  <c r="O98" i="1" s="1"/>
  <c r="N97" i="1"/>
  <c r="O97" i="1" s="1"/>
  <c r="N96" i="1"/>
  <c r="O96" i="1" s="1"/>
  <c r="N95" i="1"/>
  <c r="O95" i="1" s="1"/>
  <c r="N94" i="1"/>
  <c r="O94" i="1" s="1"/>
  <c r="N93" i="1"/>
  <c r="O93" i="1" s="1"/>
  <c r="N92" i="1"/>
  <c r="O92" i="1" s="1"/>
  <c r="N91" i="1"/>
  <c r="O91" i="1" s="1"/>
  <c r="N90" i="1"/>
  <c r="O90" i="1" s="1"/>
  <c r="N89" i="1"/>
  <c r="O89" i="1" s="1"/>
  <c r="N88" i="1"/>
  <c r="O88" i="1" s="1"/>
  <c r="N87" i="1"/>
  <c r="O87" i="1" s="1"/>
  <c r="N86" i="1"/>
  <c r="O86" i="1" s="1"/>
  <c r="N85" i="1"/>
  <c r="O85" i="1" s="1"/>
  <c r="N84" i="1"/>
  <c r="O84" i="1" s="1"/>
  <c r="N83" i="1"/>
  <c r="O83" i="1" s="1"/>
  <c r="N82" i="1"/>
  <c r="O82" i="1" s="1"/>
  <c r="N81" i="1"/>
  <c r="O81" i="1" s="1"/>
  <c r="N80" i="1"/>
  <c r="O80" i="1" s="1"/>
  <c r="N79" i="1"/>
  <c r="O79" i="1" s="1"/>
  <c r="N78" i="1"/>
  <c r="O78" i="1" s="1"/>
  <c r="N77" i="1"/>
  <c r="O77" i="1" s="1"/>
  <c r="N76" i="1"/>
  <c r="O76" i="1" s="1"/>
  <c r="N75" i="1"/>
  <c r="O75" i="1" s="1"/>
  <c r="N74" i="1"/>
  <c r="O74" i="1" s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3" i="1"/>
  <c r="O73" i="1" l="1"/>
  <c r="O7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3" i="1"/>
</calcChain>
</file>

<file path=xl/sharedStrings.xml><?xml version="1.0" encoding="utf-8"?>
<sst xmlns="http://schemas.openxmlformats.org/spreadsheetml/2006/main" count="1738" uniqueCount="126">
  <si>
    <t/>
  </si>
  <si>
    <t>плановые охваты</t>
  </si>
  <si>
    <t>Фактические охваты</t>
  </si>
  <si>
    <t>Тип Внешней Рекламы</t>
  </si>
  <si>
    <t>Фото конструкции</t>
  </si>
  <si>
    <t>Город</t>
  </si>
  <si>
    <t>Адрес расположения</t>
  </si>
  <si>
    <t>Кол-во носителей</t>
  </si>
  <si>
    <t>Период размещения</t>
  </si>
  <si>
    <t>Длительность ролика</t>
  </si>
  <si>
    <t>Время работы</t>
  </si>
  <si>
    <t>Кол-во выходов в блоке</t>
  </si>
  <si>
    <t>Общая сумма (без  АК и НДС)</t>
  </si>
  <si>
    <t>ots</t>
  </si>
  <si>
    <t>rating</t>
  </si>
  <si>
    <t>universe</t>
  </si>
  <si>
    <t>Ташкент</t>
  </si>
  <si>
    <t>Фергана</t>
  </si>
  <si>
    <t>Самарканд</t>
  </si>
  <si>
    <t>ул. Паркентская и ул. Олтин тепа, возле новостройки</t>
  </si>
  <si>
    <t xml:space="preserve">ул. Нукусская и Авлиё Ота (Госпитальный рынок) </t>
  </si>
  <si>
    <t>ул. Шахрисабз, ор. Автодорожный университет</t>
  </si>
  <si>
    <t>ул. Нукусская и ул. Эльбек, перекресток Винзавода</t>
  </si>
  <si>
    <t>(САГБОН) пересечение улиц Малая колцевая и Сагбон</t>
  </si>
  <si>
    <t>07.00-23.00</t>
  </si>
  <si>
    <t>Экран</t>
  </si>
  <si>
    <t>Фото</t>
  </si>
  <si>
    <t>Стоимость монтажных  и печатных работ (без АК и НДС)</t>
  </si>
  <si>
    <t>Общая сумма (с АК и НДС)</t>
  </si>
  <si>
    <t>(УРДА) пересечение проспекта Алишера Навои и ул Лабзак</t>
  </si>
  <si>
    <t>Аэропорт, при выезде из Международного аэропорта Ташкента</t>
  </si>
  <si>
    <t>ул. Мустакиллик, возле площади Х. Алимджана</t>
  </si>
  <si>
    <t xml:space="preserve">ул. Сагбан, перекресток Чорсу, в сторону базара( Зайкарнар ) </t>
  </si>
  <si>
    <t>Ул. Беруни и Нуровшан, м. Тинчлик</t>
  </si>
  <si>
    <t>ул. Махтумкули и Шахрисабзская (6 - Роддом)</t>
  </si>
  <si>
    <t>Лакокраска (Кази Махалла) ул. Малая Кольцевая и Аккурганская</t>
  </si>
  <si>
    <t xml:space="preserve"> ул Юсуфа Хос Ходжиба и Бобура (пед.институт )</t>
  </si>
  <si>
    <t>ул. Мустакиллик, ор. БЦ Inkonel (Дархан)</t>
  </si>
  <si>
    <t>ул. Бобура, рядом с Seoul Mun, ТРЦ Next</t>
  </si>
  <si>
    <t>перес. ул. Айбека и Шахрисабз, напротив Angels food</t>
  </si>
  <si>
    <t>ул. Мукимий, в сторону рест. Dudek, рядом школа-144</t>
  </si>
  <si>
    <t>перес. ул. Айбека и Шахрисабз, на стороне Angels food</t>
  </si>
  <si>
    <t xml:space="preserve">(РЕСТОРАН PAUL) &gt;Юнусабадский район проспект Аимра Темура </t>
  </si>
  <si>
    <t>ул. Буюк Ипак Йули</t>
  </si>
  <si>
    <t>Кукча</t>
  </si>
  <si>
    <t>Ул. Янги Сергили. Ор: мост "Сергели" развилке</t>
  </si>
  <si>
    <t>ул. Ахангаранское шоссе и ТКАД, ор. Круг Рохат</t>
  </si>
  <si>
    <t>(ТТЗ) пересечние улиц Гульсанам и Юзработ</t>
  </si>
  <si>
    <t>ул.Сулеймана Мурадова, ориентир: кафе Borжуй</t>
  </si>
  <si>
    <t>ул.Академика Ибрагима Муминова, ориентир: Elite Посуда</t>
  </si>
  <si>
    <t>ул.П.Махмуда и ул.Аль Хорезми, ориентир: ресторан Ургенч</t>
  </si>
  <si>
    <t>ул.Янги Шовот Йули и ул.Мустакиллик, ориентир: Вещевой рынок</t>
  </si>
  <si>
    <t>ул.Аль Хорезми, ориентир: NBU</t>
  </si>
  <si>
    <t>ул.Абульгази Бахадырхана, ориентир: Медиапарк</t>
  </si>
  <si>
    <t>ул.Зарафшон и ул.Ханка, ориентир: гостиница Анталия</t>
  </si>
  <si>
    <t>ул.Ханка и ул.Аль Хоразмий, ориентир: Milliy Bank</t>
  </si>
  <si>
    <t>Андижан</t>
  </si>
  <si>
    <t>Ургенч</t>
  </si>
  <si>
    <t>Наманган</t>
  </si>
  <si>
    <t>6х3</t>
  </si>
  <si>
    <t>18х8</t>
  </si>
  <si>
    <t>15х5</t>
  </si>
  <si>
    <t>12х6</t>
  </si>
  <si>
    <t>7х4</t>
  </si>
  <si>
    <t>8х4</t>
  </si>
  <si>
    <t>9х4</t>
  </si>
  <si>
    <t>9х5</t>
  </si>
  <si>
    <t>4х7</t>
  </si>
  <si>
    <t>12х5</t>
  </si>
  <si>
    <t>6х40</t>
  </si>
  <si>
    <t>28х4</t>
  </si>
  <si>
    <t>10х5</t>
  </si>
  <si>
    <t>6х4</t>
  </si>
  <si>
    <t>6х5</t>
  </si>
  <si>
    <t>6х6</t>
  </si>
  <si>
    <t>8х5</t>
  </si>
  <si>
    <t xml:space="preserve">15 секунд </t>
  </si>
  <si>
    <t xml:space="preserve">Размер </t>
  </si>
  <si>
    <t>01.02.2026 - 28.02.2026</t>
  </si>
  <si>
    <t>АК 3%</t>
  </si>
  <si>
    <t>01.03.2026 - 31.03.2026</t>
  </si>
  <si>
    <t>01.04.2026 - 30.04.2026</t>
  </si>
  <si>
    <t>ул. Лермонтова и Машраб Ориентир Поликлиника N5</t>
  </si>
  <si>
    <t>Проспект Бобура и ул.Машраб Ориентир СЭС, Макро</t>
  </si>
  <si>
    <t>ул. А.Навои и Узбекистанская Ориентир Областной Хакимият</t>
  </si>
  <si>
    <t>ул. Узбекистанская и Бобуршох Ориентир Центр Диагностики</t>
  </si>
  <si>
    <t>проспект Амир Темура и ул.Турон Ориентир Корзинка</t>
  </si>
  <si>
    <t>Бухара</t>
  </si>
  <si>
    <t>ул. Абу Али ибн Сино и ул. Гиждуван Ориентир Самарканд дарвоза</t>
  </si>
  <si>
    <t>ул.Ислама Каримова, ориентир- Детская больница</t>
  </si>
  <si>
    <t>ул. Намозгох Ориентир Областная Больница</t>
  </si>
  <si>
    <t>Проспект Навои и ул. Пиридастгир Ориентир МЕГА МАРКЕТ</t>
  </si>
  <si>
    <t>проспект ул.Бухоро и ул.М.Торобий, ориентир- Железнодорожный вокзал</t>
  </si>
  <si>
    <t>ул. Гирвонсой Ориентир Парк Афсона</t>
  </si>
  <si>
    <t>ул. А.Навои Ориентир Рынок Чорсу</t>
  </si>
  <si>
    <t>ул. И. Каримова и А. Темура Ориентир Lagman House</t>
  </si>
  <si>
    <t>перекрёсток ул.имени Каримова и Маргиланская, ориентир Асака банк, ТЦ Исфархон</t>
  </si>
  <si>
    <t>перекрёсток ул.Галаба и Хотира, ориентир Макро</t>
  </si>
  <si>
    <t>Коканд</t>
  </si>
  <si>
    <t>ул. Шохрухабад и Давронбек Ориентир Mediapark</t>
  </si>
  <si>
    <t>ул.А. Навои и Фуркат Ор Микрокредит Банк</t>
  </si>
  <si>
    <t>ул. Турон Ориентир Педагогический институт</t>
  </si>
  <si>
    <t>ул. У. Насыра и НавбахорьОриентир рынок "Янги базар"</t>
  </si>
  <si>
    <t>Карши</t>
  </si>
  <si>
    <t>ул. Мустакиллик и Узбекистан Ориентир Круг Курант</t>
  </si>
  <si>
    <t>ул. Жайхун и Насаф Ориентир Чайхана Карши</t>
  </si>
  <si>
    <t>Самарканд трасса А380 Ор Фархад Базар</t>
  </si>
  <si>
    <t>Проспект Алишер Навои Ориентир Банк Ипотека</t>
  </si>
  <si>
    <t>Джизак</t>
  </si>
  <si>
    <t>ул. Ш.Рашидова и И.Каримова Ориентир Строительный Рынок</t>
  </si>
  <si>
    <t>ул. Мустакиллик Ориентир Ором Бозор</t>
  </si>
  <si>
    <t>ул.Байналминалова и Ш.Рашидова Ориентир Областной Хакимият</t>
  </si>
  <si>
    <t>ул. А.Навои и Шифокорлар Ориентир Областная Больница</t>
  </si>
  <si>
    <t>ул. Ватан Равнаки и У.Юсупова Ориентир Центральный Рынок</t>
  </si>
  <si>
    <t>ул. А. Навои и Юксалиш Ориентир Асака Банк</t>
  </si>
  <si>
    <t>ул. А. Навои и Сохибкирон Тимура Ориентир Кинотеатр Нурхан</t>
  </si>
  <si>
    <t>ул. Ватан Равнаки и Додхо Ориентир ресторан Сутан Ахмет (Зиерат)</t>
  </si>
  <si>
    <t>ул. Сайлох и Аль Фергани Ориентир Mobiuz</t>
  </si>
  <si>
    <t>ул. Абу Райхон Беруний Ориентир Старый Билайн</t>
  </si>
  <si>
    <t>ул. Дагбитская и Ибн Сино Ориентир Быв Завод ГЕЛИОН</t>
  </si>
  <si>
    <t>ул.Шохрух Мирзо, ориентир- парк Рудаки</t>
  </si>
  <si>
    <t>ул. Туркестанская Ориентир Эркин Базар</t>
  </si>
  <si>
    <t>ул. Дагбитская и Рудаки Ориентир Банковский колледж</t>
  </si>
  <si>
    <t>ул.Навои Шох и ул.Гагарина, ориентир: Festival Mall</t>
  </si>
  <si>
    <t>Ул.Гагарина, на пересечении с ул.Фархада Ориентир 7 школа, напротив МЧС</t>
  </si>
  <si>
    <t xml:space="preserve">Прогнозное кол-во выходов в сутки февраль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</si>
</sst>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soʻm&quot;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2F6EBE"/>
        <bgColor rgb="FF2F6EBE"/>
      </patternFill>
    </fill>
    <fill>
      <patternFill patternType="solid">
        <fgColor rgb="FF4E7A3A"/>
        <bgColor rgb="FF4E7A3A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32">
    <xf numFmtId="0" fontId="0" fillId="0" borderId="0" xfId="0"/>
    <xf numFmtId="0" fontId="3" fillId="4" borderId="3" xfId="0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3" fillId="5" borderId="3" xfId="0" applyFont="1" applyFill="1" applyBorder="1" applyAlignment="1" applyProtection="1">
      <alignment horizontal="left"/>
      <protection locked="0"/>
    </xf>
    <xf numFmtId="0" fontId="2" fillId="0" borderId="3" xfId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2" fillId="4" borderId="3" xfId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0" fillId="3" borderId="3" xfId="0" applyFill="1" applyBorder="1" applyAlignment="1">
      <alignment vertical="center"/>
    </xf>
    <xf numFmtId="0" fontId="0" fillId="0" borderId="3" xfId="0" applyBorder="1" applyAlignment="1">
      <alignment horizontal="center"/>
    </xf>
    <xf numFmtId="164" fontId="0" fillId="3" borderId="3" xfId="0" applyNumberFormat="1" applyFill="1" applyBorder="1" applyAlignment="1">
      <alignment vertical="center"/>
    </xf>
    <xf numFmtId="164" fontId="0" fillId="0" borderId="3" xfId="0" applyNumberFormat="1" applyBorder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0" fillId="5" borderId="3" xfId="0" applyFill="1" applyBorder="1" applyAlignment="1">
      <alignment vertical="center"/>
    </xf>
    <xf numFmtId="0" fontId="0" fillId="5" borderId="3" xfId="0" applyFill="1" applyBorder="1"/>
    <xf numFmtId="0" fontId="0" fillId="5" borderId="3" xfId="0" applyFill="1" applyBorder="1" applyAlignment="1">
      <alignment horizontal="center"/>
    </xf>
    <xf numFmtId="164" fontId="0" fillId="5" borderId="3" xfId="0" applyNumberFormat="1" applyFill="1" applyBorder="1" applyAlignment="1">
      <alignment vertical="center"/>
    </xf>
    <xf numFmtId="164" fontId="0" fillId="5" borderId="3" xfId="0" applyNumberFormat="1" applyFill="1" applyBorder="1"/>
    <xf numFmtId="0" fontId="2" fillId="5" borderId="3" xfId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1" fillId="7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1" fontId="7" fillId="10" borderId="0" xfId="0" applyNumberFormat="1" applyFont="1" applyFill="1" applyAlignment="1">
      <alignment vertical="center"/>
    </xf>
    <xf numFmtId="2" fontId="7" fillId="10" borderId="0" xfId="0" applyNumberFormat="1" applyFont="1" applyFill="1" applyAlignment="1">
      <alignment vertical="center"/>
    </xf>
    <xf numFmtId="0" fontId="7" fillId="10" borderId="0" xfId="0" applyFont="1" applyFill="1" applyAlignment="1">
      <alignment vertical="center"/>
    </xf>
    <xf numFmtId="1" fontId="7" fillId="0" borderId="0" xfId="0" applyNumberFormat="1" applyFont="1"/>
    <xf numFmtId="2" fontId="7" fillId="0" borderId="0" xfId="0" applyNumberFormat="1" applyFont="1"/>
    <xf numFmtId="0" fontId="7" fillId="0" borderId="0" xfId="0" applyFont="1"/>
  </cellXfs>
  <cellStyles count="3">
    <cellStyle name="Гиперссылка" xfId="1" builtinId="8"/>
    <cellStyle name="Обычный" xfId="0" builtinId="0"/>
    <cellStyle name="Обычный 19" xfId="2" xr:uid="{E51E6EF0-1138-CD4A-9054-33016822CB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jAQjK1cnGnFZ5mMp058TvesLjmkHmCOy/view?usp=sharing" TargetMode="External"/><Relationship Id="rId21" Type="http://schemas.openxmlformats.org/officeDocument/2006/relationships/hyperlink" Target="https://drive.google.com/file/d/1xmsCIvLjN2RMl6Pzt1uH0mogh96yQDUR/view?usp=drive_link" TargetMode="External"/><Relationship Id="rId42" Type="http://schemas.openxmlformats.org/officeDocument/2006/relationships/hyperlink" Target="https://drive.google.com/file/d/1vuAEsmFludXafiALALn-TPO1ADXZbf6i/view?usp=drive_link" TargetMode="External"/><Relationship Id="rId63" Type="http://schemas.openxmlformats.org/officeDocument/2006/relationships/hyperlink" Target="https://drive.google.com/file/d/1TZ6wUxG5eRajjfI5WOIcbwXftjOz8b3X/view?usp=sharing" TargetMode="External"/><Relationship Id="rId84" Type="http://schemas.openxmlformats.org/officeDocument/2006/relationships/hyperlink" Target="https://drive.google.com/file/d/17QE7pgQxv7uY_x615BUO1h0zsa96dSfd/view?usp=share_link" TargetMode="External"/><Relationship Id="rId138" Type="http://schemas.openxmlformats.org/officeDocument/2006/relationships/hyperlink" Target="https://drive.google.com/file/d/1sGAcbYyq5Djc2A4LoHDYRpdh-Uby-tBz/view?usp=sharing" TargetMode="External"/><Relationship Id="rId159" Type="http://schemas.openxmlformats.org/officeDocument/2006/relationships/hyperlink" Target="https://drive.google.com/file/d/1AOmWNcLSVPTqpDDvHh6jqQ6bZ-GM1OLR/view?usp=share_link" TargetMode="External"/><Relationship Id="rId170" Type="http://schemas.openxmlformats.org/officeDocument/2006/relationships/hyperlink" Target="https://drive.google.com/file/d/1wNbKCTCkLv46KYIKxXck4xW0wruPSbJq/view?usp=sharing" TargetMode="External"/><Relationship Id="rId191" Type="http://schemas.openxmlformats.org/officeDocument/2006/relationships/hyperlink" Target="https://drive.google.com/file/d/1ZlxZf69d2DqnPnL1VXsl3mX7lxRpISVw/view?usp=sharing" TargetMode="External"/><Relationship Id="rId205" Type="http://schemas.openxmlformats.org/officeDocument/2006/relationships/hyperlink" Target="https://drive.google.com/file/d/1TZ6wUxG5eRajjfI5WOIcbwXftjOz8b3X/view?usp=sharing" TargetMode="External"/><Relationship Id="rId107" Type="http://schemas.openxmlformats.org/officeDocument/2006/relationships/hyperlink" Target="https://drive.google.com/file/d/1zapDlGMlZnuYYnJmjvBlHkMmcPNMVKZZ/view?usp=sharing" TargetMode="External"/><Relationship Id="rId11" Type="http://schemas.openxmlformats.org/officeDocument/2006/relationships/hyperlink" Target="https://drive.google.com/file/d/1l-VMnqaJY3FNXMLzbqT-YA9PhuLYERlG/view?usp=drive_link" TargetMode="External"/><Relationship Id="rId32" Type="http://schemas.openxmlformats.org/officeDocument/2006/relationships/hyperlink" Target="https://drive.google.com/file/d/1Op8OmCxt0XlAMLRGGpST2gaNFR7gV4sL/view?usp=sharing" TargetMode="External"/><Relationship Id="rId53" Type="http://schemas.openxmlformats.org/officeDocument/2006/relationships/hyperlink" Target="https://drive.google.com/file/d/1v2WhAr4OpRkuLQP6uJqdqsLh-x5BE4u6/view?usp=sharing" TargetMode="External"/><Relationship Id="rId74" Type="http://schemas.openxmlformats.org/officeDocument/2006/relationships/hyperlink" Target="https://drive.google.com/file/d/13pxE5U2tLBQJtVn3q7NJvkIa7_94tavU/view?usp=drive_link" TargetMode="External"/><Relationship Id="rId128" Type="http://schemas.openxmlformats.org/officeDocument/2006/relationships/hyperlink" Target="https://drive.google.com/file/d/1S-pSPNhksNs0eTmdsl6UjgTcrgqYHqx-/view?usp=sharing" TargetMode="External"/><Relationship Id="rId149" Type="http://schemas.openxmlformats.org/officeDocument/2006/relationships/hyperlink" Target="https://drive.google.com/file/d/1z0KEVQUH3d_Q-_iugTGiL1y5XQX3oxfj/view?usp=drive_link" TargetMode="External"/><Relationship Id="rId5" Type="http://schemas.openxmlformats.org/officeDocument/2006/relationships/hyperlink" Target="https://drive.google.com/file/d/1Ev0WNHh_54Z8B3mgoMWcVmQrH41Yb70F/view?usp=drive_link" TargetMode="External"/><Relationship Id="rId95" Type="http://schemas.openxmlformats.org/officeDocument/2006/relationships/hyperlink" Target="https://drive.google.com/file/d/1WKU4ALcfGxWjE0Jei01HVHWipKw4pKWs/view?usp=share_link" TargetMode="External"/><Relationship Id="rId160" Type="http://schemas.openxmlformats.org/officeDocument/2006/relationships/hyperlink" Target="https://drive.google.com/file/d/1a3inNGUmctrOzUHUm2E5WWCJwUTA6Eu8/view?usp=share_link" TargetMode="External"/><Relationship Id="rId181" Type="http://schemas.openxmlformats.org/officeDocument/2006/relationships/hyperlink" Target="https://drive.google.com/file/d/1TgBYbVlm6FeQmlK7tCa46vgA_OyFVi7n/view?usp=drive_link" TargetMode="External"/><Relationship Id="rId22" Type="http://schemas.openxmlformats.org/officeDocument/2006/relationships/hyperlink" Target="https://drive.google.com/file/d/1-_Pz5t6VNz6sIfEb7SIaiQtPCQFeNnSh/view?usp=share_link" TargetMode="External"/><Relationship Id="rId43" Type="http://schemas.openxmlformats.org/officeDocument/2006/relationships/hyperlink" Target="https://drive.google.com/file/d/1DzmTd2W0fVYnUbawAvP7q80z4yuWFkJg/view?usp=sharing" TargetMode="External"/><Relationship Id="rId64" Type="http://schemas.openxmlformats.org/officeDocument/2006/relationships/hyperlink" Target="https://drive.google.com/file/d/11jvvpVYYUhpXZVLmFWh724o0GGCkQdCg/view?usp=sharing" TargetMode="External"/><Relationship Id="rId118" Type="http://schemas.openxmlformats.org/officeDocument/2006/relationships/hyperlink" Target="https://drive.google.com/file/d/1nFtI7bu--IhW_c_po6oCbgrFnxYkMZmv/view?usp=sharing" TargetMode="External"/><Relationship Id="rId139" Type="http://schemas.openxmlformats.org/officeDocument/2006/relationships/hyperlink" Target="https://drive.google.com/file/d/18Pz95CwQFPcePbnoUt8o6417avP4Sskz/view?usp=sharing" TargetMode="External"/><Relationship Id="rId85" Type="http://schemas.openxmlformats.org/officeDocument/2006/relationships/hyperlink" Target="https://drive.google.com/file/d/1i09Ewa35CMrdfSNnWzn0qSHiOxq8jBKR/view?usp=share_link" TargetMode="External"/><Relationship Id="rId150" Type="http://schemas.openxmlformats.org/officeDocument/2006/relationships/hyperlink" Target="https://drive.google.com/file/d/1D0XRYili1zXCVBsHk0HavnWrzGWSwcsH/view?usp=share_link" TargetMode="External"/><Relationship Id="rId171" Type="http://schemas.openxmlformats.org/officeDocument/2006/relationships/hyperlink" Target="https://drive.google.com/file/d/1pvc1ze9XaDa9zXqrR_L4HnuviO57fuh2/view?usp=sharing" TargetMode="External"/><Relationship Id="rId192" Type="http://schemas.openxmlformats.org/officeDocument/2006/relationships/hyperlink" Target="https://drive.google.com/file/d/1Xecmfx_3-AtGUmoSSbhxzHXisRm8AXj9/view?usp=sharing" TargetMode="External"/><Relationship Id="rId206" Type="http://schemas.openxmlformats.org/officeDocument/2006/relationships/hyperlink" Target="https://drive.google.com/file/d/11jvvpVYYUhpXZVLmFWh724o0GGCkQdCg/view?usp=sharing" TargetMode="External"/><Relationship Id="rId12" Type="http://schemas.openxmlformats.org/officeDocument/2006/relationships/hyperlink" Target="https://drive.google.com/file/d/1GviGH3Z-sESXwOuWBpDyZyhqaOpTTAFm/view?usp=share_link" TargetMode="External"/><Relationship Id="rId33" Type="http://schemas.openxmlformats.org/officeDocument/2006/relationships/hyperlink" Target="https://drive.google.com/file/d/1VUOJr_-pgS1AS3ugYs5_lKDD7zl0Npvd/view?usp=sharing" TargetMode="External"/><Relationship Id="rId108" Type="http://schemas.openxmlformats.org/officeDocument/2006/relationships/hyperlink" Target="https://drive.google.com/file/d/1TgBYbVlm6FeQmlK7tCa46vgA_OyFVi7n/view?usp=drive_link" TargetMode="External"/><Relationship Id="rId129" Type="http://schemas.openxmlformats.org/officeDocument/2006/relationships/hyperlink" Target="https://drive.google.com/file/d/1lRWwko0U8qwBpMx1wJhFIi11G6DoWm4H/view?usp=sharing" TargetMode="External"/><Relationship Id="rId54" Type="http://schemas.openxmlformats.org/officeDocument/2006/relationships/hyperlink" Target="https://drive.google.com/file/d/1ATryWPmNiU4mmgQlXrfIoT0p0xV_N1Z9/view?usp=sharing" TargetMode="External"/><Relationship Id="rId75" Type="http://schemas.openxmlformats.org/officeDocument/2006/relationships/hyperlink" Target="https://drive.google.com/file/d/1X4MzPyLpohXkyO7bDyikOSc0IyE0zjUe/view?usp=share_link" TargetMode="External"/><Relationship Id="rId96" Type="http://schemas.openxmlformats.org/officeDocument/2006/relationships/hyperlink" Target="https://drive.google.com/file/d/1hxEaZrQobTzYpc-MNOyj-gMtGOMltt7J/view?usp=sharing" TargetMode="External"/><Relationship Id="rId140" Type="http://schemas.openxmlformats.org/officeDocument/2006/relationships/hyperlink" Target="https://drive.google.com/file/d/1Xn1B4Ty5XJYFP_EDbatJkn47fCFG-aOJ/view?usp=sharing" TargetMode="External"/><Relationship Id="rId161" Type="http://schemas.openxmlformats.org/officeDocument/2006/relationships/hyperlink" Target="https://drive.google.com/file/d/1McDzjTgDDuP4So2xw1P3KQW11mXRVhqu/view?usp=drive_link" TargetMode="External"/><Relationship Id="rId182" Type="http://schemas.openxmlformats.org/officeDocument/2006/relationships/hyperlink" Target="https://drive.google.com/file/d/1uRziu4BXfqmfWXcUs6Zxl7bjtnVs826K/view?usp=drive_link" TargetMode="External"/><Relationship Id="rId6" Type="http://schemas.openxmlformats.org/officeDocument/2006/relationships/hyperlink" Target="https://drive.google.com/file/d/1JQcJ8uOe-zQwrRK5m2lveI602POhvIIM/view?usp=drive_link" TargetMode="External"/><Relationship Id="rId23" Type="http://schemas.openxmlformats.org/officeDocument/2006/relationships/hyperlink" Target="https://drive.google.com/file/d/1XQMaKcaMiZagTd5meIVZtiw-yEiuXdRE/view?usp=share_link" TargetMode="External"/><Relationship Id="rId119" Type="http://schemas.openxmlformats.org/officeDocument/2006/relationships/hyperlink" Target="https://drive.google.com/file/d/1oxvFJUj1-TFWvuQRG7Do9ZXo7pyqmaGW/view?usp=sharing" TargetMode="External"/><Relationship Id="rId44" Type="http://schemas.openxmlformats.org/officeDocument/2006/relationships/hyperlink" Target="https://drive.google.com/file/d/1xywnr82eM7e4EtwnAtz-8v4Pr33bkskc/view?usp=sharing" TargetMode="External"/><Relationship Id="rId65" Type="http://schemas.openxmlformats.org/officeDocument/2006/relationships/hyperlink" Target="https://drive.google.com/file/d/1hU7dDX2bWAq4p314buatHA4tfDFA1Pq5/view?usp=sharing" TargetMode="External"/><Relationship Id="rId86" Type="http://schemas.openxmlformats.org/officeDocument/2006/relationships/hyperlink" Target="https://drive.google.com/file/d/1advJYQYPx79MoLsP7ZXZOr_8FwW2qfuw/view?usp=share_link" TargetMode="External"/><Relationship Id="rId130" Type="http://schemas.openxmlformats.org/officeDocument/2006/relationships/hyperlink" Target="https://drive.google.com/file/d/1KLFW2CfPFzED_qn56V4TZhhxNesAl01g/view?usp=sharing" TargetMode="External"/><Relationship Id="rId151" Type="http://schemas.openxmlformats.org/officeDocument/2006/relationships/hyperlink" Target="https://drive.google.com/file/d/1-ejPTUGFXee5zhaVnWAXXRsSaqNcWlkH/view?usp=drive_link" TargetMode="External"/><Relationship Id="rId172" Type="http://schemas.openxmlformats.org/officeDocument/2006/relationships/hyperlink" Target="https://drive.google.com/file/d/1Ix2D3ZraAvY9TY6kxCjzkZzDsBV3UJCi/view?usp=sharing" TargetMode="External"/><Relationship Id="rId193" Type="http://schemas.openxmlformats.org/officeDocument/2006/relationships/hyperlink" Target="https://drive.google.com/file/d/1gFeF3mKWvJL1NB6P2SL-hF-P1EDYiR2w/view?usp=sharing" TargetMode="External"/><Relationship Id="rId207" Type="http://schemas.openxmlformats.org/officeDocument/2006/relationships/hyperlink" Target="https://drive.google.com/file/d/1hU7dDX2bWAq4p314buatHA4tfDFA1Pq5/view?usp=sharing" TargetMode="External"/><Relationship Id="rId13" Type="http://schemas.openxmlformats.org/officeDocument/2006/relationships/hyperlink" Target="https://drive.google.com/file/d/17QE7pgQxv7uY_x615BUO1h0zsa96dSfd/view?usp=share_link" TargetMode="External"/><Relationship Id="rId109" Type="http://schemas.openxmlformats.org/officeDocument/2006/relationships/hyperlink" Target="https://drive.google.com/file/d/1PHmjFr-2iCg2qD9CbzED4RiJJh8UMlgp/view?usp=drive_link" TargetMode="External"/><Relationship Id="rId34" Type="http://schemas.openxmlformats.org/officeDocument/2006/relationships/hyperlink" Target="https://drive.google.com/file/d/1YSk_GvU6-OZEd87kx63F09Zp4hAXNjcb/view?usp=sharing" TargetMode="External"/><Relationship Id="rId55" Type="http://schemas.openxmlformats.org/officeDocument/2006/relationships/hyperlink" Target="https://drive.google.com/file/d/1qAvd3STawtYNJtqG4y5BVfv0CAfK5ej2/view?usp=sharing" TargetMode="External"/><Relationship Id="rId76" Type="http://schemas.openxmlformats.org/officeDocument/2006/relationships/hyperlink" Target="https://drive.google.com/file/d/1Ev0WNHh_54Z8B3mgoMWcVmQrH41Yb70F/view?usp=drive_link" TargetMode="External"/><Relationship Id="rId97" Type="http://schemas.openxmlformats.org/officeDocument/2006/relationships/hyperlink" Target="https://drive.google.com/file/d/1jGc72dQgEBmA678zSfJKUGk5C4OoB53Q/view?usp=sharing" TargetMode="External"/><Relationship Id="rId120" Type="http://schemas.openxmlformats.org/officeDocument/2006/relationships/hyperlink" Target="https://drive.google.com/file/d/1ZlxZf69d2DqnPnL1VXsl3mX7lxRpISVw/view?usp=sharing" TargetMode="External"/><Relationship Id="rId141" Type="http://schemas.openxmlformats.org/officeDocument/2006/relationships/hyperlink" Target="https://drive.google.com/file/d/16g3SKig4mD9yNk86XXOIHJeLnPwjcfpH/view?usp=sharing" TargetMode="External"/><Relationship Id="rId7" Type="http://schemas.openxmlformats.org/officeDocument/2006/relationships/hyperlink" Target="https://drive.google.com/file/d/1z0KEVQUH3d_Q-_iugTGiL1y5XQX3oxfj/view?usp=drive_link" TargetMode="External"/><Relationship Id="rId162" Type="http://schemas.openxmlformats.org/officeDocument/2006/relationships/hyperlink" Target="https://drive.google.com/file/d/1VbEovqrLDsQ2dddK_3hKxvts7hCeWUg8/view?usp=share_link" TargetMode="External"/><Relationship Id="rId183" Type="http://schemas.openxmlformats.org/officeDocument/2006/relationships/hyperlink" Target="https://drive.google.com/file/d/1RRnm_6iRac1WSE_aO8qCGHEVx4_WYPVk/view?usp=drive_link" TargetMode="External"/><Relationship Id="rId24" Type="http://schemas.openxmlformats.org/officeDocument/2006/relationships/hyperlink" Target="https://drive.google.com/file/d/1WKU4ALcfGxWjE0Jei01HVHWipKw4pKWs/view?usp=share_link" TargetMode="External"/><Relationship Id="rId45" Type="http://schemas.openxmlformats.org/officeDocument/2006/relationships/hyperlink" Target="https://drive.google.com/file/d/1C6go8NsQQmGjifEQe0XfPuNIt4ntS_TM/view?usp=sharing" TargetMode="External"/><Relationship Id="rId66" Type="http://schemas.openxmlformats.org/officeDocument/2006/relationships/hyperlink" Target="https://drive.google.com/file/d/1H5FJc-JJq73SFyfUDdXNELZf0UpKye9s/view?usp=sharing" TargetMode="External"/><Relationship Id="rId87" Type="http://schemas.openxmlformats.org/officeDocument/2006/relationships/hyperlink" Target="https://drive.google.com/file/d/1Z56hp581bqT6a67KM51SrknIAyNqh_DV/view?usp=share_link" TargetMode="External"/><Relationship Id="rId110" Type="http://schemas.openxmlformats.org/officeDocument/2006/relationships/hyperlink" Target="https://drive.google.com/file/d/1TgBYbVlm6FeQmlK7tCa46vgA_OyFVi7n/view?usp=drive_link" TargetMode="External"/><Relationship Id="rId131" Type="http://schemas.openxmlformats.org/officeDocument/2006/relationships/hyperlink" Target="https://drive.google.com/file/d/1B7HyiBCH1WA26VNLLscTZPfdrU54FM0W/view?usp=sharing" TargetMode="External"/><Relationship Id="rId152" Type="http://schemas.openxmlformats.org/officeDocument/2006/relationships/hyperlink" Target="https://drive.google.com/file/d/1yxB8QzRSjo_srPl_-FxlOi68Agb24l3A/view?usp=share_link" TargetMode="External"/><Relationship Id="rId173" Type="http://schemas.openxmlformats.org/officeDocument/2006/relationships/hyperlink" Target="https://drive.google.com/file/d/1MVN6-eZ7QEbfKrj06CNiepS2nYnd2rxS/view?usp=sharing" TargetMode="External"/><Relationship Id="rId194" Type="http://schemas.openxmlformats.org/officeDocument/2006/relationships/hyperlink" Target="https://drive.google.com/file/d/1UvFPM6EDdysoq-Z_-GkNml3yvw3Ox8GD/view?usp=sharing" TargetMode="External"/><Relationship Id="rId208" Type="http://schemas.openxmlformats.org/officeDocument/2006/relationships/hyperlink" Target="https://drive.google.com/file/d/1H5FJc-JJq73SFyfUDdXNELZf0UpKye9s/view?usp=sharing" TargetMode="External"/><Relationship Id="rId19" Type="http://schemas.openxmlformats.org/officeDocument/2006/relationships/hyperlink" Target="https://drive.google.com/file/d/1McDzjTgDDuP4So2xw1P3KQW11mXRVhqu/view?usp=drive_link" TargetMode="External"/><Relationship Id="rId14" Type="http://schemas.openxmlformats.org/officeDocument/2006/relationships/hyperlink" Target="https://drive.google.com/file/d/1i09Ewa35CMrdfSNnWzn0qSHiOxq8jBKR/view?usp=share_link" TargetMode="External"/><Relationship Id="rId30" Type="http://schemas.openxmlformats.org/officeDocument/2006/relationships/hyperlink" Target="https://drive.google.com/file/d/1Ix2D3ZraAvY9TY6kxCjzkZzDsBV3UJCi/view?usp=sharing" TargetMode="External"/><Relationship Id="rId35" Type="http://schemas.openxmlformats.org/officeDocument/2006/relationships/hyperlink" Target="https://drive.google.com/file/d/1vMTm7KCKRC1kRx6Pe9J_15irWa8XE1ko/view?usp=sharing" TargetMode="External"/><Relationship Id="rId56" Type="http://schemas.openxmlformats.org/officeDocument/2006/relationships/hyperlink" Target="https://drive.google.com/file/d/1A4aL67utV2K8YzQpmGLGIrVFl-G59uQr/view?usp=sharing" TargetMode="External"/><Relationship Id="rId77" Type="http://schemas.openxmlformats.org/officeDocument/2006/relationships/hyperlink" Target="https://drive.google.com/file/d/1JQcJ8uOe-zQwrRK5m2lveI602POhvIIM/view?usp=drive_link" TargetMode="External"/><Relationship Id="rId100" Type="http://schemas.openxmlformats.org/officeDocument/2006/relationships/hyperlink" Target="https://drive.google.com/file/d/1pvc1ze9XaDa9zXqrR_L4HnuviO57fuh2/view?usp=sharing" TargetMode="External"/><Relationship Id="rId105" Type="http://schemas.openxmlformats.org/officeDocument/2006/relationships/hyperlink" Target="https://drive.google.com/file/d/1YSk_GvU6-OZEd87kx63F09Zp4hAXNjcb/view?usp=sharing" TargetMode="External"/><Relationship Id="rId126" Type="http://schemas.openxmlformats.org/officeDocument/2006/relationships/hyperlink" Target="https://drive.google.com/file/d/1qAvd3STawtYNJtqG4y5BVfv0CAfK5ej2/view?usp=sharing" TargetMode="External"/><Relationship Id="rId147" Type="http://schemas.openxmlformats.org/officeDocument/2006/relationships/hyperlink" Target="https://drive.google.com/file/d/1Ev0WNHh_54Z8B3mgoMWcVmQrH41Yb70F/view?usp=drive_link" TargetMode="External"/><Relationship Id="rId168" Type="http://schemas.openxmlformats.org/officeDocument/2006/relationships/hyperlink" Target="https://drive.google.com/file/d/1jGc72dQgEBmA678zSfJKUGk5C4OoB53Q/view?usp=sharing" TargetMode="External"/><Relationship Id="rId8" Type="http://schemas.openxmlformats.org/officeDocument/2006/relationships/hyperlink" Target="https://drive.google.com/file/d/1D0XRYili1zXCVBsHk0HavnWrzGWSwcsH/view?usp=share_link" TargetMode="External"/><Relationship Id="rId51" Type="http://schemas.openxmlformats.org/officeDocument/2006/relationships/hyperlink" Target="https://drive.google.com/file/d/1gFeF3mKWvJL1NB6P2SL-hF-P1EDYiR2w/view?usp=sharing" TargetMode="External"/><Relationship Id="rId72" Type="http://schemas.openxmlformats.org/officeDocument/2006/relationships/hyperlink" Target="https://drive.google.com/file/d/1jZDDmLzT0u8iDed_s6yYK-QShJY6lIp_/view?usp=share_link" TargetMode="External"/><Relationship Id="rId93" Type="http://schemas.openxmlformats.org/officeDocument/2006/relationships/hyperlink" Target="https://drive.google.com/file/d/1-_Pz5t6VNz6sIfEb7SIaiQtPCQFeNnSh/view?usp=share_link" TargetMode="External"/><Relationship Id="rId98" Type="http://schemas.openxmlformats.org/officeDocument/2006/relationships/hyperlink" Target="https://drive.google.com/file/d/1FLlNBupcjSkQ3SH0f6Vsyvtj23fAG5-K/view?usp=sharing" TargetMode="External"/><Relationship Id="rId121" Type="http://schemas.openxmlformats.org/officeDocument/2006/relationships/hyperlink" Target="https://drive.google.com/file/d/1Xecmfx_3-AtGUmoSSbhxzHXisRm8AXj9/view?usp=sharing" TargetMode="External"/><Relationship Id="rId142" Type="http://schemas.openxmlformats.org/officeDocument/2006/relationships/hyperlink" Target="https://drive.google.com/file/d/18gNOJv0-bePabF7QmFtYmHS0qiI3yl1G/view?usp=sharing" TargetMode="External"/><Relationship Id="rId163" Type="http://schemas.openxmlformats.org/officeDocument/2006/relationships/hyperlink" Target="https://drive.google.com/file/d/1xmsCIvLjN2RMl6Pzt1uH0mogh96yQDUR/view?usp=drive_link" TargetMode="External"/><Relationship Id="rId184" Type="http://schemas.openxmlformats.org/officeDocument/2006/relationships/hyperlink" Target="https://drive.google.com/file/d/1vuAEsmFludXafiALALn-TPO1ADXZbf6i/view?usp=drive_link" TargetMode="External"/><Relationship Id="rId189" Type="http://schemas.openxmlformats.org/officeDocument/2006/relationships/hyperlink" Target="https://drive.google.com/file/d/1nFtI7bu--IhW_c_po6oCbgrFnxYkMZmv/view?usp=sharing" TargetMode="External"/><Relationship Id="rId3" Type="http://schemas.openxmlformats.org/officeDocument/2006/relationships/hyperlink" Target="https://drive.google.com/file/d/13pxE5U2tLBQJtVn3q7NJvkIa7_94tavU/view?usp=drive_link" TargetMode="External"/><Relationship Id="rId25" Type="http://schemas.openxmlformats.org/officeDocument/2006/relationships/hyperlink" Target="https://drive.google.com/file/d/1hxEaZrQobTzYpc-MNOyj-gMtGOMltt7J/view?usp=sharing" TargetMode="External"/><Relationship Id="rId46" Type="http://schemas.openxmlformats.org/officeDocument/2006/relationships/hyperlink" Target="https://drive.google.com/file/d/1jAQjK1cnGnFZ5mMp058TvesLjmkHmCOy/view?usp=sharing" TargetMode="External"/><Relationship Id="rId67" Type="http://schemas.openxmlformats.org/officeDocument/2006/relationships/hyperlink" Target="https://drive.google.com/file/d/1sGAcbYyq5Djc2A4LoHDYRpdh-Uby-tBz/view?usp=sharing" TargetMode="External"/><Relationship Id="rId116" Type="http://schemas.openxmlformats.org/officeDocument/2006/relationships/hyperlink" Target="https://drive.google.com/file/d/1C6go8NsQQmGjifEQe0XfPuNIt4ntS_TM/view?usp=sharing" TargetMode="External"/><Relationship Id="rId137" Type="http://schemas.openxmlformats.org/officeDocument/2006/relationships/hyperlink" Target="https://drive.google.com/file/d/1H5FJc-JJq73SFyfUDdXNELZf0UpKye9s/view?usp=sharing" TargetMode="External"/><Relationship Id="rId158" Type="http://schemas.openxmlformats.org/officeDocument/2006/relationships/hyperlink" Target="https://drive.google.com/file/d/1Z56hp581bqT6a67KM51SrknIAyNqh_DV/view?usp=share_link" TargetMode="External"/><Relationship Id="rId20" Type="http://schemas.openxmlformats.org/officeDocument/2006/relationships/hyperlink" Target="https://drive.google.com/file/d/1VbEovqrLDsQ2dddK_3hKxvts7hCeWUg8/view?usp=share_link" TargetMode="External"/><Relationship Id="rId41" Type="http://schemas.openxmlformats.org/officeDocument/2006/relationships/hyperlink" Target="https://drive.google.com/file/d/1RRnm_6iRac1WSE_aO8qCGHEVx4_WYPVk/view?usp=drive_link" TargetMode="External"/><Relationship Id="rId62" Type="http://schemas.openxmlformats.org/officeDocument/2006/relationships/hyperlink" Target="https://drive.google.com/file/d/16DOWyaHfPapR_E09Yq9ZNgz6I5L9uaoR/view?usp=sharing" TargetMode="External"/><Relationship Id="rId83" Type="http://schemas.openxmlformats.org/officeDocument/2006/relationships/hyperlink" Target="https://drive.google.com/file/d/1GviGH3Z-sESXwOuWBpDyZyhqaOpTTAFm/view?usp=share_link" TargetMode="External"/><Relationship Id="rId88" Type="http://schemas.openxmlformats.org/officeDocument/2006/relationships/hyperlink" Target="https://drive.google.com/file/d/1AOmWNcLSVPTqpDDvHh6jqQ6bZ-GM1OLR/view?usp=share_link" TargetMode="External"/><Relationship Id="rId111" Type="http://schemas.openxmlformats.org/officeDocument/2006/relationships/hyperlink" Target="https://drive.google.com/file/d/1uRziu4BXfqmfWXcUs6Zxl7bjtnVs826K/view?usp=drive_link" TargetMode="External"/><Relationship Id="rId132" Type="http://schemas.openxmlformats.org/officeDocument/2006/relationships/hyperlink" Target="https://drive.google.com/file/d/19KWhq7ff9uHpLUqt9rh4Xh6gr8UMmFq3/view?usp=sharing" TargetMode="External"/><Relationship Id="rId153" Type="http://schemas.openxmlformats.org/officeDocument/2006/relationships/hyperlink" Target="https://drive.google.com/file/d/1l-VMnqaJY3FNXMLzbqT-YA9PhuLYERlG/view?usp=drive_link" TargetMode="External"/><Relationship Id="rId174" Type="http://schemas.openxmlformats.org/officeDocument/2006/relationships/hyperlink" Target="https://drive.google.com/file/d/1Op8OmCxt0XlAMLRGGpST2gaNFR7gV4sL/view?usp=sharing" TargetMode="External"/><Relationship Id="rId179" Type="http://schemas.openxmlformats.org/officeDocument/2006/relationships/hyperlink" Target="https://drive.google.com/file/d/1TgBYbVlm6FeQmlK7tCa46vgA_OyFVi7n/view?usp=drive_link" TargetMode="External"/><Relationship Id="rId195" Type="http://schemas.openxmlformats.org/officeDocument/2006/relationships/hyperlink" Target="https://drive.google.com/file/d/1v2WhAr4OpRkuLQP6uJqdqsLh-x5BE4u6/view?usp=sharing" TargetMode="External"/><Relationship Id="rId209" Type="http://schemas.openxmlformats.org/officeDocument/2006/relationships/hyperlink" Target="https://drive.google.com/file/d/1sGAcbYyq5Djc2A4LoHDYRpdh-Uby-tBz/view?usp=sharing" TargetMode="External"/><Relationship Id="rId190" Type="http://schemas.openxmlformats.org/officeDocument/2006/relationships/hyperlink" Target="https://drive.google.com/file/d/1oxvFJUj1-TFWvuQRG7Do9ZXo7pyqmaGW/view?usp=sharing" TargetMode="External"/><Relationship Id="rId204" Type="http://schemas.openxmlformats.org/officeDocument/2006/relationships/hyperlink" Target="https://drive.google.com/file/d/16DOWyaHfPapR_E09Yq9ZNgz6I5L9uaoR/view?usp=sharing" TargetMode="External"/><Relationship Id="rId15" Type="http://schemas.openxmlformats.org/officeDocument/2006/relationships/hyperlink" Target="https://drive.google.com/file/d/1advJYQYPx79MoLsP7ZXZOr_8FwW2qfuw/view?usp=share_link" TargetMode="External"/><Relationship Id="rId36" Type="http://schemas.openxmlformats.org/officeDocument/2006/relationships/hyperlink" Target="https://drive.google.com/file/d/1zapDlGMlZnuYYnJmjvBlHkMmcPNMVKZZ/view?usp=sharing" TargetMode="External"/><Relationship Id="rId57" Type="http://schemas.openxmlformats.org/officeDocument/2006/relationships/hyperlink" Target="https://drive.google.com/file/d/1S-pSPNhksNs0eTmdsl6UjgTcrgqYHqx-/view?usp=sharing" TargetMode="External"/><Relationship Id="rId106" Type="http://schemas.openxmlformats.org/officeDocument/2006/relationships/hyperlink" Target="https://drive.google.com/file/d/1vMTm7KCKRC1kRx6Pe9J_15irWa8XE1ko/view?usp=sharing" TargetMode="External"/><Relationship Id="rId127" Type="http://schemas.openxmlformats.org/officeDocument/2006/relationships/hyperlink" Target="https://drive.google.com/file/d/1A4aL67utV2K8YzQpmGLGIrVFl-G59uQr/view?usp=sharing" TargetMode="External"/><Relationship Id="rId10" Type="http://schemas.openxmlformats.org/officeDocument/2006/relationships/hyperlink" Target="https://drive.google.com/file/d/1yxB8QzRSjo_srPl_-FxlOi68Agb24l3A/view?usp=share_link" TargetMode="External"/><Relationship Id="rId31" Type="http://schemas.openxmlformats.org/officeDocument/2006/relationships/hyperlink" Target="https://drive.google.com/file/d/1MVN6-eZ7QEbfKrj06CNiepS2nYnd2rxS/view?usp=sharing" TargetMode="External"/><Relationship Id="rId52" Type="http://schemas.openxmlformats.org/officeDocument/2006/relationships/hyperlink" Target="https://drive.google.com/file/d/1UvFPM6EDdysoq-Z_-GkNml3yvw3Ox8GD/view?usp=sharing" TargetMode="External"/><Relationship Id="rId73" Type="http://schemas.openxmlformats.org/officeDocument/2006/relationships/hyperlink" Target="https://drive.google.com/file/d/1i2c6rTQzx6XNPd7yJ7N03cS_0hbr7YXh/view?usp=share_link" TargetMode="External"/><Relationship Id="rId78" Type="http://schemas.openxmlformats.org/officeDocument/2006/relationships/hyperlink" Target="https://drive.google.com/file/d/1z0KEVQUH3d_Q-_iugTGiL1y5XQX3oxfj/view?usp=drive_link" TargetMode="External"/><Relationship Id="rId94" Type="http://schemas.openxmlformats.org/officeDocument/2006/relationships/hyperlink" Target="https://drive.google.com/file/d/1XQMaKcaMiZagTd5meIVZtiw-yEiuXdRE/view?usp=share_link" TargetMode="External"/><Relationship Id="rId99" Type="http://schemas.openxmlformats.org/officeDocument/2006/relationships/hyperlink" Target="https://drive.google.com/file/d/1wNbKCTCkLv46KYIKxXck4xW0wruPSbJq/view?usp=sharing" TargetMode="External"/><Relationship Id="rId101" Type="http://schemas.openxmlformats.org/officeDocument/2006/relationships/hyperlink" Target="https://drive.google.com/file/d/1Ix2D3ZraAvY9TY6kxCjzkZzDsBV3UJCi/view?usp=sharing" TargetMode="External"/><Relationship Id="rId122" Type="http://schemas.openxmlformats.org/officeDocument/2006/relationships/hyperlink" Target="https://drive.google.com/file/d/1gFeF3mKWvJL1NB6P2SL-hF-P1EDYiR2w/view?usp=sharing" TargetMode="External"/><Relationship Id="rId143" Type="http://schemas.openxmlformats.org/officeDocument/2006/relationships/hyperlink" Target="https://drive.google.com/file/d/1jZDDmLzT0u8iDed_s6yYK-QShJY6lIp_/view?usp=share_link" TargetMode="External"/><Relationship Id="rId148" Type="http://schemas.openxmlformats.org/officeDocument/2006/relationships/hyperlink" Target="https://drive.google.com/file/d/1JQcJ8uOe-zQwrRK5m2lveI602POhvIIM/view?usp=drive_link" TargetMode="External"/><Relationship Id="rId164" Type="http://schemas.openxmlformats.org/officeDocument/2006/relationships/hyperlink" Target="https://drive.google.com/file/d/1-_Pz5t6VNz6sIfEb7SIaiQtPCQFeNnSh/view?usp=share_link" TargetMode="External"/><Relationship Id="rId169" Type="http://schemas.openxmlformats.org/officeDocument/2006/relationships/hyperlink" Target="https://drive.google.com/file/d/1FLlNBupcjSkQ3SH0f6Vsyvtj23fAG5-K/view?usp=sharing" TargetMode="External"/><Relationship Id="rId185" Type="http://schemas.openxmlformats.org/officeDocument/2006/relationships/hyperlink" Target="https://drive.google.com/file/d/1DzmTd2W0fVYnUbawAvP7q80z4yuWFkJg/view?usp=sharing" TargetMode="External"/><Relationship Id="rId4" Type="http://schemas.openxmlformats.org/officeDocument/2006/relationships/hyperlink" Target="https://drive.google.com/file/d/1X4MzPyLpohXkyO7bDyikOSc0IyE0zjUe/view?usp=share_link" TargetMode="External"/><Relationship Id="rId9" Type="http://schemas.openxmlformats.org/officeDocument/2006/relationships/hyperlink" Target="https://drive.google.com/file/d/1-ejPTUGFXee5zhaVnWAXXRsSaqNcWlkH/view?usp=drive_link" TargetMode="External"/><Relationship Id="rId180" Type="http://schemas.openxmlformats.org/officeDocument/2006/relationships/hyperlink" Target="https://drive.google.com/file/d/1PHmjFr-2iCg2qD9CbzED4RiJJh8UMlgp/view?usp=drive_link" TargetMode="External"/><Relationship Id="rId210" Type="http://schemas.openxmlformats.org/officeDocument/2006/relationships/hyperlink" Target="https://drive.google.com/file/d/18Pz95CwQFPcePbnoUt8o6417avP4Sskz/view?usp=sharing" TargetMode="External"/><Relationship Id="rId26" Type="http://schemas.openxmlformats.org/officeDocument/2006/relationships/hyperlink" Target="https://drive.google.com/file/d/1jGc72dQgEBmA678zSfJKUGk5C4OoB53Q/view?usp=sharing" TargetMode="External"/><Relationship Id="rId47" Type="http://schemas.openxmlformats.org/officeDocument/2006/relationships/hyperlink" Target="https://drive.google.com/file/d/1nFtI7bu--IhW_c_po6oCbgrFnxYkMZmv/view?usp=sharing" TargetMode="External"/><Relationship Id="rId68" Type="http://schemas.openxmlformats.org/officeDocument/2006/relationships/hyperlink" Target="https://drive.google.com/file/d/18Pz95CwQFPcePbnoUt8o6417avP4Sskz/view?usp=sharing" TargetMode="External"/><Relationship Id="rId89" Type="http://schemas.openxmlformats.org/officeDocument/2006/relationships/hyperlink" Target="https://drive.google.com/file/d/1a3inNGUmctrOzUHUm2E5WWCJwUTA6Eu8/view?usp=share_link" TargetMode="External"/><Relationship Id="rId112" Type="http://schemas.openxmlformats.org/officeDocument/2006/relationships/hyperlink" Target="https://drive.google.com/file/d/1RRnm_6iRac1WSE_aO8qCGHEVx4_WYPVk/view?usp=drive_link" TargetMode="External"/><Relationship Id="rId133" Type="http://schemas.openxmlformats.org/officeDocument/2006/relationships/hyperlink" Target="https://drive.google.com/file/d/16DOWyaHfPapR_E09Yq9ZNgz6I5L9uaoR/view?usp=sharing" TargetMode="External"/><Relationship Id="rId154" Type="http://schemas.openxmlformats.org/officeDocument/2006/relationships/hyperlink" Target="https://drive.google.com/file/d/1GviGH3Z-sESXwOuWBpDyZyhqaOpTTAFm/view?usp=share_link" TargetMode="External"/><Relationship Id="rId175" Type="http://schemas.openxmlformats.org/officeDocument/2006/relationships/hyperlink" Target="https://drive.google.com/file/d/1VUOJr_-pgS1AS3ugYs5_lKDD7zl0Npvd/view?usp=sharing" TargetMode="External"/><Relationship Id="rId196" Type="http://schemas.openxmlformats.org/officeDocument/2006/relationships/hyperlink" Target="https://drive.google.com/file/d/1ATryWPmNiU4mmgQlXrfIoT0p0xV_N1Z9/view?usp=sharing" TargetMode="External"/><Relationship Id="rId200" Type="http://schemas.openxmlformats.org/officeDocument/2006/relationships/hyperlink" Target="https://drive.google.com/file/d/1lRWwko0U8qwBpMx1wJhFIi11G6DoWm4H/view?usp=sharing" TargetMode="External"/><Relationship Id="rId16" Type="http://schemas.openxmlformats.org/officeDocument/2006/relationships/hyperlink" Target="https://drive.google.com/file/d/1Z56hp581bqT6a67KM51SrknIAyNqh_DV/view?usp=share_link" TargetMode="External"/><Relationship Id="rId37" Type="http://schemas.openxmlformats.org/officeDocument/2006/relationships/hyperlink" Target="https://drive.google.com/file/d/1TgBYbVlm6FeQmlK7tCa46vgA_OyFVi7n/view?usp=drive_link" TargetMode="External"/><Relationship Id="rId58" Type="http://schemas.openxmlformats.org/officeDocument/2006/relationships/hyperlink" Target="https://drive.google.com/file/d/1lRWwko0U8qwBpMx1wJhFIi11G6DoWm4H/view?usp=sharing" TargetMode="External"/><Relationship Id="rId79" Type="http://schemas.openxmlformats.org/officeDocument/2006/relationships/hyperlink" Target="https://drive.google.com/file/d/1D0XRYili1zXCVBsHk0HavnWrzGWSwcsH/view?usp=share_link" TargetMode="External"/><Relationship Id="rId102" Type="http://schemas.openxmlformats.org/officeDocument/2006/relationships/hyperlink" Target="https://drive.google.com/file/d/1MVN6-eZ7QEbfKrj06CNiepS2nYnd2rxS/view?usp=sharing" TargetMode="External"/><Relationship Id="rId123" Type="http://schemas.openxmlformats.org/officeDocument/2006/relationships/hyperlink" Target="https://drive.google.com/file/d/1UvFPM6EDdysoq-Z_-GkNml3yvw3Ox8GD/view?usp=sharing" TargetMode="External"/><Relationship Id="rId144" Type="http://schemas.openxmlformats.org/officeDocument/2006/relationships/hyperlink" Target="https://drive.google.com/file/d/1i2c6rTQzx6XNPd7yJ7N03cS_0hbr7YXh/view?usp=share_link" TargetMode="External"/><Relationship Id="rId90" Type="http://schemas.openxmlformats.org/officeDocument/2006/relationships/hyperlink" Target="https://drive.google.com/file/d/1McDzjTgDDuP4So2xw1P3KQW11mXRVhqu/view?usp=drive_link" TargetMode="External"/><Relationship Id="rId165" Type="http://schemas.openxmlformats.org/officeDocument/2006/relationships/hyperlink" Target="https://drive.google.com/file/d/1XQMaKcaMiZagTd5meIVZtiw-yEiuXdRE/view?usp=share_link" TargetMode="External"/><Relationship Id="rId186" Type="http://schemas.openxmlformats.org/officeDocument/2006/relationships/hyperlink" Target="https://drive.google.com/file/d/1xywnr82eM7e4EtwnAtz-8v4Pr33bkskc/view?usp=sharing" TargetMode="External"/><Relationship Id="rId211" Type="http://schemas.openxmlformats.org/officeDocument/2006/relationships/hyperlink" Target="https://drive.google.com/file/d/1Xn1B4Ty5XJYFP_EDbatJkn47fCFG-aOJ/view?usp=sharing" TargetMode="External"/><Relationship Id="rId27" Type="http://schemas.openxmlformats.org/officeDocument/2006/relationships/hyperlink" Target="https://drive.google.com/file/d/1FLlNBupcjSkQ3SH0f6Vsyvtj23fAG5-K/view?usp=sharing" TargetMode="External"/><Relationship Id="rId48" Type="http://schemas.openxmlformats.org/officeDocument/2006/relationships/hyperlink" Target="https://drive.google.com/file/d/1oxvFJUj1-TFWvuQRG7Do9ZXo7pyqmaGW/view?usp=sharing" TargetMode="External"/><Relationship Id="rId69" Type="http://schemas.openxmlformats.org/officeDocument/2006/relationships/hyperlink" Target="https://drive.google.com/file/d/1Xn1B4Ty5XJYFP_EDbatJkn47fCFG-aOJ/view?usp=sharing" TargetMode="External"/><Relationship Id="rId113" Type="http://schemas.openxmlformats.org/officeDocument/2006/relationships/hyperlink" Target="https://drive.google.com/file/d/1vuAEsmFludXafiALALn-TPO1ADXZbf6i/view?usp=drive_link" TargetMode="External"/><Relationship Id="rId134" Type="http://schemas.openxmlformats.org/officeDocument/2006/relationships/hyperlink" Target="https://drive.google.com/file/d/1TZ6wUxG5eRajjfI5WOIcbwXftjOz8b3X/view?usp=sharing" TargetMode="External"/><Relationship Id="rId80" Type="http://schemas.openxmlformats.org/officeDocument/2006/relationships/hyperlink" Target="https://drive.google.com/file/d/1-ejPTUGFXee5zhaVnWAXXRsSaqNcWlkH/view?usp=drive_link" TargetMode="External"/><Relationship Id="rId155" Type="http://schemas.openxmlformats.org/officeDocument/2006/relationships/hyperlink" Target="https://drive.google.com/file/d/17QE7pgQxv7uY_x615BUO1h0zsa96dSfd/view?usp=share_link" TargetMode="External"/><Relationship Id="rId176" Type="http://schemas.openxmlformats.org/officeDocument/2006/relationships/hyperlink" Target="https://drive.google.com/file/d/1YSk_GvU6-OZEd87kx63F09Zp4hAXNjcb/view?usp=sharing" TargetMode="External"/><Relationship Id="rId197" Type="http://schemas.openxmlformats.org/officeDocument/2006/relationships/hyperlink" Target="https://drive.google.com/file/d/1qAvd3STawtYNJtqG4y5BVfv0CAfK5ej2/view?usp=sharing" TargetMode="External"/><Relationship Id="rId201" Type="http://schemas.openxmlformats.org/officeDocument/2006/relationships/hyperlink" Target="https://drive.google.com/file/d/1KLFW2CfPFzED_qn56V4TZhhxNesAl01g/view?usp=sharing" TargetMode="External"/><Relationship Id="rId17" Type="http://schemas.openxmlformats.org/officeDocument/2006/relationships/hyperlink" Target="https://drive.google.com/file/d/1AOmWNcLSVPTqpDDvHh6jqQ6bZ-GM1OLR/view?usp=share_link" TargetMode="External"/><Relationship Id="rId38" Type="http://schemas.openxmlformats.org/officeDocument/2006/relationships/hyperlink" Target="https://drive.google.com/file/d/1PHmjFr-2iCg2qD9CbzED4RiJJh8UMlgp/view?usp=drive_link" TargetMode="External"/><Relationship Id="rId59" Type="http://schemas.openxmlformats.org/officeDocument/2006/relationships/hyperlink" Target="https://drive.google.com/file/d/1KLFW2CfPFzED_qn56V4TZhhxNesAl01g/view?usp=sharing" TargetMode="External"/><Relationship Id="rId103" Type="http://schemas.openxmlformats.org/officeDocument/2006/relationships/hyperlink" Target="https://drive.google.com/file/d/1Op8OmCxt0XlAMLRGGpST2gaNFR7gV4sL/view?usp=sharing" TargetMode="External"/><Relationship Id="rId124" Type="http://schemas.openxmlformats.org/officeDocument/2006/relationships/hyperlink" Target="https://drive.google.com/file/d/1v2WhAr4OpRkuLQP6uJqdqsLh-x5BE4u6/view?usp=sharing" TargetMode="External"/><Relationship Id="rId70" Type="http://schemas.openxmlformats.org/officeDocument/2006/relationships/hyperlink" Target="https://drive.google.com/file/d/16g3SKig4mD9yNk86XXOIHJeLnPwjcfpH/view?usp=sharing" TargetMode="External"/><Relationship Id="rId91" Type="http://schemas.openxmlformats.org/officeDocument/2006/relationships/hyperlink" Target="https://drive.google.com/file/d/1VbEovqrLDsQ2dddK_3hKxvts7hCeWUg8/view?usp=share_link" TargetMode="External"/><Relationship Id="rId145" Type="http://schemas.openxmlformats.org/officeDocument/2006/relationships/hyperlink" Target="https://drive.google.com/file/d/13pxE5U2tLBQJtVn3q7NJvkIa7_94tavU/view?usp=drive_link" TargetMode="External"/><Relationship Id="rId166" Type="http://schemas.openxmlformats.org/officeDocument/2006/relationships/hyperlink" Target="https://drive.google.com/file/d/1WKU4ALcfGxWjE0Jei01HVHWipKw4pKWs/view?usp=share_link" TargetMode="External"/><Relationship Id="rId187" Type="http://schemas.openxmlformats.org/officeDocument/2006/relationships/hyperlink" Target="https://drive.google.com/file/d/1C6go8NsQQmGjifEQe0XfPuNIt4ntS_TM/view?usp=sharing" TargetMode="External"/><Relationship Id="rId1" Type="http://schemas.openxmlformats.org/officeDocument/2006/relationships/hyperlink" Target="https://drive.google.com/file/d/1jZDDmLzT0u8iDed_s6yYK-QShJY6lIp_/view?usp=share_link" TargetMode="External"/><Relationship Id="rId212" Type="http://schemas.openxmlformats.org/officeDocument/2006/relationships/hyperlink" Target="https://drive.google.com/file/d/16g3SKig4mD9yNk86XXOIHJeLnPwjcfpH/view?usp=sharing" TargetMode="External"/><Relationship Id="rId28" Type="http://schemas.openxmlformats.org/officeDocument/2006/relationships/hyperlink" Target="https://drive.google.com/file/d/1wNbKCTCkLv46KYIKxXck4xW0wruPSbJq/view?usp=sharing" TargetMode="External"/><Relationship Id="rId49" Type="http://schemas.openxmlformats.org/officeDocument/2006/relationships/hyperlink" Target="https://drive.google.com/file/d/1ZlxZf69d2DqnPnL1VXsl3mX7lxRpISVw/view?usp=sharing" TargetMode="External"/><Relationship Id="rId114" Type="http://schemas.openxmlformats.org/officeDocument/2006/relationships/hyperlink" Target="https://drive.google.com/file/d/1DzmTd2W0fVYnUbawAvP7q80z4yuWFkJg/view?usp=sharing" TargetMode="External"/><Relationship Id="rId60" Type="http://schemas.openxmlformats.org/officeDocument/2006/relationships/hyperlink" Target="https://drive.google.com/file/d/1B7HyiBCH1WA26VNLLscTZPfdrU54FM0W/view?usp=sharing" TargetMode="External"/><Relationship Id="rId81" Type="http://schemas.openxmlformats.org/officeDocument/2006/relationships/hyperlink" Target="https://drive.google.com/file/d/1yxB8QzRSjo_srPl_-FxlOi68Agb24l3A/view?usp=share_link" TargetMode="External"/><Relationship Id="rId135" Type="http://schemas.openxmlformats.org/officeDocument/2006/relationships/hyperlink" Target="https://drive.google.com/file/d/11jvvpVYYUhpXZVLmFWh724o0GGCkQdCg/view?usp=sharing" TargetMode="External"/><Relationship Id="rId156" Type="http://schemas.openxmlformats.org/officeDocument/2006/relationships/hyperlink" Target="https://drive.google.com/file/d/1i09Ewa35CMrdfSNnWzn0qSHiOxq8jBKR/view?usp=share_link" TargetMode="External"/><Relationship Id="rId177" Type="http://schemas.openxmlformats.org/officeDocument/2006/relationships/hyperlink" Target="https://drive.google.com/file/d/1vMTm7KCKRC1kRx6Pe9J_15irWa8XE1ko/view?usp=sharing" TargetMode="External"/><Relationship Id="rId198" Type="http://schemas.openxmlformats.org/officeDocument/2006/relationships/hyperlink" Target="https://drive.google.com/file/d/1A4aL67utV2K8YzQpmGLGIrVFl-G59uQr/view?usp=sharing" TargetMode="External"/><Relationship Id="rId202" Type="http://schemas.openxmlformats.org/officeDocument/2006/relationships/hyperlink" Target="https://drive.google.com/file/d/1B7HyiBCH1WA26VNLLscTZPfdrU54FM0W/view?usp=sharing" TargetMode="External"/><Relationship Id="rId18" Type="http://schemas.openxmlformats.org/officeDocument/2006/relationships/hyperlink" Target="https://drive.google.com/file/d/1a3inNGUmctrOzUHUm2E5WWCJwUTA6Eu8/view?usp=share_link" TargetMode="External"/><Relationship Id="rId39" Type="http://schemas.openxmlformats.org/officeDocument/2006/relationships/hyperlink" Target="https://drive.google.com/file/d/1TgBYbVlm6FeQmlK7tCa46vgA_OyFVi7n/view?usp=drive_link" TargetMode="External"/><Relationship Id="rId50" Type="http://schemas.openxmlformats.org/officeDocument/2006/relationships/hyperlink" Target="https://drive.google.com/file/d/1Xecmfx_3-AtGUmoSSbhxzHXisRm8AXj9/view?usp=sharing" TargetMode="External"/><Relationship Id="rId104" Type="http://schemas.openxmlformats.org/officeDocument/2006/relationships/hyperlink" Target="https://drive.google.com/file/d/1VUOJr_-pgS1AS3ugYs5_lKDD7zl0Npvd/view?usp=sharing" TargetMode="External"/><Relationship Id="rId125" Type="http://schemas.openxmlformats.org/officeDocument/2006/relationships/hyperlink" Target="https://drive.google.com/file/d/1ATryWPmNiU4mmgQlXrfIoT0p0xV_N1Z9/view?usp=sharing" TargetMode="External"/><Relationship Id="rId146" Type="http://schemas.openxmlformats.org/officeDocument/2006/relationships/hyperlink" Target="https://drive.google.com/file/d/1X4MzPyLpohXkyO7bDyikOSc0IyE0zjUe/view?usp=share_link" TargetMode="External"/><Relationship Id="rId167" Type="http://schemas.openxmlformats.org/officeDocument/2006/relationships/hyperlink" Target="https://drive.google.com/file/d/1hxEaZrQobTzYpc-MNOyj-gMtGOMltt7J/view?usp=sharing" TargetMode="External"/><Relationship Id="rId188" Type="http://schemas.openxmlformats.org/officeDocument/2006/relationships/hyperlink" Target="https://drive.google.com/file/d/1jAQjK1cnGnFZ5mMp058TvesLjmkHmCOy/view?usp=sharing" TargetMode="External"/><Relationship Id="rId71" Type="http://schemas.openxmlformats.org/officeDocument/2006/relationships/hyperlink" Target="https://drive.google.com/file/d/18gNOJv0-bePabF7QmFtYmHS0qiI3yl1G/view?usp=sharing" TargetMode="External"/><Relationship Id="rId92" Type="http://schemas.openxmlformats.org/officeDocument/2006/relationships/hyperlink" Target="https://drive.google.com/file/d/1xmsCIvLjN2RMl6Pzt1uH0mogh96yQDUR/view?usp=drive_link" TargetMode="External"/><Relationship Id="rId213" Type="http://schemas.openxmlformats.org/officeDocument/2006/relationships/hyperlink" Target="https://drive.google.com/file/d/18gNOJv0-bePabF7QmFtYmHS0qiI3yl1G/view?usp=sharing" TargetMode="External"/><Relationship Id="rId2" Type="http://schemas.openxmlformats.org/officeDocument/2006/relationships/hyperlink" Target="https://drive.google.com/file/d/1i2c6rTQzx6XNPd7yJ7N03cS_0hbr7YXh/view?usp=share_link" TargetMode="External"/><Relationship Id="rId29" Type="http://schemas.openxmlformats.org/officeDocument/2006/relationships/hyperlink" Target="https://drive.google.com/file/d/1pvc1ze9XaDa9zXqrR_L4HnuviO57fuh2/view?usp=sharing" TargetMode="External"/><Relationship Id="rId40" Type="http://schemas.openxmlformats.org/officeDocument/2006/relationships/hyperlink" Target="https://drive.google.com/file/d/1uRziu4BXfqmfWXcUs6Zxl7bjtnVs826K/view?usp=drive_link" TargetMode="External"/><Relationship Id="rId115" Type="http://schemas.openxmlformats.org/officeDocument/2006/relationships/hyperlink" Target="https://drive.google.com/file/d/1xywnr82eM7e4EtwnAtz-8v4Pr33bkskc/view?usp=sharing" TargetMode="External"/><Relationship Id="rId136" Type="http://schemas.openxmlformats.org/officeDocument/2006/relationships/hyperlink" Target="https://drive.google.com/file/d/1hU7dDX2bWAq4p314buatHA4tfDFA1Pq5/view?usp=sharing" TargetMode="External"/><Relationship Id="rId157" Type="http://schemas.openxmlformats.org/officeDocument/2006/relationships/hyperlink" Target="https://drive.google.com/file/d/1advJYQYPx79MoLsP7ZXZOr_8FwW2qfuw/view?usp=share_link" TargetMode="External"/><Relationship Id="rId178" Type="http://schemas.openxmlformats.org/officeDocument/2006/relationships/hyperlink" Target="https://drive.google.com/file/d/1zapDlGMlZnuYYnJmjvBlHkMmcPNMVKZZ/view?usp=sharing" TargetMode="External"/><Relationship Id="rId61" Type="http://schemas.openxmlformats.org/officeDocument/2006/relationships/hyperlink" Target="https://drive.google.com/file/d/19KWhq7ff9uHpLUqt9rh4Xh6gr8UMmFq3/view?usp=sharing" TargetMode="External"/><Relationship Id="rId82" Type="http://schemas.openxmlformats.org/officeDocument/2006/relationships/hyperlink" Target="https://drive.google.com/file/d/1l-VMnqaJY3FNXMLzbqT-YA9PhuLYERlG/view?usp=drive_link" TargetMode="External"/><Relationship Id="rId199" Type="http://schemas.openxmlformats.org/officeDocument/2006/relationships/hyperlink" Target="https://drive.google.com/file/d/1S-pSPNhksNs0eTmdsl6UjgTcrgqYHqx-/view?usp=sharing" TargetMode="External"/><Relationship Id="rId203" Type="http://schemas.openxmlformats.org/officeDocument/2006/relationships/hyperlink" Target="https://drive.google.com/file/d/19KWhq7ff9uHpLUqt9rh4Xh6gr8UMmFq3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zoomScale="65" workbookViewId="0">
      <pane ySplit="2" topLeftCell="A3" activePane="bottomLeft" state="frozen"/>
      <selection pane="bottomLeft" activeCell="R17" sqref="R17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12" customWidth="1"/>
    <col min="4" max="4" width="49.33203125" customWidth="1"/>
    <col min="5" max="5" width="12" customWidth="1"/>
    <col min="6" max="6" width="20" customWidth="1"/>
    <col min="7" max="8" width="14" customWidth="1"/>
    <col min="9" max="9" width="14" style="2" customWidth="1"/>
    <col min="10" max="10" width="16" style="2" customWidth="1"/>
    <col min="11" max="12" width="20" customWidth="1"/>
    <col min="13" max="15" width="22" customWidth="1"/>
    <col min="16" max="16" width="12" customWidth="1"/>
    <col min="17" max="17" width="10" customWidth="1"/>
    <col min="18" max="19" width="12" customWidth="1"/>
    <col min="20" max="20" width="10" customWidth="1"/>
    <col min="21" max="21" width="11.6640625" customWidth="1"/>
  </cols>
  <sheetData>
    <row r="1" spans="1:21" ht="22" customHeight="1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J1" s="2" t="s">
        <v>0</v>
      </c>
      <c r="K1" t="s">
        <v>0</v>
      </c>
      <c r="M1" t="s">
        <v>0</v>
      </c>
      <c r="P1" s="20" t="s">
        <v>1</v>
      </c>
      <c r="Q1" s="21"/>
      <c r="R1" s="21"/>
      <c r="S1" s="22" t="s">
        <v>2</v>
      </c>
      <c r="T1" s="21"/>
      <c r="U1" s="23"/>
    </row>
    <row r="2" spans="1:21" ht="34" customHeight="1" x14ac:dyDescent="0.2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77</v>
      </c>
      <c r="J2" s="5" t="s">
        <v>11</v>
      </c>
      <c r="K2" s="5" t="s">
        <v>125</v>
      </c>
      <c r="L2" s="5" t="s">
        <v>27</v>
      </c>
      <c r="M2" s="5" t="s">
        <v>12</v>
      </c>
      <c r="N2" s="5" t="s">
        <v>79</v>
      </c>
      <c r="O2" s="5" t="s">
        <v>28</v>
      </c>
      <c r="P2" s="24" t="s">
        <v>13</v>
      </c>
      <c r="Q2" s="24" t="s">
        <v>14</v>
      </c>
      <c r="R2" s="24" t="s">
        <v>15</v>
      </c>
      <c r="S2" s="25" t="s">
        <v>13</v>
      </c>
      <c r="T2" s="25" t="s">
        <v>14</v>
      </c>
      <c r="U2" s="25" t="s">
        <v>15</v>
      </c>
    </row>
    <row r="3" spans="1:21" ht="18" customHeight="1" x14ac:dyDescent="0.2">
      <c r="A3" s="1" t="s">
        <v>25</v>
      </c>
      <c r="B3" s="6" t="s">
        <v>26</v>
      </c>
      <c r="C3" s="7" t="s">
        <v>16</v>
      </c>
      <c r="D3" s="7" t="s">
        <v>29</v>
      </c>
      <c r="E3" s="7">
        <v>1</v>
      </c>
      <c r="F3" s="8" t="s">
        <v>78</v>
      </c>
      <c r="G3" s="8" t="s">
        <v>76</v>
      </c>
      <c r="H3" s="7" t="s">
        <v>24</v>
      </c>
      <c r="I3" s="9" t="s">
        <v>59</v>
      </c>
      <c r="J3" s="9">
        <v>1</v>
      </c>
      <c r="K3" s="7">
        <v>392</v>
      </c>
      <c r="L3" s="10">
        <v>0</v>
      </c>
      <c r="M3" s="11">
        <v>5120000</v>
      </c>
      <c r="N3" s="10">
        <f>M3*3%</f>
        <v>153600</v>
      </c>
      <c r="O3" s="10">
        <f>(M3+N3)*1.12</f>
        <v>5906432.0000000009</v>
      </c>
      <c r="P3" s="26">
        <v>300727</v>
      </c>
      <c r="Q3" s="27">
        <v>17.100000000000001</v>
      </c>
      <c r="R3" s="28">
        <v>1758685</v>
      </c>
      <c r="S3" s="28">
        <v>347834</v>
      </c>
      <c r="T3" s="27">
        <v>19.78</v>
      </c>
      <c r="U3" s="27">
        <v>1758685</v>
      </c>
    </row>
    <row r="4" spans="1:21" x14ac:dyDescent="0.2">
      <c r="A4" s="1" t="s">
        <v>25</v>
      </c>
      <c r="B4" s="6" t="s">
        <v>26</v>
      </c>
      <c r="C4" s="7" t="s">
        <v>16</v>
      </c>
      <c r="D4" s="7" t="s">
        <v>30</v>
      </c>
      <c r="E4" s="7">
        <v>1</v>
      </c>
      <c r="F4" s="8" t="s">
        <v>78</v>
      </c>
      <c r="G4" s="8" t="s">
        <v>76</v>
      </c>
      <c r="H4" s="7" t="s">
        <v>24</v>
      </c>
      <c r="I4" s="9" t="s">
        <v>60</v>
      </c>
      <c r="J4" s="9">
        <v>1</v>
      </c>
      <c r="K4" s="7">
        <v>480</v>
      </c>
      <c r="L4" s="10">
        <v>0</v>
      </c>
      <c r="M4" s="11">
        <v>17249996.399999999</v>
      </c>
      <c r="N4" s="10">
        <f t="shared" ref="N4:N67" si="0">M4*3%</f>
        <v>517499.89199999993</v>
      </c>
      <c r="O4" s="10">
        <f t="shared" ref="O4:O67" si="1">(M4+N4)*1.12</f>
        <v>19899595.847040001</v>
      </c>
      <c r="P4" s="29">
        <v>2537129</v>
      </c>
      <c r="Q4" s="30">
        <v>144.26</v>
      </c>
      <c r="R4" s="31">
        <v>1758685</v>
      </c>
      <c r="S4" s="31">
        <v>1774251</v>
      </c>
      <c r="T4" s="30">
        <v>100.89</v>
      </c>
      <c r="U4" s="30">
        <v>1758685</v>
      </c>
    </row>
    <row r="5" spans="1:21" x14ac:dyDescent="0.2">
      <c r="A5" s="1" t="s">
        <v>25</v>
      </c>
      <c r="B5" s="6" t="s">
        <v>26</v>
      </c>
      <c r="C5" s="7" t="s">
        <v>16</v>
      </c>
      <c r="D5" s="7" t="s">
        <v>22</v>
      </c>
      <c r="E5" s="7">
        <v>1</v>
      </c>
      <c r="F5" s="8" t="s">
        <v>78</v>
      </c>
      <c r="G5" s="8" t="s">
        <v>76</v>
      </c>
      <c r="H5" s="7" t="s">
        <v>24</v>
      </c>
      <c r="I5" s="9" t="s">
        <v>61</v>
      </c>
      <c r="J5" s="9">
        <v>1</v>
      </c>
      <c r="K5" s="7">
        <v>384</v>
      </c>
      <c r="L5" s="10">
        <v>0</v>
      </c>
      <c r="M5" s="11">
        <v>18368000</v>
      </c>
      <c r="N5" s="10">
        <f t="shared" si="0"/>
        <v>551040</v>
      </c>
      <c r="O5" s="10">
        <f t="shared" si="1"/>
        <v>21189324.800000001</v>
      </c>
      <c r="P5" s="29">
        <v>884827</v>
      </c>
      <c r="Q5" s="30">
        <v>50.31</v>
      </c>
      <c r="R5" s="31">
        <v>1758685</v>
      </c>
      <c r="S5" s="31">
        <v>1160246</v>
      </c>
      <c r="T5" s="30">
        <v>65.97</v>
      </c>
      <c r="U5" s="30">
        <v>1758685</v>
      </c>
    </row>
    <row r="6" spans="1:21" x14ac:dyDescent="0.2">
      <c r="A6" s="1" t="s">
        <v>25</v>
      </c>
      <c r="B6" s="6" t="s">
        <v>26</v>
      </c>
      <c r="C6" s="7" t="s">
        <v>16</v>
      </c>
      <c r="D6" s="7" t="s">
        <v>31</v>
      </c>
      <c r="E6" s="7">
        <v>1</v>
      </c>
      <c r="F6" s="8" t="s">
        <v>78</v>
      </c>
      <c r="G6" s="8" t="s">
        <v>76</v>
      </c>
      <c r="H6" s="7" t="s">
        <v>24</v>
      </c>
      <c r="I6" s="9" t="s">
        <v>62</v>
      </c>
      <c r="J6" s="9">
        <v>1</v>
      </c>
      <c r="K6" s="7">
        <v>480</v>
      </c>
      <c r="L6" s="10">
        <v>0</v>
      </c>
      <c r="M6" s="11">
        <v>15476699.999999998</v>
      </c>
      <c r="N6" s="10">
        <f t="shared" si="0"/>
        <v>464300.99999999994</v>
      </c>
      <c r="O6" s="10">
        <f t="shared" si="1"/>
        <v>17853921.120000001</v>
      </c>
      <c r="P6" s="29">
        <v>1605381</v>
      </c>
      <c r="Q6" s="30">
        <v>91.28</v>
      </c>
      <c r="R6" s="31">
        <v>1758685</v>
      </c>
      <c r="S6" s="31">
        <v>1323647</v>
      </c>
      <c r="T6" s="30">
        <v>75.260000000000005</v>
      </c>
      <c r="U6" s="30">
        <v>1758685</v>
      </c>
    </row>
    <row r="7" spans="1:21" x14ac:dyDescent="0.2">
      <c r="A7" s="1" t="s">
        <v>25</v>
      </c>
      <c r="B7" s="6" t="s">
        <v>26</v>
      </c>
      <c r="C7" s="7" t="s">
        <v>16</v>
      </c>
      <c r="D7" s="7" t="s">
        <v>32</v>
      </c>
      <c r="E7" s="7">
        <v>1</v>
      </c>
      <c r="F7" s="8" t="s">
        <v>78</v>
      </c>
      <c r="G7" s="8" t="s">
        <v>76</v>
      </c>
      <c r="H7" s="7" t="s">
        <v>24</v>
      </c>
      <c r="I7" s="9" t="s">
        <v>63</v>
      </c>
      <c r="J7" s="9">
        <v>1</v>
      </c>
      <c r="K7" s="7">
        <v>357</v>
      </c>
      <c r="L7" s="10">
        <v>0</v>
      </c>
      <c r="M7" s="11">
        <v>5120000</v>
      </c>
      <c r="N7" s="10">
        <f t="shared" si="0"/>
        <v>153600</v>
      </c>
      <c r="O7" s="10">
        <f t="shared" si="1"/>
        <v>5906432.0000000009</v>
      </c>
      <c r="P7" s="29">
        <v>317145</v>
      </c>
      <c r="Q7" s="30">
        <v>18.03</v>
      </c>
      <c r="R7" s="31">
        <v>1758685</v>
      </c>
      <c r="S7" s="31">
        <v>347104</v>
      </c>
      <c r="T7" s="30">
        <v>19.739999999999998</v>
      </c>
      <c r="U7" s="30">
        <v>1758685</v>
      </c>
    </row>
    <row r="8" spans="1:21" x14ac:dyDescent="0.2">
      <c r="A8" s="1" t="s">
        <v>25</v>
      </c>
      <c r="B8" s="6" t="s">
        <v>26</v>
      </c>
      <c r="C8" s="7" t="s">
        <v>16</v>
      </c>
      <c r="D8" s="7" t="s">
        <v>33</v>
      </c>
      <c r="E8" s="7">
        <v>1</v>
      </c>
      <c r="F8" s="8" t="s">
        <v>78</v>
      </c>
      <c r="G8" s="8" t="s">
        <v>76</v>
      </c>
      <c r="H8" s="7" t="s">
        <v>24</v>
      </c>
      <c r="I8" s="9" t="s">
        <v>64</v>
      </c>
      <c r="J8" s="9">
        <v>1</v>
      </c>
      <c r="K8" s="7">
        <v>480</v>
      </c>
      <c r="L8" s="10">
        <v>0</v>
      </c>
      <c r="M8" s="11">
        <v>4450000</v>
      </c>
      <c r="N8" s="10">
        <f t="shared" si="0"/>
        <v>133500</v>
      </c>
      <c r="O8" s="10">
        <f t="shared" si="1"/>
        <v>5133520.0000000009</v>
      </c>
      <c r="P8" s="29">
        <v>514584</v>
      </c>
      <c r="Q8" s="30">
        <v>29.26</v>
      </c>
      <c r="R8" s="31">
        <v>1758685</v>
      </c>
      <c r="S8" s="31">
        <v>454793</v>
      </c>
      <c r="T8" s="30">
        <v>25.86</v>
      </c>
      <c r="U8" s="30">
        <v>1758685</v>
      </c>
    </row>
    <row r="9" spans="1:21" x14ac:dyDescent="0.2">
      <c r="A9" s="1" t="s">
        <v>25</v>
      </c>
      <c r="B9" s="6" t="s">
        <v>26</v>
      </c>
      <c r="C9" s="7" t="s">
        <v>16</v>
      </c>
      <c r="D9" s="7" t="s">
        <v>34</v>
      </c>
      <c r="E9" s="7">
        <v>1</v>
      </c>
      <c r="F9" s="8" t="s">
        <v>78</v>
      </c>
      <c r="G9" s="8" t="s">
        <v>76</v>
      </c>
      <c r="H9" s="7" t="s">
        <v>24</v>
      </c>
      <c r="I9" s="9" t="s">
        <v>65</v>
      </c>
      <c r="J9" s="9">
        <v>1</v>
      </c>
      <c r="K9" s="7">
        <v>357</v>
      </c>
      <c r="L9" s="10">
        <v>0</v>
      </c>
      <c r="M9" s="11">
        <v>10360000</v>
      </c>
      <c r="N9" s="10">
        <f t="shared" si="0"/>
        <v>310800</v>
      </c>
      <c r="O9" s="10">
        <f t="shared" si="1"/>
        <v>11951296.000000002</v>
      </c>
      <c r="P9" s="29">
        <v>763439</v>
      </c>
      <c r="Q9" s="30">
        <v>43.41</v>
      </c>
      <c r="R9" s="31">
        <v>1758685</v>
      </c>
      <c r="S9" s="31">
        <v>653102</v>
      </c>
      <c r="T9" s="30">
        <v>37.14</v>
      </c>
      <c r="U9" s="30">
        <v>1758685</v>
      </c>
    </row>
    <row r="10" spans="1:21" x14ac:dyDescent="0.2">
      <c r="A10" s="1" t="s">
        <v>25</v>
      </c>
      <c r="B10" s="6" t="s">
        <v>26</v>
      </c>
      <c r="C10" s="7" t="s">
        <v>16</v>
      </c>
      <c r="D10" s="7" t="s">
        <v>19</v>
      </c>
      <c r="E10" s="7">
        <v>1</v>
      </c>
      <c r="F10" s="8" t="s">
        <v>78</v>
      </c>
      <c r="G10" s="8" t="s">
        <v>76</v>
      </c>
      <c r="H10" s="7" t="s">
        <v>24</v>
      </c>
      <c r="I10" s="9" t="s">
        <v>64</v>
      </c>
      <c r="J10" s="9">
        <v>1</v>
      </c>
      <c r="K10" s="7">
        <v>300</v>
      </c>
      <c r="L10" s="10">
        <v>0</v>
      </c>
      <c r="M10" s="11">
        <v>6120000</v>
      </c>
      <c r="N10" s="10">
        <f t="shared" si="0"/>
        <v>183600</v>
      </c>
      <c r="O10" s="10">
        <f t="shared" si="1"/>
        <v>7060032.0000000009</v>
      </c>
      <c r="P10" s="29">
        <v>916326</v>
      </c>
      <c r="Q10" s="30">
        <v>52.1</v>
      </c>
      <c r="R10" s="31">
        <v>1758685</v>
      </c>
      <c r="S10" s="31">
        <v>637812</v>
      </c>
      <c r="T10" s="30">
        <v>36.270000000000003</v>
      </c>
      <c r="U10" s="30">
        <v>1758685</v>
      </c>
    </row>
    <row r="11" spans="1:21" x14ac:dyDescent="0.2">
      <c r="A11" s="1" t="s">
        <v>25</v>
      </c>
      <c r="B11" s="6" t="s">
        <v>26</v>
      </c>
      <c r="C11" s="7" t="s">
        <v>16</v>
      </c>
      <c r="D11" s="7" t="s">
        <v>20</v>
      </c>
      <c r="E11" s="7">
        <v>1</v>
      </c>
      <c r="F11" s="8" t="s">
        <v>78</v>
      </c>
      <c r="G11" s="8" t="s">
        <v>76</v>
      </c>
      <c r="H11" s="7" t="s">
        <v>24</v>
      </c>
      <c r="I11" s="9" t="s">
        <v>59</v>
      </c>
      <c r="J11" s="9">
        <v>1</v>
      </c>
      <c r="K11" s="7">
        <v>328</v>
      </c>
      <c r="L11" s="10">
        <v>0</v>
      </c>
      <c r="M11" s="11">
        <v>5920000</v>
      </c>
      <c r="N11" s="10">
        <f t="shared" si="0"/>
        <v>177600</v>
      </c>
      <c r="O11" s="10">
        <f t="shared" si="1"/>
        <v>6829312.0000000009</v>
      </c>
      <c r="P11" s="29">
        <v>670199</v>
      </c>
      <c r="Q11" s="30">
        <v>38.11</v>
      </c>
      <c r="R11" s="31">
        <v>1758685</v>
      </c>
      <c r="S11" s="31">
        <v>493368</v>
      </c>
      <c r="T11" s="30">
        <v>28.05</v>
      </c>
      <c r="U11" s="30">
        <v>1758685</v>
      </c>
    </row>
    <row r="12" spans="1:21" x14ac:dyDescent="0.2">
      <c r="A12" s="1" t="s">
        <v>25</v>
      </c>
      <c r="B12" s="6" t="s">
        <v>26</v>
      </c>
      <c r="C12" s="7" t="s">
        <v>16</v>
      </c>
      <c r="D12" s="7" t="s">
        <v>35</v>
      </c>
      <c r="E12" s="7">
        <v>1</v>
      </c>
      <c r="F12" s="8" t="s">
        <v>78</v>
      </c>
      <c r="G12" s="8" t="s">
        <v>76</v>
      </c>
      <c r="H12" s="7" t="s">
        <v>24</v>
      </c>
      <c r="I12" s="9" t="s">
        <v>59</v>
      </c>
      <c r="J12" s="9">
        <v>1</v>
      </c>
      <c r="K12" s="7">
        <v>392</v>
      </c>
      <c r="L12" s="10">
        <v>0</v>
      </c>
      <c r="M12" s="11">
        <v>5120000</v>
      </c>
      <c r="N12" s="10">
        <f t="shared" si="0"/>
        <v>153600</v>
      </c>
      <c r="O12" s="10">
        <f t="shared" si="1"/>
        <v>5906432.0000000009</v>
      </c>
      <c r="P12" s="29">
        <v>269809</v>
      </c>
      <c r="Q12" s="30">
        <v>15.34</v>
      </c>
      <c r="R12" s="31">
        <v>1758685</v>
      </c>
      <c r="S12" s="31">
        <v>246569</v>
      </c>
      <c r="T12" s="30">
        <v>14.02</v>
      </c>
      <c r="U12" s="30">
        <v>1758685</v>
      </c>
    </row>
    <row r="13" spans="1:21" x14ac:dyDescent="0.2">
      <c r="A13" s="1" t="s">
        <v>25</v>
      </c>
      <c r="B13" s="6" t="s">
        <v>26</v>
      </c>
      <c r="C13" s="7" t="s">
        <v>16</v>
      </c>
      <c r="D13" s="7" t="s">
        <v>36</v>
      </c>
      <c r="E13" s="7">
        <v>1</v>
      </c>
      <c r="F13" s="8" t="s">
        <v>78</v>
      </c>
      <c r="G13" s="8" t="s">
        <v>76</v>
      </c>
      <c r="H13" s="7" t="s">
        <v>24</v>
      </c>
      <c r="I13" s="9" t="s">
        <v>59</v>
      </c>
      <c r="J13" s="9">
        <v>1</v>
      </c>
      <c r="K13" s="7">
        <v>357</v>
      </c>
      <c r="L13" s="10">
        <v>0</v>
      </c>
      <c r="M13" s="11">
        <v>5920000</v>
      </c>
      <c r="N13" s="10">
        <f t="shared" si="0"/>
        <v>177600</v>
      </c>
      <c r="O13" s="10">
        <f t="shared" si="1"/>
        <v>6829312.0000000009</v>
      </c>
      <c r="P13" s="29">
        <v>198714</v>
      </c>
      <c r="Q13" s="30">
        <v>11.3</v>
      </c>
      <c r="R13" s="31">
        <v>1758685</v>
      </c>
      <c r="S13" s="31">
        <v>217761</v>
      </c>
      <c r="T13" s="30">
        <v>12.38</v>
      </c>
      <c r="U13" s="30">
        <v>1758685</v>
      </c>
    </row>
    <row r="14" spans="1:21" x14ac:dyDescent="0.2">
      <c r="A14" s="1" t="s">
        <v>25</v>
      </c>
      <c r="B14" s="6" t="s">
        <v>26</v>
      </c>
      <c r="C14" s="7" t="s">
        <v>16</v>
      </c>
      <c r="D14" s="7" t="s">
        <v>37</v>
      </c>
      <c r="E14" s="7">
        <v>1</v>
      </c>
      <c r="F14" s="8" t="s">
        <v>78</v>
      </c>
      <c r="G14" s="8" t="s">
        <v>76</v>
      </c>
      <c r="H14" s="7" t="s">
        <v>24</v>
      </c>
      <c r="I14" s="9" t="s">
        <v>65</v>
      </c>
      <c r="J14" s="9">
        <v>1</v>
      </c>
      <c r="K14" s="7">
        <v>246</v>
      </c>
      <c r="L14" s="10">
        <v>0</v>
      </c>
      <c r="M14" s="11">
        <v>10522800</v>
      </c>
      <c r="N14" s="10">
        <f t="shared" si="0"/>
        <v>315684</v>
      </c>
      <c r="O14" s="10">
        <f t="shared" si="1"/>
        <v>12139102.080000002</v>
      </c>
      <c r="P14" s="29">
        <v>592354</v>
      </c>
      <c r="Q14" s="30">
        <v>33.68</v>
      </c>
      <c r="R14" s="31">
        <v>1758685</v>
      </c>
      <c r="S14" s="31">
        <v>526306</v>
      </c>
      <c r="T14" s="30">
        <v>29.93</v>
      </c>
      <c r="U14" s="30">
        <v>1758685</v>
      </c>
    </row>
    <row r="15" spans="1:21" x14ac:dyDescent="0.2">
      <c r="A15" s="1" t="s">
        <v>25</v>
      </c>
      <c r="B15" s="6" t="s">
        <v>26</v>
      </c>
      <c r="C15" s="7" t="s">
        <v>16</v>
      </c>
      <c r="D15" s="7" t="s">
        <v>38</v>
      </c>
      <c r="E15" s="7">
        <v>1</v>
      </c>
      <c r="F15" s="8" t="s">
        <v>78</v>
      </c>
      <c r="G15" s="8" t="s">
        <v>76</v>
      </c>
      <c r="H15" s="7" t="s">
        <v>24</v>
      </c>
      <c r="I15" s="9" t="s">
        <v>59</v>
      </c>
      <c r="J15" s="9">
        <v>1</v>
      </c>
      <c r="K15" s="7">
        <v>321</v>
      </c>
      <c r="L15" s="10">
        <v>0</v>
      </c>
      <c r="M15" s="11">
        <v>5920000</v>
      </c>
      <c r="N15" s="10">
        <f t="shared" si="0"/>
        <v>177600</v>
      </c>
      <c r="O15" s="10">
        <f t="shared" si="1"/>
        <v>6829312.0000000009</v>
      </c>
      <c r="P15" s="29">
        <v>330172</v>
      </c>
      <c r="Q15" s="30">
        <v>18.77</v>
      </c>
      <c r="R15" s="31">
        <v>1758685</v>
      </c>
      <c r="S15" s="31">
        <v>251354</v>
      </c>
      <c r="T15" s="30">
        <v>14.29</v>
      </c>
      <c r="U15" s="30">
        <v>1758685</v>
      </c>
    </row>
    <row r="16" spans="1:21" x14ac:dyDescent="0.2">
      <c r="A16" s="1" t="s">
        <v>25</v>
      </c>
      <c r="B16" s="6" t="s">
        <v>26</v>
      </c>
      <c r="C16" s="7" t="s">
        <v>16</v>
      </c>
      <c r="D16" s="7" t="s">
        <v>39</v>
      </c>
      <c r="E16" s="7">
        <v>1</v>
      </c>
      <c r="F16" s="8" t="s">
        <v>78</v>
      </c>
      <c r="G16" s="8" t="s">
        <v>76</v>
      </c>
      <c r="H16" s="7" t="s">
        <v>24</v>
      </c>
      <c r="I16" s="9" t="s">
        <v>64</v>
      </c>
      <c r="J16" s="9">
        <v>1</v>
      </c>
      <c r="K16" s="7">
        <v>822</v>
      </c>
      <c r="L16" s="10">
        <v>0</v>
      </c>
      <c r="M16" s="11">
        <v>5865000</v>
      </c>
      <c r="N16" s="10">
        <f t="shared" si="0"/>
        <v>175950</v>
      </c>
      <c r="O16" s="10">
        <f t="shared" si="1"/>
        <v>6765864.0000000009</v>
      </c>
      <c r="P16" s="29">
        <v>682116</v>
      </c>
      <c r="Q16" s="30">
        <v>38.79</v>
      </c>
      <c r="R16" s="31">
        <v>1758685</v>
      </c>
      <c r="S16" s="31">
        <v>531140</v>
      </c>
      <c r="T16" s="30">
        <v>30.2</v>
      </c>
      <c r="U16" s="30">
        <v>1758685</v>
      </c>
    </row>
    <row r="17" spans="1:21" x14ac:dyDescent="0.2">
      <c r="A17" s="1" t="s">
        <v>25</v>
      </c>
      <c r="B17" s="6" t="s">
        <v>26</v>
      </c>
      <c r="C17" s="7" t="s">
        <v>16</v>
      </c>
      <c r="D17" s="7" t="s">
        <v>40</v>
      </c>
      <c r="E17" s="7">
        <v>1</v>
      </c>
      <c r="F17" s="8" t="s">
        <v>78</v>
      </c>
      <c r="G17" s="8" t="s">
        <v>76</v>
      </c>
      <c r="H17" s="7" t="s">
        <v>24</v>
      </c>
      <c r="I17" s="9" t="s">
        <v>59</v>
      </c>
      <c r="J17" s="9">
        <v>1</v>
      </c>
      <c r="K17" s="7">
        <v>480</v>
      </c>
      <c r="L17" s="10">
        <v>0</v>
      </c>
      <c r="M17" s="11">
        <v>6273000.0000000009</v>
      </c>
      <c r="N17" s="10">
        <f t="shared" si="0"/>
        <v>188190.00000000003</v>
      </c>
      <c r="O17" s="10">
        <f t="shared" si="1"/>
        <v>7236532.8000000017</v>
      </c>
      <c r="P17" s="29">
        <v>331861</v>
      </c>
      <c r="Q17" s="30">
        <v>18.87</v>
      </c>
      <c r="R17" s="31">
        <v>1758685</v>
      </c>
      <c r="S17" s="31">
        <v>278107</v>
      </c>
      <c r="T17" s="30">
        <v>15.81</v>
      </c>
      <c r="U17" s="30">
        <v>1758685</v>
      </c>
    </row>
    <row r="18" spans="1:21" x14ac:dyDescent="0.2">
      <c r="A18" s="1" t="s">
        <v>25</v>
      </c>
      <c r="B18" s="6" t="s">
        <v>26</v>
      </c>
      <c r="C18" s="7" t="s">
        <v>16</v>
      </c>
      <c r="D18" s="7" t="s">
        <v>21</v>
      </c>
      <c r="E18" s="7">
        <v>1</v>
      </c>
      <c r="F18" s="8" t="s">
        <v>78</v>
      </c>
      <c r="G18" s="8" t="s">
        <v>76</v>
      </c>
      <c r="H18" s="7" t="s">
        <v>24</v>
      </c>
      <c r="I18" s="9" t="s">
        <v>66</v>
      </c>
      <c r="J18" s="9">
        <v>1</v>
      </c>
      <c r="K18" s="7">
        <v>960</v>
      </c>
      <c r="L18" s="10">
        <v>0</v>
      </c>
      <c r="M18" s="11">
        <v>5865000</v>
      </c>
      <c r="N18" s="10">
        <f t="shared" si="0"/>
        <v>175950</v>
      </c>
      <c r="O18" s="10">
        <f t="shared" si="1"/>
        <v>6765864.0000000009</v>
      </c>
      <c r="P18" s="29">
        <v>852483</v>
      </c>
      <c r="Q18" s="30">
        <v>48.47</v>
      </c>
      <c r="R18" s="31">
        <v>1758685</v>
      </c>
      <c r="S18" s="31">
        <v>647295</v>
      </c>
      <c r="T18" s="30">
        <v>36.81</v>
      </c>
      <c r="U18" s="30">
        <v>1758685</v>
      </c>
    </row>
    <row r="19" spans="1:21" x14ac:dyDescent="0.2">
      <c r="A19" s="1" t="s">
        <v>25</v>
      </c>
      <c r="B19" s="6" t="s">
        <v>26</v>
      </c>
      <c r="C19" s="7" t="s">
        <v>16</v>
      </c>
      <c r="D19" s="7" t="s">
        <v>41</v>
      </c>
      <c r="E19" s="7">
        <v>1</v>
      </c>
      <c r="F19" s="8" t="s">
        <v>78</v>
      </c>
      <c r="G19" s="8" t="s">
        <v>76</v>
      </c>
      <c r="H19" s="7" t="s">
        <v>24</v>
      </c>
      <c r="I19" s="9" t="s">
        <v>64</v>
      </c>
      <c r="J19" s="9">
        <v>1</v>
      </c>
      <c r="K19" s="7">
        <v>640</v>
      </c>
      <c r="L19" s="10">
        <v>0</v>
      </c>
      <c r="M19" s="11">
        <v>5865000</v>
      </c>
      <c r="N19" s="10">
        <f t="shared" si="0"/>
        <v>175950</v>
      </c>
      <c r="O19" s="10">
        <f t="shared" si="1"/>
        <v>6765864.0000000009</v>
      </c>
      <c r="P19" s="29">
        <v>688720</v>
      </c>
      <c r="Q19" s="30">
        <v>39.159999999999997</v>
      </c>
      <c r="R19" s="31">
        <v>1758685</v>
      </c>
      <c r="S19" s="31">
        <v>556291</v>
      </c>
      <c r="T19" s="30">
        <v>31.63</v>
      </c>
      <c r="U19" s="30">
        <v>1758685</v>
      </c>
    </row>
    <row r="20" spans="1:21" x14ac:dyDescent="0.2">
      <c r="A20" s="1" t="s">
        <v>25</v>
      </c>
      <c r="B20" s="6" t="s">
        <v>26</v>
      </c>
      <c r="C20" s="7" t="s">
        <v>16</v>
      </c>
      <c r="D20" s="7" t="s">
        <v>42</v>
      </c>
      <c r="E20" s="7">
        <v>1</v>
      </c>
      <c r="F20" s="8" t="s">
        <v>78</v>
      </c>
      <c r="G20" s="8" t="s">
        <v>76</v>
      </c>
      <c r="H20" s="7" t="s">
        <v>24</v>
      </c>
      <c r="I20" s="9" t="s">
        <v>59</v>
      </c>
      <c r="J20" s="9">
        <v>1</v>
      </c>
      <c r="K20" s="7">
        <v>357</v>
      </c>
      <c r="L20" s="10">
        <v>0</v>
      </c>
      <c r="M20" s="11">
        <v>5920000</v>
      </c>
      <c r="N20" s="10">
        <f t="shared" si="0"/>
        <v>177600</v>
      </c>
      <c r="O20" s="10">
        <f t="shared" si="1"/>
        <v>6829312.0000000009</v>
      </c>
      <c r="P20" s="29">
        <v>376943</v>
      </c>
      <c r="Q20" s="30">
        <v>21.43</v>
      </c>
      <c r="R20" s="31">
        <v>1758685</v>
      </c>
      <c r="S20" s="31">
        <v>274250</v>
      </c>
      <c r="T20" s="30">
        <v>15.59</v>
      </c>
      <c r="U20" s="30">
        <v>1758685</v>
      </c>
    </row>
    <row r="21" spans="1:21" x14ac:dyDescent="0.2">
      <c r="A21" s="1" t="s">
        <v>25</v>
      </c>
      <c r="B21" s="6" t="s">
        <v>26</v>
      </c>
      <c r="C21" s="7" t="s">
        <v>16</v>
      </c>
      <c r="D21" s="7" t="s">
        <v>43</v>
      </c>
      <c r="E21" s="7">
        <v>1</v>
      </c>
      <c r="F21" s="8" t="s">
        <v>78</v>
      </c>
      <c r="G21" s="8" t="s">
        <v>76</v>
      </c>
      <c r="H21" s="7" t="s">
        <v>24</v>
      </c>
      <c r="I21" s="9" t="s">
        <v>67</v>
      </c>
      <c r="J21" s="9">
        <v>1</v>
      </c>
      <c r="K21" s="7">
        <v>320</v>
      </c>
      <c r="L21" s="10">
        <v>0</v>
      </c>
      <c r="M21" s="11">
        <v>5025000</v>
      </c>
      <c r="N21" s="10">
        <f t="shared" si="0"/>
        <v>150750</v>
      </c>
      <c r="O21" s="10">
        <f t="shared" si="1"/>
        <v>5796840.0000000009</v>
      </c>
      <c r="P21" s="29">
        <v>351645</v>
      </c>
      <c r="Q21" s="30">
        <v>19.989999999999998</v>
      </c>
      <c r="R21" s="31">
        <v>1758685</v>
      </c>
      <c r="S21" s="31">
        <v>277902</v>
      </c>
      <c r="T21" s="30">
        <v>15.8</v>
      </c>
      <c r="U21" s="30">
        <v>1758685</v>
      </c>
    </row>
    <row r="22" spans="1:21" x14ac:dyDescent="0.2">
      <c r="A22" s="1" t="s">
        <v>25</v>
      </c>
      <c r="B22" s="6" t="s">
        <v>26</v>
      </c>
      <c r="C22" s="7" t="s">
        <v>16</v>
      </c>
      <c r="D22" s="7" t="s">
        <v>44</v>
      </c>
      <c r="E22" s="7">
        <v>1</v>
      </c>
      <c r="F22" s="8" t="s">
        <v>78</v>
      </c>
      <c r="G22" s="8" t="s">
        <v>76</v>
      </c>
      <c r="H22" s="7" t="s">
        <v>24</v>
      </c>
      <c r="I22" s="9" t="s">
        <v>64</v>
      </c>
      <c r="J22" s="9">
        <v>1</v>
      </c>
      <c r="K22" s="7">
        <v>480</v>
      </c>
      <c r="L22" s="10">
        <v>0</v>
      </c>
      <c r="M22" s="11">
        <v>5920000</v>
      </c>
      <c r="N22" s="10">
        <f t="shared" si="0"/>
        <v>177600</v>
      </c>
      <c r="O22" s="10">
        <f t="shared" si="1"/>
        <v>6829312.0000000009</v>
      </c>
      <c r="P22" s="29">
        <v>1770928</v>
      </c>
      <c r="Q22" s="30">
        <v>100.7</v>
      </c>
      <c r="R22" s="31">
        <v>1758685</v>
      </c>
      <c r="S22" s="31">
        <v>1511777</v>
      </c>
      <c r="T22" s="30">
        <v>85.96</v>
      </c>
      <c r="U22" s="30">
        <v>1758685</v>
      </c>
    </row>
    <row r="23" spans="1:21" x14ac:dyDescent="0.2">
      <c r="A23" s="1" t="s">
        <v>25</v>
      </c>
      <c r="B23" s="6" t="s">
        <v>26</v>
      </c>
      <c r="C23" s="7" t="s">
        <v>16</v>
      </c>
      <c r="D23" s="7" t="s">
        <v>23</v>
      </c>
      <c r="E23" s="7">
        <v>1</v>
      </c>
      <c r="F23" s="8" t="s">
        <v>78</v>
      </c>
      <c r="G23" s="8" t="s">
        <v>76</v>
      </c>
      <c r="H23" s="7" t="s">
        <v>24</v>
      </c>
      <c r="I23" s="9" t="s">
        <v>59</v>
      </c>
      <c r="J23" s="9">
        <v>1</v>
      </c>
      <c r="K23" s="7">
        <v>357</v>
      </c>
      <c r="L23" s="10">
        <v>0</v>
      </c>
      <c r="M23" s="11">
        <v>5120000</v>
      </c>
      <c r="N23" s="10">
        <f t="shared" si="0"/>
        <v>153600</v>
      </c>
      <c r="O23" s="10">
        <f t="shared" si="1"/>
        <v>5906432.0000000009</v>
      </c>
      <c r="P23" s="29">
        <v>116134</v>
      </c>
      <c r="Q23" s="30">
        <v>6.6</v>
      </c>
      <c r="R23" s="31">
        <v>1758685</v>
      </c>
      <c r="S23" s="31">
        <v>272907</v>
      </c>
      <c r="T23" s="30">
        <v>15.52</v>
      </c>
      <c r="U23" s="30">
        <v>1758685</v>
      </c>
    </row>
    <row r="24" spans="1:21" x14ac:dyDescent="0.2">
      <c r="A24" s="1" t="s">
        <v>25</v>
      </c>
      <c r="B24" s="6" t="s">
        <v>26</v>
      </c>
      <c r="C24" s="7" t="s">
        <v>16</v>
      </c>
      <c r="D24" s="7" t="s">
        <v>45</v>
      </c>
      <c r="E24" s="7">
        <v>1</v>
      </c>
      <c r="F24" s="8" t="s">
        <v>78</v>
      </c>
      <c r="G24" s="8" t="s">
        <v>76</v>
      </c>
      <c r="H24" s="7" t="s">
        <v>24</v>
      </c>
      <c r="I24" s="9" t="s">
        <v>68</v>
      </c>
      <c r="J24" s="9">
        <v>1</v>
      </c>
      <c r="K24" s="7">
        <v>700</v>
      </c>
      <c r="L24" s="10">
        <v>0</v>
      </c>
      <c r="M24" s="11">
        <v>7600000</v>
      </c>
      <c r="N24" s="10">
        <f t="shared" si="0"/>
        <v>228000</v>
      </c>
      <c r="O24" s="10">
        <f t="shared" si="1"/>
        <v>8767360</v>
      </c>
      <c r="P24" s="29">
        <v>637915</v>
      </c>
      <c r="Q24" s="30">
        <v>36.270000000000003</v>
      </c>
      <c r="R24" s="31">
        <v>1758685</v>
      </c>
      <c r="S24" s="31">
        <v>512245</v>
      </c>
      <c r="T24" s="30">
        <v>29.13</v>
      </c>
      <c r="U24" s="30">
        <v>1758685</v>
      </c>
    </row>
    <row r="25" spans="1:21" x14ac:dyDescent="0.2">
      <c r="A25" s="1" t="s">
        <v>25</v>
      </c>
      <c r="B25" s="6" t="s">
        <v>26</v>
      </c>
      <c r="C25" s="7" t="s">
        <v>16</v>
      </c>
      <c r="D25" s="7" t="s">
        <v>46</v>
      </c>
      <c r="E25" s="7">
        <v>1</v>
      </c>
      <c r="F25" s="8" t="s">
        <v>78</v>
      </c>
      <c r="G25" s="8" t="s">
        <v>76</v>
      </c>
      <c r="H25" s="7" t="s">
        <v>24</v>
      </c>
      <c r="I25" s="9" t="s">
        <v>69</v>
      </c>
      <c r="J25" s="9">
        <v>1</v>
      </c>
      <c r="K25" s="7">
        <v>246</v>
      </c>
      <c r="L25" s="10">
        <v>0</v>
      </c>
      <c r="M25" s="11">
        <v>16174800</v>
      </c>
      <c r="N25" s="10">
        <f t="shared" si="0"/>
        <v>485244</v>
      </c>
      <c r="O25" s="10">
        <f t="shared" si="1"/>
        <v>18659249.280000001</v>
      </c>
      <c r="P25" s="29">
        <v>1029097</v>
      </c>
      <c r="Q25" s="30">
        <v>58.52</v>
      </c>
      <c r="R25" s="31">
        <v>1758685</v>
      </c>
      <c r="S25" s="31">
        <v>1007425</v>
      </c>
      <c r="T25" s="30">
        <v>57.28</v>
      </c>
      <c r="U25" s="30">
        <v>1758685</v>
      </c>
    </row>
    <row r="26" spans="1:21" x14ac:dyDescent="0.2">
      <c r="A26" s="1" t="s">
        <v>25</v>
      </c>
      <c r="B26" s="6" t="s">
        <v>26</v>
      </c>
      <c r="C26" s="7" t="s">
        <v>16</v>
      </c>
      <c r="D26" s="7" t="s">
        <v>47</v>
      </c>
      <c r="E26" s="7">
        <v>1</v>
      </c>
      <c r="F26" s="8" t="s">
        <v>78</v>
      </c>
      <c r="G26" s="8" t="s">
        <v>76</v>
      </c>
      <c r="H26" s="7" t="s">
        <v>24</v>
      </c>
      <c r="I26" s="9" t="s">
        <v>59</v>
      </c>
      <c r="J26" s="9">
        <v>1</v>
      </c>
      <c r="K26" s="7">
        <v>357</v>
      </c>
      <c r="L26" s="10">
        <v>0</v>
      </c>
      <c r="M26" s="11">
        <v>5920000</v>
      </c>
      <c r="N26" s="10">
        <f t="shared" si="0"/>
        <v>177600</v>
      </c>
      <c r="O26" s="10">
        <f t="shared" si="1"/>
        <v>6829312.0000000009</v>
      </c>
      <c r="P26" s="29">
        <v>112250</v>
      </c>
      <c r="Q26" s="30">
        <v>6.38</v>
      </c>
      <c r="R26" s="31">
        <v>1758685</v>
      </c>
      <c r="S26" s="31">
        <v>81667</v>
      </c>
      <c r="T26" s="30">
        <v>4.6399999999999997</v>
      </c>
      <c r="U26" s="30">
        <v>1758685</v>
      </c>
    </row>
    <row r="27" spans="1:21" x14ac:dyDescent="0.2">
      <c r="A27" s="1" t="s">
        <v>25</v>
      </c>
      <c r="B27" s="4" t="s">
        <v>26</v>
      </c>
      <c r="C27" s="12" t="s">
        <v>56</v>
      </c>
      <c r="D27" s="12" t="s">
        <v>82</v>
      </c>
      <c r="E27" s="7">
        <v>1</v>
      </c>
      <c r="F27" s="8" t="s">
        <v>78</v>
      </c>
      <c r="G27" s="8" t="s">
        <v>76</v>
      </c>
      <c r="H27" s="7" t="s">
        <v>24</v>
      </c>
      <c r="I27" s="13" t="s">
        <v>63</v>
      </c>
      <c r="J27" s="9">
        <v>1</v>
      </c>
      <c r="K27" s="12">
        <v>320</v>
      </c>
      <c r="L27" s="10">
        <v>0</v>
      </c>
      <c r="M27" s="11">
        <v>3307500</v>
      </c>
      <c r="N27" s="10">
        <f t="shared" si="0"/>
        <v>99225</v>
      </c>
      <c r="O27" s="10">
        <f t="shared" si="1"/>
        <v>3815532.0000000005</v>
      </c>
      <c r="P27" s="29">
        <v>104199</v>
      </c>
      <c r="Q27" s="30">
        <v>43.14</v>
      </c>
      <c r="R27" s="31">
        <v>241528</v>
      </c>
      <c r="S27" s="31">
        <v>113369</v>
      </c>
      <c r="T27" s="30">
        <v>46.94</v>
      </c>
      <c r="U27" s="30">
        <v>241528</v>
      </c>
    </row>
    <row r="28" spans="1:21" x14ac:dyDescent="0.2">
      <c r="A28" s="1" t="s">
        <v>25</v>
      </c>
      <c r="B28" s="4" t="s">
        <v>26</v>
      </c>
      <c r="C28" s="12" t="s">
        <v>56</v>
      </c>
      <c r="D28" s="12" t="s">
        <v>83</v>
      </c>
      <c r="E28" s="7">
        <v>1</v>
      </c>
      <c r="F28" s="8" t="s">
        <v>78</v>
      </c>
      <c r="G28" s="8" t="s">
        <v>76</v>
      </c>
      <c r="H28" s="7" t="s">
        <v>24</v>
      </c>
      <c r="I28" s="13" t="s">
        <v>63</v>
      </c>
      <c r="J28" s="9">
        <v>1</v>
      </c>
      <c r="K28" s="12">
        <v>303</v>
      </c>
      <c r="L28" s="10">
        <v>0</v>
      </c>
      <c r="M28" s="11">
        <v>3307500</v>
      </c>
      <c r="N28" s="10">
        <f t="shared" si="0"/>
        <v>99225</v>
      </c>
      <c r="O28" s="10">
        <f t="shared" si="1"/>
        <v>3815532.0000000005</v>
      </c>
      <c r="P28" s="29">
        <v>47756</v>
      </c>
      <c r="Q28" s="30">
        <v>19.77</v>
      </c>
      <c r="R28" s="31">
        <v>241528</v>
      </c>
      <c r="S28" s="31">
        <v>52534</v>
      </c>
      <c r="T28" s="30">
        <v>21.75</v>
      </c>
      <c r="U28" s="30">
        <v>241528</v>
      </c>
    </row>
    <row r="29" spans="1:21" x14ac:dyDescent="0.2">
      <c r="A29" s="1" t="s">
        <v>25</v>
      </c>
      <c r="B29" s="4" t="s">
        <v>26</v>
      </c>
      <c r="C29" s="12" t="s">
        <v>56</v>
      </c>
      <c r="D29" s="12" t="s">
        <v>84</v>
      </c>
      <c r="E29" s="7">
        <v>1</v>
      </c>
      <c r="F29" s="8" t="s">
        <v>78</v>
      </c>
      <c r="G29" s="8" t="s">
        <v>76</v>
      </c>
      <c r="H29" s="7" t="s">
        <v>24</v>
      </c>
      <c r="I29" s="13" t="s">
        <v>70</v>
      </c>
      <c r="J29" s="9">
        <v>1</v>
      </c>
      <c r="K29" s="12">
        <v>240</v>
      </c>
      <c r="L29" s="10">
        <v>0</v>
      </c>
      <c r="M29" s="11">
        <v>6105000</v>
      </c>
      <c r="N29" s="10">
        <f t="shared" si="0"/>
        <v>183150</v>
      </c>
      <c r="O29" s="10">
        <f t="shared" si="1"/>
        <v>7042728.0000000009</v>
      </c>
      <c r="P29" s="29">
        <v>75371</v>
      </c>
      <c r="Q29" s="30">
        <v>31.21</v>
      </c>
      <c r="R29" s="31">
        <v>241528</v>
      </c>
      <c r="S29" s="31">
        <v>82911</v>
      </c>
      <c r="T29" s="30">
        <v>34.33</v>
      </c>
      <c r="U29" s="30">
        <v>241528</v>
      </c>
    </row>
    <row r="30" spans="1:21" x14ac:dyDescent="0.2">
      <c r="A30" s="1" t="s">
        <v>25</v>
      </c>
      <c r="B30" s="4" t="s">
        <v>26</v>
      </c>
      <c r="C30" s="12" t="s">
        <v>56</v>
      </c>
      <c r="D30" s="12" t="s">
        <v>85</v>
      </c>
      <c r="E30" s="7">
        <v>1</v>
      </c>
      <c r="F30" s="8" t="s">
        <v>78</v>
      </c>
      <c r="G30" s="8" t="s">
        <v>76</v>
      </c>
      <c r="H30" s="7" t="s">
        <v>24</v>
      </c>
      <c r="I30" s="13" t="s">
        <v>63</v>
      </c>
      <c r="J30" s="9">
        <v>1</v>
      </c>
      <c r="K30" s="12">
        <v>384</v>
      </c>
      <c r="L30" s="10">
        <v>0</v>
      </c>
      <c r="M30" s="11">
        <v>3307500</v>
      </c>
      <c r="N30" s="10">
        <f t="shared" si="0"/>
        <v>99225</v>
      </c>
      <c r="O30" s="10">
        <f t="shared" si="1"/>
        <v>3815532.0000000005</v>
      </c>
      <c r="P30" s="29">
        <v>48778</v>
      </c>
      <c r="Q30" s="30">
        <v>20.2</v>
      </c>
      <c r="R30" s="31">
        <v>241528</v>
      </c>
      <c r="S30" s="31">
        <v>53657</v>
      </c>
      <c r="T30" s="30">
        <v>22.22</v>
      </c>
      <c r="U30" s="30">
        <v>241528</v>
      </c>
    </row>
    <row r="31" spans="1:21" x14ac:dyDescent="0.2">
      <c r="A31" s="1" t="s">
        <v>25</v>
      </c>
      <c r="B31" s="4" t="s">
        <v>26</v>
      </c>
      <c r="C31" s="12" t="s">
        <v>56</v>
      </c>
      <c r="D31" s="12" t="s">
        <v>86</v>
      </c>
      <c r="E31" s="7">
        <v>1</v>
      </c>
      <c r="F31" s="8" t="s">
        <v>78</v>
      </c>
      <c r="G31" s="8" t="s">
        <v>76</v>
      </c>
      <c r="H31" s="7" t="s">
        <v>24</v>
      </c>
      <c r="I31" s="13" t="s">
        <v>63</v>
      </c>
      <c r="J31" s="9">
        <v>1</v>
      </c>
      <c r="K31" s="12">
        <v>384</v>
      </c>
      <c r="L31" s="10">
        <v>0</v>
      </c>
      <c r="M31" s="11">
        <v>3307500</v>
      </c>
      <c r="N31" s="10">
        <f t="shared" si="0"/>
        <v>99225</v>
      </c>
      <c r="O31" s="10">
        <f t="shared" si="1"/>
        <v>3815532.0000000005</v>
      </c>
      <c r="P31" s="29">
        <v>44453</v>
      </c>
      <c r="Q31" s="30">
        <v>18.399999999999999</v>
      </c>
      <c r="R31" s="31">
        <v>241528</v>
      </c>
      <c r="S31" s="31">
        <v>48900</v>
      </c>
      <c r="T31" s="30">
        <v>20.25</v>
      </c>
      <c r="U31" s="30">
        <v>241528</v>
      </c>
    </row>
    <row r="32" spans="1:21" x14ac:dyDescent="0.2">
      <c r="A32" s="1" t="s">
        <v>25</v>
      </c>
      <c r="B32" s="4" t="s">
        <v>26</v>
      </c>
      <c r="C32" s="12" t="s">
        <v>87</v>
      </c>
      <c r="D32" s="12" t="s">
        <v>48</v>
      </c>
      <c r="E32" s="7">
        <v>1</v>
      </c>
      <c r="F32" s="8" t="s">
        <v>78</v>
      </c>
      <c r="G32" s="8" t="s">
        <v>76</v>
      </c>
      <c r="H32" s="7" t="s">
        <v>24</v>
      </c>
      <c r="I32" s="13" t="s">
        <v>59</v>
      </c>
      <c r="J32" s="9">
        <v>1</v>
      </c>
      <c r="K32" s="12">
        <v>411</v>
      </c>
      <c r="L32" s="10">
        <v>0</v>
      </c>
      <c r="M32" s="11">
        <v>3307500</v>
      </c>
      <c r="N32" s="10">
        <f t="shared" si="0"/>
        <v>99225</v>
      </c>
      <c r="O32" s="10">
        <f t="shared" si="1"/>
        <v>3815532.0000000005</v>
      </c>
      <c r="P32" s="29">
        <v>29664</v>
      </c>
      <c r="Q32" s="30">
        <v>19.329999999999998</v>
      </c>
      <c r="R32" s="31">
        <v>153437</v>
      </c>
      <c r="S32" s="31">
        <v>32635</v>
      </c>
      <c r="T32" s="30">
        <v>21.27</v>
      </c>
      <c r="U32" s="30">
        <v>153437</v>
      </c>
    </row>
    <row r="33" spans="1:21" x14ac:dyDescent="0.2">
      <c r="A33" s="1" t="s">
        <v>25</v>
      </c>
      <c r="B33" s="4" t="s">
        <v>26</v>
      </c>
      <c r="C33" s="12" t="s">
        <v>87</v>
      </c>
      <c r="D33" s="12" t="s">
        <v>88</v>
      </c>
      <c r="E33" s="7">
        <v>1</v>
      </c>
      <c r="F33" s="8" t="s">
        <v>78</v>
      </c>
      <c r="G33" s="8" t="s">
        <v>76</v>
      </c>
      <c r="H33" s="7" t="s">
        <v>24</v>
      </c>
      <c r="I33" s="13" t="s">
        <v>71</v>
      </c>
      <c r="J33" s="9">
        <v>1</v>
      </c>
      <c r="K33" s="12">
        <v>339</v>
      </c>
      <c r="L33" s="10">
        <v>0</v>
      </c>
      <c r="M33" s="11">
        <v>5180000</v>
      </c>
      <c r="N33" s="10">
        <f t="shared" si="0"/>
        <v>155400</v>
      </c>
      <c r="O33" s="10">
        <f t="shared" si="1"/>
        <v>5975648.0000000009</v>
      </c>
      <c r="P33" s="29">
        <v>23371</v>
      </c>
      <c r="Q33" s="30">
        <v>15.23</v>
      </c>
      <c r="R33" s="31">
        <v>153437</v>
      </c>
      <c r="S33" s="31">
        <v>25710</v>
      </c>
      <c r="T33" s="30">
        <v>16.760000000000002</v>
      </c>
      <c r="U33" s="30">
        <v>153437</v>
      </c>
    </row>
    <row r="34" spans="1:21" x14ac:dyDescent="0.2">
      <c r="A34" s="1" t="s">
        <v>25</v>
      </c>
      <c r="B34" s="4" t="s">
        <v>26</v>
      </c>
      <c r="C34" s="12" t="s">
        <v>87</v>
      </c>
      <c r="D34" s="12" t="s">
        <v>89</v>
      </c>
      <c r="E34" s="7">
        <v>1</v>
      </c>
      <c r="F34" s="8" t="s">
        <v>78</v>
      </c>
      <c r="G34" s="8" t="s">
        <v>76</v>
      </c>
      <c r="H34" s="7" t="s">
        <v>24</v>
      </c>
      <c r="I34" s="13" t="s">
        <v>64</v>
      </c>
      <c r="J34" s="9">
        <v>1</v>
      </c>
      <c r="K34" s="12">
        <v>443</v>
      </c>
      <c r="L34" s="10">
        <v>0</v>
      </c>
      <c r="M34" s="11">
        <v>3307500</v>
      </c>
      <c r="N34" s="10">
        <f t="shared" si="0"/>
        <v>99225</v>
      </c>
      <c r="O34" s="10">
        <f t="shared" si="1"/>
        <v>3815532.0000000005</v>
      </c>
      <c r="P34" s="29">
        <v>67674</v>
      </c>
      <c r="Q34" s="30">
        <v>44.11</v>
      </c>
      <c r="R34" s="31">
        <v>153437</v>
      </c>
      <c r="S34" s="31">
        <v>74444</v>
      </c>
      <c r="T34" s="30">
        <v>48.52</v>
      </c>
      <c r="U34" s="30">
        <v>153437</v>
      </c>
    </row>
    <row r="35" spans="1:21" x14ac:dyDescent="0.2">
      <c r="A35" s="1" t="s">
        <v>25</v>
      </c>
      <c r="B35" s="4" t="s">
        <v>26</v>
      </c>
      <c r="C35" s="12" t="s">
        <v>87</v>
      </c>
      <c r="D35" s="12" t="s">
        <v>90</v>
      </c>
      <c r="E35" s="7">
        <v>1</v>
      </c>
      <c r="F35" s="8" t="s">
        <v>78</v>
      </c>
      <c r="G35" s="8" t="s">
        <v>76</v>
      </c>
      <c r="H35" s="7" t="s">
        <v>24</v>
      </c>
      <c r="I35" s="13" t="s">
        <v>64</v>
      </c>
      <c r="J35" s="9">
        <v>1</v>
      </c>
      <c r="K35" s="12">
        <v>524</v>
      </c>
      <c r="L35" s="10">
        <v>0</v>
      </c>
      <c r="M35" s="11">
        <v>3307500</v>
      </c>
      <c r="N35" s="10">
        <f t="shared" si="0"/>
        <v>99225</v>
      </c>
      <c r="O35" s="10">
        <f t="shared" si="1"/>
        <v>3815532.0000000005</v>
      </c>
      <c r="P35" s="29">
        <v>46117</v>
      </c>
      <c r="Q35" s="30">
        <v>30.06</v>
      </c>
      <c r="R35" s="31">
        <v>153437</v>
      </c>
      <c r="S35" s="31">
        <v>50729</v>
      </c>
      <c r="T35" s="30">
        <v>33.06</v>
      </c>
      <c r="U35" s="30">
        <v>153437</v>
      </c>
    </row>
    <row r="36" spans="1:21" x14ac:dyDescent="0.2">
      <c r="A36" s="1" t="s">
        <v>25</v>
      </c>
      <c r="B36" s="4" t="s">
        <v>26</v>
      </c>
      <c r="C36" s="12" t="s">
        <v>87</v>
      </c>
      <c r="D36" s="12" t="s">
        <v>91</v>
      </c>
      <c r="E36" s="7">
        <v>1</v>
      </c>
      <c r="F36" s="8" t="s">
        <v>78</v>
      </c>
      <c r="G36" s="8" t="s">
        <v>76</v>
      </c>
      <c r="H36" s="7" t="s">
        <v>24</v>
      </c>
      <c r="I36" s="13" t="s">
        <v>63</v>
      </c>
      <c r="J36" s="9">
        <v>1</v>
      </c>
      <c r="K36" s="12">
        <v>524</v>
      </c>
      <c r="L36" s="10">
        <v>0</v>
      </c>
      <c r="M36" s="11">
        <v>3307500</v>
      </c>
      <c r="N36" s="10">
        <f t="shared" si="0"/>
        <v>99225</v>
      </c>
      <c r="O36" s="10">
        <f t="shared" si="1"/>
        <v>3815532.0000000005</v>
      </c>
      <c r="P36" s="29">
        <v>81562</v>
      </c>
      <c r="Q36" s="30">
        <v>53.16</v>
      </c>
      <c r="R36" s="31">
        <v>153437</v>
      </c>
      <c r="S36" s="31">
        <v>89713</v>
      </c>
      <c r="T36" s="30">
        <v>58.47</v>
      </c>
      <c r="U36" s="30">
        <v>153437</v>
      </c>
    </row>
    <row r="37" spans="1:21" x14ac:dyDescent="0.2">
      <c r="A37" s="1" t="s">
        <v>25</v>
      </c>
      <c r="B37" s="4" t="s">
        <v>26</v>
      </c>
      <c r="C37" s="12" t="s">
        <v>87</v>
      </c>
      <c r="D37" s="12" t="s">
        <v>49</v>
      </c>
      <c r="E37" s="7">
        <v>1</v>
      </c>
      <c r="F37" s="8" t="s">
        <v>78</v>
      </c>
      <c r="G37" s="8" t="s">
        <v>76</v>
      </c>
      <c r="H37" s="7" t="s">
        <v>24</v>
      </c>
      <c r="I37" s="13" t="s">
        <v>59</v>
      </c>
      <c r="J37" s="9">
        <v>1</v>
      </c>
      <c r="K37" s="12">
        <v>411</v>
      </c>
      <c r="L37" s="10">
        <v>0</v>
      </c>
      <c r="M37" s="11">
        <v>3307500</v>
      </c>
      <c r="N37" s="10">
        <f t="shared" si="0"/>
        <v>99225</v>
      </c>
      <c r="O37" s="10">
        <f t="shared" si="1"/>
        <v>3815532.0000000005</v>
      </c>
      <c r="P37" s="29">
        <v>46029</v>
      </c>
      <c r="Q37" s="30">
        <v>30</v>
      </c>
      <c r="R37" s="31">
        <v>153437</v>
      </c>
      <c r="S37" s="31">
        <v>50632</v>
      </c>
      <c r="T37" s="30">
        <v>33</v>
      </c>
      <c r="U37" s="30">
        <v>153437</v>
      </c>
    </row>
    <row r="38" spans="1:21" x14ac:dyDescent="0.2">
      <c r="A38" s="1" t="s">
        <v>25</v>
      </c>
      <c r="B38" s="4" t="s">
        <v>26</v>
      </c>
      <c r="C38" s="12" t="s">
        <v>87</v>
      </c>
      <c r="D38" s="12" t="s">
        <v>92</v>
      </c>
      <c r="E38" s="7">
        <v>1</v>
      </c>
      <c r="F38" s="8" t="s">
        <v>78</v>
      </c>
      <c r="G38" s="8" t="s">
        <v>76</v>
      </c>
      <c r="H38" s="7" t="s">
        <v>24</v>
      </c>
      <c r="I38" s="13" t="s">
        <v>59</v>
      </c>
      <c r="J38" s="9">
        <v>1</v>
      </c>
      <c r="K38" s="12">
        <v>320</v>
      </c>
      <c r="L38" s="10">
        <v>0</v>
      </c>
      <c r="M38" s="11">
        <v>3307500</v>
      </c>
      <c r="N38" s="10">
        <f t="shared" si="0"/>
        <v>99225</v>
      </c>
      <c r="O38" s="10">
        <f t="shared" si="1"/>
        <v>3815532.0000000005</v>
      </c>
      <c r="P38" s="29">
        <v>24951</v>
      </c>
      <c r="Q38" s="30">
        <v>16.260000000000002</v>
      </c>
      <c r="R38" s="31">
        <v>153437</v>
      </c>
      <c r="S38" s="31">
        <v>27451</v>
      </c>
      <c r="T38" s="30">
        <v>17.89</v>
      </c>
      <c r="U38" s="30">
        <v>153437</v>
      </c>
    </row>
    <row r="39" spans="1:21" x14ac:dyDescent="0.2">
      <c r="A39" s="1" t="s">
        <v>25</v>
      </c>
      <c r="B39" s="4" t="s">
        <v>26</v>
      </c>
      <c r="C39" s="7" t="s">
        <v>57</v>
      </c>
      <c r="D39" s="7" t="s">
        <v>50</v>
      </c>
      <c r="E39" s="7">
        <v>1</v>
      </c>
      <c r="F39" s="8" t="s">
        <v>78</v>
      </c>
      <c r="G39" s="8" t="s">
        <v>76</v>
      </c>
      <c r="H39" s="7" t="s">
        <v>24</v>
      </c>
      <c r="I39" s="9" t="s">
        <v>63</v>
      </c>
      <c r="J39" s="9">
        <v>1</v>
      </c>
      <c r="K39" s="12">
        <v>288</v>
      </c>
      <c r="L39" s="10">
        <v>0</v>
      </c>
      <c r="M39" s="11">
        <v>3307500</v>
      </c>
      <c r="N39" s="10">
        <f t="shared" si="0"/>
        <v>99225</v>
      </c>
      <c r="O39" s="10">
        <f t="shared" si="1"/>
        <v>3815532.0000000005</v>
      </c>
      <c r="P39" s="29">
        <v>26865</v>
      </c>
      <c r="Q39" s="30">
        <v>23.41</v>
      </c>
      <c r="R39" s="31">
        <v>114749</v>
      </c>
      <c r="S39" s="31">
        <v>29553</v>
      </c>
      <c r="T39" s="30">
        <v>25.75</v>
      </c>
      <c r="U39" s="30">
        <v>114749</v>
      </c>
    </row>
    <row r="40" spans="1:21" x14ac:dyDescent="0.2">
      <c r="A40" s="1" t="s">
        <v>25</v>
      </c>
      <c r="B40" s="4" t="s">
        <v>26</v>
      </c>
      <c r="C40" s="7" t="s">
        <v>57</v>
      </c>
      <c r="D40" s="7" t="s">
        <v>51</v>
      </c>
      <c r="E40" s="7">
        <v>1</v>
      </c>
      <c r="F40" s="8" t="s">
        <v>78</v>
      </c>
      <c r="G40" s="8" t="s">
        <v>76</v>
      </c>
      <c r="H40" s="7" t="s">
        <v>24</v>
      </c>
      <c r="I40" s="9" t="s">
        <v>63</v>
      </c>
      <c r="J40" s="9">
        <v>1</v>
      </c>
      <c r="K40" s="12">
        <v>480</v>
      </c>
      <c r="L40" s="10">
        <v>0</v>
      </c>
      <c r="M40" s="11">
        <v>3307500</v>
      </c>
      <c r="N40" s="10">
        <f t="shared" si="0"/>
        <v>99225</v>
      </c>
      <c r="O40" s="10">
        <f t="shared" si="1"/>
        <v>3815532.0000000005</v>
      </c>
      <c r="P40" s="29">
        <v>21849</v>
      </c>
      <c r="Q40" s="30">
        <v>19.04</v>
      </c>
      <c r="R40" s="31">
        <v>114749</v>
      </c>
      <c r="S40" s="31">
        <v>24039</v>
      </c>
      <c r="T40" s="30">
        <v>20.95</v>
      </c>
      <c r="U40" s="30">
        <v>114749</v>
      </c>
    </row>
    <row r="41" spans="1:21" x14ac:dyDescent="0.2">
      <c r="A41" s="1" t="s">
        <v>25</v>
      </c>
      <c r="B41" s="4" t="s">
        <v>26</v>
      </c>
      <c r="C41" s="7" t="s">
        <v>57</v>
      </c>
      <c r="D41" s="7" t="s">
        <v>52</v>
      </c>
      <c r="E41" s="7">
        <v>1</v>
      </c>
      <c r="F41" s="8" t="s">
        <v>78</v>
      </c>
      <c r="G41" s="8" t="s">
        <v>76</v>
      </c>
      <c r="H41" s="7" t="s">
        <v>24</v>
      </c>
      <c r="I41" s="9" t="s">
        <v>63</v>
      </c>
      <c r="J41" s="9">
        <v>1</v>
      </c>
      <c r="K41" s="12">
        <v>443</v>
      </c>
      <c r="L41" s="10">
        <v>0</v>
      </c>
      <c r="M41" s="11">
        <v>3307500</v>
      </c>
      <c r="N41" s="10">
        <f t="shared" si="0"/>
        <v>99225</v>
      </c>
      <c r="O41" s="10">
        <f t="shared" si="1"/>
        <v>3815532.0000000005</v>
      </c>
      <c r="P41" s="29">
        <v>33042</v>
      </c>
      <c r="Q41" s="30">
        <v>28.8</v>
      </c>
      <c r="R41" s="31">
        <v>114749</v>
      </c>
      <c r="S41" s="31">
        <v>36348</v>
      </c>
      <c r="T41" s="30">
        <v>31.68</v>
      </c>
      <c r="U41" s="30">
        <v>114749</v>
      </c>
    </row>
    <row r="42" spans="1:21" x14ac:dyDescent="0.2">
      <c r="A42" s="1" t="s">
        <v>25</v>
      </c>
      <c r="B42" s="4" t="s">
        <v>26</v>
      </c>
      <c r="C42" s="7" t="s">
        <v>57</v>
      </c>
      <c r="D42" s="7" t="s">
        <v>53</v>
      </c>
      <c r="E42" s="7">
        <v>1</v>
      </c>
      <c r="F42" s="8" t="s">
        <v>78</v>
      </c>
      <c r="G42" s="8" t="s">
        <v>76</v>
      </c>
      <c r="H42" s="7" t="s">
        <v>24</v>
      </c>
      <c r="I42" s="9" t="s">
        <v>63</v>
      </c>
      <c r="J42" s="9">
        <v>1</v>
      </c>
      <c r="K42" s="12">
        <v>443</v>
      </c>
      <c r="L42" s="10">
        <v>0</v>
      </c>
      <c r="M42" s="11">
        <v>3307500</v>
      </c>
      <c r="N42" s="10">
        <f t="shared" si="0"/>
        <v>99225</v>
      </c>
      <c r="O42" s="10">
        <f t="shared" si="1"/>
        <v>3815532.0000000005</v>
      </c>
      <c r="P42" s="29">
        <v>28176</v>
      </c>
      <c r="Q42" s="30">
        <v>24.55</v>
      </c>
      <c r="R42" s="31">
        <v>114749</v>
      </c>
      <c r="S42" s="31">
        <v>30998</v>
      </c>
      <c r="T42" s="30">
        <v>27.01</v>
      </c>
      <c r="U42" s="30">
        <v>114749</v>
      </c>
    </row>
    <row r="43" spans="1:21" x14ac:dyDescent="0.2">
      <c r="A43" s="1" t="s">
        <v>25</v>
      </c>
      <c r="B43" s="4" t="s">
        <v>26</v>
      </c>
      <c r="C43" s="7" t="s">
        <v>57</v>
      </c>
      <c r="D43" s="7" t="s">
        <v>54</v>
      </c>
      <c r="E43" s="7">
        <v>1</v>
      </c>
      <c r="F43" s="8" t="s">
        <v>78</v>
      </c>
      <c r="G43" s="8" t="s">
        <v>76</v>
      </c>
      <c r="H43" s="7" t="s">
        <v>24</v>
      </c>
      <c r="I43" s="9" t="s">
        <v>63</v>
      </c>
      <c r="J43" s="9">
        <v>1</v>
      </c>
      <c r="K43" s="12">
        <v>360</v>
      </c>
      <c r="L43" s="10">
        <v>0</v>
      </c>
      <c r="M43" s="11">
        <v>3307500</v>
      </c>
      <c r="N43" s="10">
        <f t="shared" si="0"/>
        <v>99225</v>
      </c>
      <c r="O43" s="10">
        <f t="shared" si="1"/>
        <v>3815532.0000000005</v>
      </c>
      <c r="P43" s="29">
        <v>20384</v>
      </c>
      <c r="Q43" s="30">
        <v>17.760000000000002</v>
      </c>
      <c r="R43" s="31">
        <v>114749</v>
      </c>
      <c r="S43" s="31">
        <v>22423</v>
      </c>
      <c r="T43" s="30">
        <v>19.54</v>
      </c>
      <c r="U43" s="30">
        <v>114749</v>
      </c>
    </row>
    <row r="44" spans="1:21" x14ac:dyDescent="0.2">
      <c r="A44" s="1" t="s">
        <v>25</v>
      </c>
      <c r="B44" s="4" t="s">
        <v>26</v>
      </c>
      <c r="C44" s="7" t="s">
        <v>57</v>
      </c>
      <c r="D44" s="7" t="s">
        <v>55</v>
      </c>
      <c r="E44" s="7">
        <v>1</v>
      </c>
      <c r="F44" s="8" t="s">
        <v>78</v>
      </c>
      <c r="G44" s="8" t="s">
        <v>76</v>
      </c>
      <c r="H44" s="7" t="s">
        <v>24</v>
      </c>
      <c r="I44" s="9" t="s">
        <v>63</v>
      </c>
      <c r="J44" s="9">
        <v>1</v>
      </c>
      <c r="K44" s="12">
        <v>480</v>
      </c>
      <c r="L44" s="10">
        <v>0</v>
      </c>
      <c r="M44" s="11">
        <v>3307500</v>
      </c>
      <c r="N44" s="10">
        <f t="shared" si="0"/>
        <v>99225</v>
      </c>
      <c r="O44" s="10">
        <f t="shared" si="1"/>
        <v>3815532.0000000005</v>
      </c>
      <c r="P44" s="29">
        <v>19744</v>
      </c>
      <c r="Q44" s="30">
        <v>17.21</v>
      </c>
      <c r="R44" s="31">
        <v>114749</v>
      </c>
      <c r="S44" s="31">
        <v>21722</v>
      </c>
      <c r="T44" s="30">
        <v>18.93</v>
      </c>
      <c r="U44" s="30">
        <v>114749</v>
      </c>
    </row>
    <row r="45" spans="1:21" x14ac:dyDescent="0.2">
      <c r="A45" s="1" t="s">
        <v>25</v>
      </c>
      <c r="B45" s="4" t="s">
        <v>26</v>
      </c>
      <c r="C45" s="12" t="s">
        <v>58</v>
      </c>
      <c r="D45" s="12" t="s">
        <v>93</v>
      </c>
      <c r="E45" s="7">
        <v>1</v>
      </c>
      <c r="F45" s="8" t="s">
        <v>78</v>
      </c>
      <c r="G45" s="8" t="s">
        <v>76</v>
      </c>
      <c r="H45" s="7" t="s">
        <v>24</v>
      </c>
      <c r="I45" s="9" t="s">
        <v>63</v>
      </c>
      <c r="J45" s="9">
        <v>1</v>
      </c>
      <c r="K45" s="12">
        <v>576</v>
      </c>
      <c r="L45" s="10">
        <v>0</v>
      </c>
      <c r="M45" s="11">
        <v>3307500</v>
      </c>
      <c r="N45" s="10">
        <f t="shared" si="0"/>
        <v>99225</v>
      </c>
      <c r="O45" s="10">
        <f t="shared" si="1"/>
        <v>3815532.0000000005</v>
      </c>
      <c r="P45" s="29">
        <v>120618</v>
      </c>
      <c r="Q45" s="30">
        <v>35.08</v>
      </c>
      <c r="R45" s="31">
        <v>343814</v>
      </c>
      <c r="S45" s="31">
        <v>132685</v>
      </c>
      <c r="T45" s="30">
        <v>38.590000000000003</v>
      </c>
      <c r="U45" s="30">
        <v>343814</v>
      </c>
    </row>
    <row r="46" spans="1:21" x14ac:dyDescent="0.2">
      <c r="A46" s="1" t="s">
        <v>25</v>
      </c>
      <c r="B46" s="4" t="s">
        <v>26</v>
      </c>
      <c r="C46" s="12" t="s">
        <v>58</v>
      </c>
      <c r="D46" s="12" t="s">
        <v>94</v>
      </c>
      <c r="E46" s="7">
        <v>1</v>
      </c>
      <c r="F46" s="8" t="s">
        <v>78</v>
      </c>
      <c r="G46" s="8" t="s">
        <v>76</v>
      </c>
      <c r="H46" s="7" t="s">
        <v>24</v>
      </c>
      <c r="I46" s="9" t="s">
        <v>63</v>
      </c>
      <c r="J46" s="9">
        <v>1</v>
      </c>
      <c r="K46" s="12">
        <v>480</v>
      </c>
      <c r="L46" s="10">
        <v>0</v>
      </c>
      <c r="M46" s="11">
        <v>3307500</v>
      </c>
      <c r="N46" s="10">
        <f t="shared" si="0"/>
        <v>99225</v>
      </c>
      <c r="O46" s="10">
        <f t="shared" si="1"/>
        <v>3815532.0000000005</v>
      </c>
      <c r="P46" s="29">
        <v>107734</v>
      </c>
      <c r="Q46" s="30">
        <v>31.33</v>
      </c>
      <c r="R46" s="31">
        <v>343814</v>
      </c>
      <c r="S46" s="31">
        <v>118506</v>
      </c>
      <c r="T46" s="30">
        <v>34.47</v>
      </c>
      <c r="U46" s="30">
        <v>343814</v>
      </c>
    </row>
    <row r="47" spans="1:21" x14ac:dyDescent="0.2">
      <c r="A47" s="1" t="s">
        <v>25</v>
      </c>
      <c r="B47" s="4" t="s">
        <v>26</v>
      </c>
      <c r="C47" s="12" t="s">
        <v>58</v>
      </c>
      <c r="D47" s="12" t="s">
        <v>95</v>
      </c>
      <c r="E47" s="7">
        <v>1</v>
      </c>
      <c r="F47" s="8" t="s">
        <v>78</v>
      </c>
      <c r="G47" s="8" t="s">
        <v>76</v>
      </c>
      <c r="H47" s="7" t="s">
        <v>24</v>
      </c>
      <c r="I47" s="9" t="s">
        <v>59</v>
      </c>
      <c r="J47" s="9">
        <v>1</v>
      </c>
      <c r="K47" s="12">
        <v>576</v>
      </c>
      <c r="L47" s="10">
        <v>0</v>
      </c>
      <c r="M47" s="11">
        <v>3307500</v>
      </c>
      <c r="N47" s="10">
        <f t="shared" si="0"/>
        <v>99225</v>
      </c>
      <c r="O47" s="10">
        <f t="shared" si="1"/>
        <v>3815532.0000000005</v>
      </c>
      <c r="P47" s="29">
        <v>132287</v>
      </c>
      <c r="Q47" s="30">
        <v>38.479999999999997</v>
      </c>
      <c r="R47" s="31">
        <v>343814</v>
      </c>
      <c r="S47" s="31">
        <v>145517</v>
      </c>
      <c r="T47" s="30">
        <v>42.32</v>
      </c>
      <c r="U47" s="30">
        <v>343814</v>
      </c>
    </row>
    <row r="48" spans="1:21" x14ac:dyDescent="0.2">
      <c r="A48" s="1" t="s">
        <v>25</v>
      </c>
      <c r="B48" s="4" t="s">
        <v>26</v>
      </c>
      <c r="C48" s="12" t="s">
        <v>58</v>
      </c>
      <c r="D48" s="12" t="s">
        <v>96</v>
      </c>
      <c r="E48" s="7">
        <v>1</v>
      </c>
      <c r="F48" s="8" t="s">
        <v>78</v>
      </c>
      <c r="G48" s="8" t="s">
        <v>76</v>
      </c>
      <c r="H48" s="7" t="s">
        <v>24</v>
      </c>
      <c r="I48" s="9" t="s">
        <v>59</v>
      </c>
      <c r="J48" s="9">
        <v>1</v>
      </c>
      <c r="K48" s="12">
        <v>288</v>
      </c>
      <c r="L48" s="10">
        <v>0</v>
      </c>
      <c r="M48" s="11">
        <v>3307500</v>
      </c>
      <c r="N48" s="10">
        <f t="shared" si="0"/>
        <v>99225</v>
      </c>
      <c r="O48" s="10">
        <f t="shared" si="1"/>
        <v>3815532.0000000005</v>
      </c>
      <c r="P48" s="29">
        <v>78279</v>
      </c>
      <c r="Q48" s="30">
        <v>22.77</v>
      </c>
      <c r="R48" s="31">
        <v>343814</v>
      </c>
      <c r="S48" s="31">
        <v>86109</v>
      </c>
      <c r="T48" s="30">
        <v>25.05</v>
      </c>
      <c r="U48" s="30">
        <v>343814</v>
      </c>
    </row>
    <row r="49" spans="1:21" x14ac:dyDescent="0.2">
      <c r="A49" s="1" t="s">
        <v>25</v>
      </c>
      <c r="B49" s="4" t="s">
        <v>26</v>
      </c>
      <c r="C49" s="12" t="s">
        <v>58</v>
      </c>
      <c r="D49" s="12" t="s">
        <v>97</v>
      </c>
      <c r="E49" s="7">
        <v>1</v>
      </c>
      <c r="F49" s="8" t="s">
        <v>78</v>
      </c>
      <c r="G49" s="8" t="s">
        <v>76</v>
      </c>
      <c r="H49" s="7" t="s">
        <v>24</v>
      </c>
      <c r="I49" s="9" t="s">
        <v>59</v>
      </c>
      <c r="J49" s="9">
        <v>1</v>
      </c>
      <c r="K49" s="12">
        <v>288</v>
      </c>
      <c r="L49" s="10">
        <v>0</v>
      </c>
      <c r="M49" s="11">
        <v>3307500</v>
      </c>
      <c r="N49" s="10">
        <f t="shared" si="0"/>
        <v>99225</v>
      </c>
      <c r="O49" s="10">
        <f t="shared" si="1"/>
        <v>3815532.0000000005</v>
      </c>
      <c r="P49" s="29">
        <v>88329</v>
      </c>
      <c r="Q49" s="30">
        <v>25.69</v>
      </c>
      <c r="R49" s="31">
        <v>343814</v>
      </c>
      <c r="S49" s="31">
        <v>97167</v>
      </c>
      <c r="T49" s="30">
        <v>28.26</v>
      </c>
      <c r="U49" s="30">
        <v>343814</v>
      </c>
    </row>
    <row r="50" spans="1:21" x14ac:dyDescent="0.2">
      <c r="A50" s="1" t="s">
        <v>25</v>
      </c>
      <c r="B50" s="4" t="s">
        <v>26</v>
      </c>
      <c r="C50" s="12" t="s">
        <v>98</v>
      </c>
      <c r="D50" s="12" t="s">
        <v>99</v>
      </c>
      <c r="E50" s="7">
        <v>1</v>
      </c>
      <c r="F50" s="8" t="s">
        <v>78</v>
      </c>
      <c r="G50" s="8" t="s">
        <v>76</v>
      </c>
      <c r="H50" s="7" t="s">
        <v>24</v>
      </c>
      <c r="I50" s="9" t="s">
        <v>59</v>
      </c>
      <c r="J50" s="9">
        <v>1</v>
      </c>
      <c r="K50" s="12">
        <v>288</v>
      </c>
      <c r="L50" s="10">
        <v>0</v>
      </c>
      <c r="M50" s="11">
        <v>3307500</v>
      </c>
      <c r="N50" s="10">
        <f t="shared" si="0"/>
        <v>99225</v>
      </c>
      <c r="O50" s="10">
        <f t="shared" si="1"/>
        <v>3815532.0000000005</v>
      </c>
      <c r="P50" s="29">
        <v>26625</v>
      </c>
      <c r="Q50" s="30">
        <v>19.11</v>
      </c>
      <c r="R50" s="31">
        <v>139360</v>
      </c>
      <c r="S50" s="31">
        <v>29288</v>
      </c>
      <c r="T50" s="30">
        <v>21.02</v>
      </c>
      <c r="U50" s="30">
        <v>139360</v>
      </c>
    </row>
    <row r="51" spans="1:21" x14ac:dyDescent="0.2">
      <c r="A51" s="1" t="s">
        <v>25</v>
      </c>
      <c r="B51" s="4" t="s">
        <v>26</v>
      </c>
      <c r="C51" s="12" t="s">
        <v>98</v>
      </c>
      <c r="D51" s="12" t="s">
        <v>100</v>
      </c>
      <c r="E51" s="7">
        <v>1</v>
      </c>
      <c r="F51" s="8" t="s">
        <v>78</v>
      </c>
      <c r="G51" s="8" t="s">
        <v>76</v>
      </c>
      <c r="H51" s="7" t="s">
        <v>24</v>
      </c>
      <c r="I51" s="9" t="s">
        <v>59</v>
      </c>
      <c r="J51" s="9">
        <v>1</v>
      </c>
      <c r="K51" s="12">
        <v>230</v>
      </c>
      <c r="L51" s="10">
        <v>0</v>
      </c>
      <c r="M51" s="11">
        <v>3307500</v>
      </c>
      <c r="N51" s="10">
        <f t="shared" si="0"/>
        <v>99225</v>
      </c>
      <c r="O51" s="10">
        <f t="shared" si="1"/>
        <v>3815532.0000000005</v>
      </c>
      <c r="P51" s="29">
        <v>40725</v>
      </c>
      <c r="Q51" s="30">
        <v>29.22</v>
      </c>
      <c r="R51" s="31">
        <v>139360</v>
      </c>
      <c r="S51" s="31">
        <v>44805</v>
      </c>
      <c r="T51" s="30">
        <v>32.15</v>
      </c>
      <c r="U51" s="30">
        <v>139360</v>
      </c>
    </row>
    <row r="52" spans="1:21" x14ac:dyDescent="0.2">
      <c r="A52" s="1" t="s">
        <v>25</v>
      </c>
      <c r="B52" s="4" t="s">
        <v>26</v>
      </c>
      <c r="C52" s="12" t="s">
        <v>98</v>
      </c>
      <c r="D52" s="12" t="s">
        <v>101</v>
      </c>
      <c r="E52" s="7">
        <v>1</v>
      </c>
      <c r="F52" s="8" t="s">
        <v>78</v>
      </c>
      <c r="G52" s="8" t="s">
        <v>76</v>
      </c>
      <c r="H52" s="7" t="s">
        <v>24</v>
      </c>
      <c r="I52" s="9" t="s">
        <v>59</v>
      </c>
      <c r="J52" s="9">
        <v>1</v>
      </c>
      <c r="K52" s="12">
        <v>230</v>
      </c>
      <c r="L52" s="10">
        <v>0</v>
      </c>
      <c r="M52" s="11">
        <v>3307500</v>
      </c>
      <c r="N52" s="10">
        <f t="shared" si="0"/>
        <v>99225</v>
      </c>
      <c r="O52" s="10">
        <f t="shared" si="1"/>
        <v>3815532.0000000005</v>
      </c>
      <c r="P52" s="29">
        <v>34432</v>
      </c>
      <c r="Q52" s="30">
        <v>24.71</v>
      </c>
      <c r="R52" s="31">
        <v>139360</v>
      </c>
      <c r="S52" s="31">
        <v>37879</v>
      </c>
      <c r="T52" s="30">
        <v>27.18</v>
      </c>
      <c r="U52" s="30">
        <v>139360</v>
      </c>
    </row>
    <row r="53" spans="1:21" x14ac:dyDescent="0.2">
      <c r="A53" s="1" t="s">
        <v>25</v>
      </c>
      <c r="B53" s="4" t="s">
        <v>26</v>
      </c>
      <c r="C53" s="12" t="s">
        <v>98</v>
      </c>
      <c r="D53" s="12" t="s">
        <v>102</v>
      </c>
      <c r="E53" s="7">
        <v>1</v>
      </c>
      <c r="F53" s="8" t="s">
        <v>78</v>
      </c>
      <c r="G53" s="8" t="s">
        <v>76</v>
      </c>
      <c r="H53" s="7" t="s">
        <v>24</v>
      </c>
      <c r="I53" s="9" t="s">
        <v>59</v>
      </c>
      <c r="J53" s="9">
        <v>1</v>
      </c>
      <c r="K53" s="12">
        <v>576</v>
      </c>
      <c r="L53" s="10">
        <v>0</v>
      </c>
      <c r="M53" s="11">
        <v>3307500</v>
      </c>
      <c r="N53" s="10">
        <f t="shared" si="0"/>
        <v>99225</v>
      </c>
      <c r="O53" s="10">
        <f t="shared" si="1"/>
        <v>3815532.0000000005</v>
      </c>
      <c r="P53" s="29">
        <v>37647</v>
      </c>
      <c r="Q53" s="30">
        <v>27.01</v>
      </c>
      <c r="R53" s="31">
        <v>139360</v>
      </c>
      <c r="S53" s="31">
        <v>41414</v>
      </c>
      <c r="T53" s="30">
        <v>29.72</v>
      </c>
      <c r="U53" s="30">
        <v>139360</v>
      </c>
    </row>
    <row r="54" spans="1:21" x14ac:dyDescent="0.2">
      <c r="A54" s="1" t="s">
        <v>25</v>
      </c>
      <c r="B54" s="4" t="s">
        <v>26</v>
      </c>
      <c r="C54" s="12" t="s">
        <v>103</v>
      </c>
      <c r="D54" s="12" t="s">
        <v>104</v>
      </c>
      <c r="E54" s="7">
        <v>1</v>
      </c>
      <c r="F54" s="8" t="s">
        <v>78</v>
      </c>
      <c r="G54" s="8" t="s">
        <v>76</v>
      </c>
      <c r="H54" s="7" t="s">
        <v>24</v>
      </c>
      <c r="I54" s="9" t="s">
        <v>64</v>
      </c>
      <c r="J54" s="9">
        <v>1</v>
      </c>
      <c r="K54" s="12">
        <v>384</v>
      </c>
      <c r="L54" s="10">
        <v>0</v>
      </c>
      <c r="M54" s="11">
        <v>3307500</v>
      </c>
      <c r="N54" s="10">
        <f t="shared" si="0"/>
        <v>99225</v>
      </c>
      <c r="O54" s="10">
        <f t="shared" si="1"/>
        <v>3815532.0000000005</v>
      </c>
      <c r="P54" s="29">
        <v>35863</v>
      </c>
      <c r="Q54" s="30">
        <v>25.22</v>
      </c>
      <c r="R54" s="31">
        <v>142197</v>
      </c>
      <c r="S54" s="31">
        <v>39451</v>
      </c>
      <c r="T54" s="30">
        <v>27.74</v>
      </c>
      <c r="U54" s="30">
        <v>142197</v>
      </c>
    </row>
    <row r="55" spans="1:21" x14ac:dyDescent="0.2">
      <c r="A55" s="1" t="s">
        <v>25</v>
      </c>
      <c r="B55" s="4" t="s">
        <v>26</v>
      </c>
      <c r="C55" s="12" t="s">
        <v>103</v>
      </c>
      <c r="D55" s="12" t="s">
        <v>105</v>
      </c>
      <c r="E55" s="7">
        <v>1</v>
      </c>
      <c r="F55" s="8" t="s">
        <v>78</v>
      </c>
      <c r="G55" s="8" t="s">
        <v>76</v>
      </c>
      <c r="H55" s="7" t="s">
        <v>24</v>
      </c>
      <c r="I55" s="9" t="s">
        <v>64</v>
      </c>
      <c r="J55" s="9">
        <v>1</v>
      </c>
      <c r="K55" s="12">
        <v>384</v>
      </c>
      <c r="L55" s="10">
        <v>0</v>
      </c>
      <c r="M55" s="11">
        <v>3307500</v>
      </c>
      <c r="N55" s="10">
        <f t="shared" si="0"/>
        <v>99225</v>
      </c>
      <c r="O55" s="10">
        <f t="shared" si="1"/>
        <v>3815532.0000000005</v>
      </c>
      <c r="P55" s="29">
        <v>43141</v>
      </c>
      <c r="Q55" s="30">
        <v>30.34</v>
      </c>
      <c r="R55" s="31">
        <v>142197</v>
      </c>
      <c r="S55" s="31">
        <v>47457</v>
      </c>
      <c r="T55" s="30">
        <v>33.369999999999997</v>
      </c>
      <c r="U55" s="30">
        <v>142197</v>
      </c>
    </row>
    <row r="56" spans="1:21" x14ac:dyDescent="0.2">
      <c r="A56" s="1" t="s">
        <v>25</v>
      </c>
      <c r="B56" s="4" t="s">
        <v>26</v>
      </c>
      <c r="C56" s="12" t="s">
        <v>103</v>
      </c>
      <c r="D56" s="12" t="s">
        <v>106</v>
      </c>
      <c r="E56" s="7">
        <v>1</v>
      </c>
      <c r="F56" s="8" t="s">
        <v>78</v>
      </c>
      <c r="G56" s="8" t="s">
        <v>76</v>
      </c>
      <c r="H56" s="7" t="s">
        <v>24</v>
      </c>
      <c r="I56" s="9" t="s">
        <v>64</v>
      </c>
      <c r="J56" s="9">
        <v>1</v>
      </c>
      <c r="K56" s="12">
        <v>320</v>
      </c>
      <c r="L56" s="10">
        <v>0</v>
      </c>
      <c r="M56" s="11">
        <v>3307500</v>
      </c>
      <c r="N56" s="10">
        <f t="shared" si="0"/>
        <v>99225</v>
      </c>
      <c r="O56" s="10">
        <f t="shared" si="1"/>
        <v>3815532.0000000005</v>
      </c>
      <c r="P56" s="29">
        <v>50580</v>
      </c>
      <c r="Q56" s="30">
        <v>35.57</v>
      </c>
      <c r="R56" s="31">
        <v>142197</v>
      </c>
      <c r="S56" s="31">
        <v>55641</v>
      </c>
      <c r="T56" s="30">
        <v>39.130000000000003</v>
      </c>
      <c r="U56" s="30">
        <v>142197</v>
      </c>
    </row>
    <row r="57" spans="1:21" x14ac:dyDescent="0.2">
      <c r="A57" s="1" t="s">
        <v>25</v>
      </c>
      <c r="B57" s="4" t="s">
        <v>26</v>
      </c>
      <c r="C57" s="12" t="s">
        <v>103</v>
      </c>
      <c r="D57" s="12" t="s">
        <v>107</v>
      </c>
      <c r="E57" s="7">
        <v>1</v>
      </c>
      <c r="F57" s="8" t="s">
        <v>78</v>
      </c>
      <c r="G57" s="8" t="s">
        <v>76</v>
      </c>
      <c r="H57" s="7" t="s">
        <v>24</v>
      </c>
      <c r="I57" s="9" t="s">
        <v>64</v>
      </c>
      <c r="J57" s="9">
        <v>1</v>
      </c>
      <c r="K57" s="12">
        <v>576</v>
      </c>
      <c r="L57" s="10">
        <v>0</v>
      </c>
      <c r="M57" s="11">
        <v>3307500</v>
      </c>
      <c r="N57" s="10">
        <f t="shared" si="0"/>
        <v>99225</v>
      </c>
      <c r="O57" s="10">
        <f t="shared" si="1"/>
        <v>3815532.0000000005</v>
      </c>
      <c r="P57" s="29">
        <v>28827</v>
      </c>
      <c r="Q57" s="30">
        <v>20.27</v>
      </c>
      <c r="R57" s="31">
        <v>142197</v>
      </c>
      <c r="S57" s="31">
        <v>31712</v>
      </c>
      <c r="T57" s="30">
        <v>22.3</v>
      </c>
      <c r="U57" s="30">
        <v>142197</v>
      </c>
    </row>
    <row r="58" spans="1:21" x14ac:dyDescent="0.2">
      <c r="A58" s="1" t="s">
        <v>25</v>
      </c>
      <c r="B58" s="4" t="s">
        <v>26</v>
      </c>
      <c r="C58" s="12" t="s">
        <v>108</v>
      </c>
      <c r="D58" s="12" t="s">
        <v>109</v>
      </c>
      <c r="E58" s="7">
        <v>1</v>
      </c>
      <c r="F58" s="8" t="s">
        <v>78</v>
      </c>
      <c r="G58" s="8" t="s">
        <v>76</v>
      </c>
      <c r="H58" s="7" t="s">
        <v>24</v>
      </c>
      <c r="I58" s="9" t="s">
        <v>59</v>
      </c>
      <c r="J58" s="9">
        <v>1</v>
      </c>
      <c r="K58" s="12">
        <v>576</v>
      </c>
      <c r="L58" s="10">
        <v>0</v>
      </c>
      <c r="M58" s="11">
        <v>3307500</v>
      </c>
      <c r="N58" s="10">
        <f t="shared" si="0"/>
        <v>99225</v>
      </c>
      <c r="O58" s="10">
        <f t="shared" si="1"/>
        <v>3815532.0000000005</v>
      </c>
      <c r="P58" s="29">
        <v>32387</v>
      </c>
      <c r="Q58" s="30">
        <v>33.799999999999997</v>
      </c>
      <c r="R58" s="31">
        <v>95816</v>
      </c>
      <c r="S58" s="31">
        <v>35627</v>
      </c>
      <c r="T58" s="30">
        <v>37.18</v>
      </c>
      <c r="U58" s="30">
        <v>95816</v>
      </c>
    </row>
    <row r="59" spans="1:21" x14ac:dyDescent="0.2">
      <c r="A59" s="1" t="s">
        <v>25</v>
      </c>
      <c r="B59" s="4" t="s">
        <v>26</v>
      </c>
      <c r="C59" s="12" t="s">
        <v>108</v>
      </c>
      <c r="D59" s="12" t="s">
        <v>110</v>
      </c>
      <c r="E59" s="7">
        <v>1</v>
      </c>
      <c r="F59" s="8" t="s">
        <v>78</v>
      </c>
      <c r="G59" s="8" t="s">
        <v>76</v>
      </c>
      <c r="H59" s="7" t="s">
        <v>24</v>
      </c>
      <c r="I59" s="9" t="s">
        <v>72</v>
      </c>
      <c r="J59" s="9">
        <v>1</v>
      </c>
      <c r="K59" s="12">
        <v>288</v>
      </c>
      <c r="L59" s="10">
        <v>0</v>
      </c>
      <c r="M59" s="11">
        <v>3307500</v>
      </c>
      <c r="N59" s="10">
        <f t="shared" si="0"/>
        <v>99225</v>
      </c>
      <c r="O59" s="10">
        <f t="shared" si="1"/>
        <v>3815532.0000000005</v>
      </c>
      <c r="P59" s="29">
        <v>23690</v>
      </c>
      <c r="Q59" s="30">
        <v>24.72</v>
      </c>
      <c r="R59" s="31">
        <v>95816</v>
      </c>
      <c r="S59" s="31">
        <v>26058</v>
      </c>
      <c r="T59" s="30">
        <v>27.2</v>
      </c>
      <c r="U59" s="30">
        <v>95816</v>
      </c>
    </row>
    <row r="60" spans="1:21" x14ac:dyDescent="0.2">
      <c r="A60" s="1" t="s">
        <v>25</v>
      </c>
      <c r="B60" s="4" t="s">
        <v>26</v>
      </c>
      <c r="C60" s="12" t="s">
        <v>108</v>
      </c>
      <c r="D60" s="12" t="s">
        <v>111</v>
      </c>
      <c r="E60" s="7">
        <v>1</v>
      </c>
      <c r="F60" s="8" t="s">
        <v>78</v>
      </c>
      <c r="G60" s="8" t="s">
        <v>76</v>
      </c>
      <c r="H60" s="7" t="s">
        <v>24</v>
      </c>
      <c r="I60" s="9" t="s">
        <v>73</v>
      </c>
      <c r="J60" s="9">
        <v>1</v>
      </c>
      <c r="K60" s="12">
        <v>576</v>
      </c>
      <c r="L60" s="10">
        <v>0</v>
      </c>
      <c r="M60" s="11">
        <v>3307500</v>
      </c>
      <c r="N60" s="10">
        <f t="shared" si="0"/>
        <v>99225</v>
      </c>
      <c r="O60" s="10">
        <f t="shared" si="1"/>
        <v>3815532.0000000005</v>
      </c>
      <c r="P60" s="29">
        <v>50979</v>
      </c>
      <c r="Q60" s="30">
        <v>53.21</v>
      </c>
      <c r="R60" s="31">
        <v>95816</v>
      </c>
      <c r="S60" s="31">
        <v>56080</v>
      </c>
      <c r="T60" s="30">
        <v>58.53</v>
      </c>
      <c r="U60" s="30">
        <v>95816</v>
      </c>
    </row>
    <row r="61" spans="1:21" x14ac:dyDescent="0.2">
      <c r="A61" s="1" t="s">
        <v>25</v>
      </c>
      <c r="B61" s="4" t="s">
        <v>26</v>
      </c>
      <c r="C61" s="12" t="s">
        <v>108</v>
      </c>
      <c r="D61" s="12" t="s">
        <v>112</v>
      </c>
      <c r="E61" s="7">
        <v>1</v>
      </c>
      <c r="F61" s="8" t="s">
        <v>78</v>
      </c>
      <c r="G61" s="8" t="s">
        <v>76</v>
      </c>
      <c r="H61" s="7" t="s">
        <v>24</v>
      </c>
      <c r="I61" s="9" t="s">
        <v>74</v>
      </c>
      <c r="J61" s="9">
        <v>1</v>
      </c>
      <c r="K61" s="12">
        <v>576</v>
      </c>
      <c r="L61" s="10">
        <v>0</v>
      </c>
      <c r="M61" s="11">
        <v>3307500</v>
      </c>
      <c r="N61" s="10">
        <f t="shared" si="0"/>
        <v>99225</v>
      </c>
      <c r="O61" s="10">
        <f t="shared" si="1"/>
        <v>3815532.0000000005</v>
      </c>
      <c r="P61" s="29">
        <v>34453</v>
      </c>
      <c r="Q61" s="30">
        <v>35.96</v>
      </c>
      <c r="R61" s="31">
        <v>95816</v>
      </c>
      <c r="S61" s="31">
        <v>37898</v>
      </c>
      <c r="T61" s="30">
        <v>39.549999999999997</v>
      </c>
      <c r="U61" s="30">
        <v>95816</v>
      </c>
    </row>
    <row r="62" spans="1:21" x14ac:dyDescent="0.2">
      <c r="A62" s="1" t="s">
        <v>25</v>
      </c>
      <c r="B62" s="4" t="s">
        <v>26</v>
      </c>
      <c r="C62" s="12" t="s">
        <v>17</v>
      </c>
      <c r="D62" s="12" t="s">
        <v>113</v>
      </c>
      <c r="E62" s="7">
        <v>1</v>
      </c>
      <c r="F62" s="8" t="s">
        <v>78</v>
      </c>
      <c r="G62" s="8" t="s">
        <v>76</v>
      </c>
      <c r="H62" s="7" t="s">
        <v>24</v>
      </c>
      <c r="I62" s="9" t="s">
        <v>63</v>
      </c>
      <c r="J62" s="9">
        <v>1</v>
      </c>
      <c r="K62" s="12">
        <v>384</v>
      </c>
      <c r="L62" s="10">
        <v>0</v>
      </c>
      <c r="M62" s="11">
        <v>3307500</v>
      </c>
      <c r="N62" s="10">
        <f t="shared" si="0"/>
        <v>99225</v>
      </c>
      <c r="O62" s="10">
        <f t="shared" si="1"/>
        <v>3815532.0000000005</v>
      </c>
      <c r="P62" s="29">
        <v>85436</v>
      </c>
      <c r="Q62" s="30">
        <v>40.69</v>
      </c>
      <c r="R62" s="31">
        <v>209957</v>
      </c>
      <c r="S62" s="31">
        <v>93977</v>
      </c>
      <c r="T62" s="30">
        <v>44.76</v>
      </c>
      <c r="U62" s="30">
        <v>209957</v>
      </c>
    </row>
    <row r="63" spans="1:21" x14ac:dyDescent="0.2">
      <c r="A63" s="1" t="s">
        <v>25</v>
      </c>
      <c r="B63" s="4" t="s">
        <v>26</v>
      </c>
      <c r="C63" s="12" t="s">
        <v>17</v>
      </c>
      <c r="D63" s="12" t="s">
        <v>114</v>
      </c>
      <c r="E63" s="7">
        <v>1</v>
      </c>
      <c r="F63" s="8" t="s">
        <v>78</v>
      </c>
      <c r="G63" s="8" t="s">
        <v>76</v>
      </c>
      <c r="H63" s="7" t="s">
        <v>24</v>
      </c>
      <c r="I63" s="9" t="s">
        <v>63</v>
      </c>
      <c r="J63" s="9">
        <v>1</v>
      </c>
      <c r="K63" s="12">
        <v>384</v>
      </c>
      <c r="L63" s="10">
        <v>0</v>
      </c>
      <c r="M63" s="11">
        <v>3307500</v>
      </c>
      <c r="N63" s="10">
        <f t="shared" si="0"/>
        <v>99225</v>
      </c>
      <c r="O63" s="10">
        <f t="shared" si="1"/>
        <v>3815532.0000000005</v>
      </c>
      <c r="P63" s="29">
        <v>68173</v>
      </c>
      <c r="Q63" s="30">
        <v>32.47</v>
      </c>
      <c r="R63" s="31">
        <v>209957</v>
      </c>
      <c r="S63" s="31">
        <v>74989</v>
      </c>
      <c r="T63" s="30">
        <v>35.72</v>
      </c>
      <c r="U63" s="30">
        <v>209957</v>
      </c>
    </row>
    <row r="64" spans="1:21" x14ac:dyDescent="0.2">
      <c r="A64" s="1" t="s">
        <v>25</v>
      </c>
      <c r="B64" s="4" t="s">
        <v>26</v>
      </c>
      <c r="C64" s="12" t="s">
        <v>17</v>
      </c>
      <c r="D64" s="12" t="s">
        <v>115</v>
      </c>
      <c r="E64" s="7">
        <v>1</v>
      </c>
      <c r="F64" s="8" t="s">
        <v>78</v>
      </c>
      <c r="G64" s="8" t="s">
        <v>76</v>
      </c>
      <c r="H64" s="7" t="s">
        <v>24</v>
      </c>
      <c r="I64" s="9" t="s">
        <v>63</v>
      </c>
      <c r="J64" s="9">
        <v>1</v>
      </c>
      <c r="K64" s="12">
        <v>320</v>
      </c>
      <c r="L64" s="10">
        <v>0</v>
      </c>
      <c r="M64" s="11">
        <v>3307500</v>
      </c>
      <c r="N64" s="10">
        <f t="shared" si="0"/>
        <v>99225</v>
      </c>
      <c r="O64" s="10">
        <f t="shared" si="1"/>
        <v>3815532.0000000005</v>
      </c>
      <c r="P64" s="29">
        <v>48449</v>
      </c>
      <c r="Q64" s="30">
        <v>23.08</v>
      </c>
      <c r="R64" s="31">
        <v>209957</v>
      </c>
      <c r="S64" s="31">
        <v>53293</v>
      </c>
      <c r="T64" s="30">
        <v>25.38</v>
      </c>
      <c r="U64" s="30">
        <v>209957</v>
      </c>
    </row>
    <row r="65" spans="1:21" x14ac:dyDescent="0.2">
      <c r="A65" s="1" t="s">
        <v>25</v>
      </c>
      <c r="B65" s="4" t="s">
        <v>26</v>
      </c>
      <c r="C65" s="12" t="s">
        <v>17</v>
      </c>
      <c r="D65" s="12" t="s">
        <v>116</v>
      </c>
      <c r="E65" s="7">
        <v>1</v>
      </c>
      <c r="F65" s="8" t="s">
        <v>78</v>
      </c>
      <c r="G65" s="8" t="s">
        <v>76</v>
      </c>
      <c r="H65" s="7" t="s">
        <v>24</v>
      </c>
      <c r="I65" s="9" t="s">
        <v>63</v>
      </c>
      <c r="J65" s="9">
        <v>1</v>
      </c>
      <c r="K65" s="12">
        <v>576</v>
      </c>
      <c r="L65" s="10">
        <v>0</v>
      </c>
      <c r="M65" s="11">
        <v>3307500</v>
      </c>
      <c r="N65" s="10">
        <f t="shared" si="0"/>
        <v>99225</v>
      </c>
      <c r="O65" s="10">
        <f t="shared" si="1"/>
        <v>3815532.0000000005</v>
      </c>
      <c r="P65" s="29">
        <v>50995</v>
      </c>
      <c r="Q65" s="30">
        <v>24.29</v>
      </c>
      <c r="R65" s="31">
        <v>209957</v>
      </c>
      <c r="S65" s="31">
        <v>56094</v>
      </c>
      <c r="T65" s="30">
        <v>26.72</v>
      </c>
      <c r="U65" s="30">
        <v>209957</v>
      </c>
    </row>
    <row r="66" spans="1:21" x14ac:dyDescent="0.2">
      <c r="A66" s="1" t="s">
        <v>25</v>
      </c>
      <c r="B66" s="4" t="s">
        <v>26</v>
      </c>
      <c r="C66" s="12" t="s">
        <v>17</v>
      </c>
      <c r="D66" s="12" t="s">
        <v>117</v>
      </c>
      <c r="E66" s="7">
        <v>1</v>
      </c>
      <c r="F66" s="8" t="s">
        <v>78</v>
      </c>
      <c r="G66" s="8" t="s">
        <v>76</v>
      </c>
      <c r="H66" s="7" t="s">
        <v>24</v>
      </c>
      <c r="I66" s="9" t="s">
        <v>63</v>
      </c>
      <c r="J66" s="9">
        <v>1</v>
      </c>
      <c r="K66" s="12">
        <v>576</v>
      </c>
      <c r="L66" s="10">
        <v>0</v>
      </c>
      <c r="M66" s="11">
        <v>3307500</v>
      </c>
      <c r="N66" s="10">
        <f t="shared" si="0"/>
        <v>99225</v>
      </c>
      <c r="O66" s="10">
        <f t="shared" si="1"/>
        <v>3815532.0000000005</v>
      </c>
      <c r="P66" s="29">
        <v>102616</v>
      </c>
      <c r="Q66" s="30">
        <v>48.87</v>
      </c>
      <c r="R66" s="31">
        <v>209957</v>
      </c>
      <c r="S66" s="31">
        <v>112878</v>
      </c>
      <c r="T66" s="30">
        <v>53.76</v>
      </c>
      <c r="U66" s="30">
        <v>209957</v>
      </c>
    </row>
    <row r="67" spans="1:21" x14ac:dyDescent="0.2">
      <c r="A67" s="1" t="s">
        <v>25</v>
      </c>
      <c r="B67" s="4" t="s">
        <v>26</v>
      </c>
      <c r="C67" s="12" t="s">
        <v>18</v>
      </c>
      <c r="D67" s="12" t="s">
        <v>118</v>
      </c>
      <c r="E67" s="7">
        <v>1</v>
      </c>
      <c r="F67" s="8" t="s">
        <v>78</v>
      </c>
      <c r="G67" s="8" t="s">
        <v>76</v>
      </c>
      <c r="H67" s="7" t="s">
        <v>24</v>
      </c>
      <c r="I67" s="9" t="s">
        <v>64</v>
      </c>
      <c r="J67" s="9">
        <v>1</v>
      </c>
      <c r="K67" s="12">
        <v>288</v>
      </c>
      <c r="L67" s="10">
        <v>0</v>
      </c>
      <c r="M67" s="11">
        <v>3307500</v>
      </c>
      <c r="N67" s="10">
        <f t="shared" si="0"/>
        <v>99225</v>
      </c>
      <c r="O67" s="10">
        <f t="shared" si="1"/>
        <v>3815532.0000000005</v>
      </c>
      <c r="P67" s="29">
        <v>69255</v>
      </c>
      <c r="Q67" s="30">
        <v>22.73</v>
      </c>
      <c r="R67" s="31">
        <v>304698</v>
      </c>
      <c r="S67" s="31">
        <v>76179</v>
      </c>
      <c r="T67" s="30">
        <v>25</v>
      </c>
      <c r="U67" s="30">
        <v>304698</v>
      </c>
    </row>
    <row r="68" spans="1:21" x14ac:dyDescent="0.2">
      <c r="A68" s="1" t="s">
        <v>25</v>
      </c>
      <c r="B68" s="4" t="s">
        <v>26</v>
      </c>
      <c r="C68" s="12" t="s">
        <v>18</v>
      </c>
      <c r="D68" s="12" t="s">
        <v>119</v>
      </c>
      <c r="E68" s="7">
        <v>1</v>
      </c>
      <c r="F68" s="8" t="s">
        <v>78</v>
      </c>
      <c r="G68" s="8" t="s">
        <v>76</v>
      </c>
      <c r="H68" s="7" t="s">
        <v>24</v>
      </c>
      <c r="I68" s="9" t="s">
        <v>75</v>
      </c>
      <c r="J68" s="9">
        <v>1</v>
      </c>
      <c r="K68" s="12">
        <v>576</v>
      </c>
      <c r="L68" s="10">
        <v>0</v>
      </c>
      <c r="M68" s="11">
        <v>3307500</v>
      </c>
      <c r="N68" s="10">
        <f t="shared" ref="N68:N73" si="2">M68*3%</f>
        <v>99225</v>
      </c>
      <c r="O68" s="10">
        <f t="shared" ref="O68:O71" si="3">(M68+N68)*1.12</f>
        <v>3815532.0000000005</v>
      </c>
      <c r="P68" s="29">
        <v>93055</v>
      </c>
      <c r="Q68" s="30">
        <v>30.54</v>
      </c>
      <c r="R68" s="31">
        <v>304698</v>
      </c>
      <c r="S68" s="31">
        <v>102362</v>
      </c>
      <c r="T68" s="30">
        <v>33.590000000000003</v>
      </c>
      <c r="U68" s="30">
        <v>304698</v>
      </c>
    </row>
    <row r="69" spans="1:21" x14ac:dyDescent="0.2">
      <c r="A69" s="1" t="s">
        <v>25</v>
      </c>
      <c r="B69" s="4" t="s">
        <v>26</v>
      </c>
      <c r="C69" s="12" t="s">
        <v>18</v>
      </c>
      <c r="D69" s="12" t="s">
        <v>120</v>
      </c>
      <c r="E69" s="7">
        <v>1</v>
      </c>
      <c r="F69" s="8" t="s">
        <v>78</v>
      </c>
      <c r="G69" s="8" t="s">
        <v>76</v>
      </c>
      <c r="H69" s="7" t="s">
        <v>24</v>
      </c>
      <c r="I69" s="9" t="s">
        <v>64</v>
      </c>
      <c r="J69" s="9">
        <v>1</v>
      </c>
      <c r="K69" s="12">
        <v>451</v>
      </c>
      <c r="L69" s="10">
        <v>0</v>
      </c>
      <c r="M69" s="11">
        <v>3307500</v>
      </c>
      <c r="N69" s="10">
        <f t="shared" si="2"/>
        <v>99225</v>
      </c>
      <c r="O69" s="10">
        <f t="shared" si="3"/>
        <v>3815532.0000000005</v>
      </c>
      <c r="P69" s="29">
        <v>57935</v>
      </c>
      <c r="Q69" s="30">
        <v>19.010000000000002</v>
      </c>
      <c r="R69" s="31">
        <v>304698</v>
      </c>
      <c r="S69" s="31">
        <v>63729</v>
      </c>
      <c r="T69" s="30">
        <v>20.92</v>
      </c>
      <c r="U69" s="30">
        <v>304698</v>
      </c>
    </row>
    <row r="70" spans="1:21" x14ac:dyDescent="0.2">
      <c r="A70" s="1" t="s">
        <v>25</v>
      </c>
      <c r="B70" s="4" t="s">
        <v>26</v>
      </c>
      <c r="C70" s="12" t="s">
        <v>18</v>
      </c>
      <c r="D70" s="12" t="s">
        <v>121</v>
      </c>
      <c r="E70" s="7">
        <v>1</v>
      </c>
      <c r="F70" s="8" t="s">
        <v>78</v>
      </c>
      <c r="G70" s="8" t="s">
        <v>76</v>
      </c>
      <c r="H70" s="7" t="s">
        <v>24</v>
      </c>
      <c r="I70" s="9" t="s">
        <v>75</v>
      </c>
      <c r="J70" s="9">
        <v>1</v>
      </c>
      <c r="K70" s="12">
        <v>331</v>
      </c>
      <c r="L70" s="10">
        <v>0</v>
      </c>
      <c r="M70" s="11">
        <v>3307500</v>
      </c>
      <c r="N70" s="10">
        <f t="shared" si="2"/>
        <v>99225</v>
      </c>
      <c r="O70" s="10">
        <f t="shared" si="3"/>
        <v>3815532.0000000005</v>
      </c>
      <c r="P70" s="29">
        <v>40267</v>
      </c>
      <c r="Q70" s="30">
        <v>13.22</v>
      </c>
      <c r="R70" s="31">
        <v>304698</v>
      </c>
      <c r="S70" s="31">
        <v>44293</v>
      </c>
      <c r="T70" s="30">
        <v>14.54</v>
      </c>
      <c r="U70" s="30">
        <v>304698</v>
      </c>
    </row>
    <row r="71" spans="1:21" x14ac:dyDescent="0.2">
      <c r="A71" s="1" t="s">
        <v>25</v>
      </c>
      <c r="B71" s="4" t="s">
        <v>26</v>
      </c>
      <c r="C71" s="12" t="s">
        <v>18</v>
      </c>
      <c r="D71" s="12" t="s">
        <v>122</v>
      </c>
      <c r="E71" s="7">
        <v>1</v>
      </c>
      <c r="F71" s="8" t="s">
        <v>78</v>
      </c>
      <c r="G71" s="8" t="s">
        <v>76</v>
      </c>
      <c r="H71" s="7" t="s">
        <v>24</v>
      </c>
      <c r="I71" s="9" t="s">
        <v>59</v>
      </c>
      <c r="J71" s="9">
        <v>1</v>
      </c>
      <c r="K71" s="12">
        <v>330</v>
      </c>
      <c r="L71" s="10">
        <v>0</v>
      </c>
      <c r="M71" s="11">
        <v>3307500</v>
      </c>
      <c r="N71" s="10">
        <f t="shared" si="2"/>
        <v>99225</v>
      </c>
      <c r="O71" s="10">
        <f t="shared" si="3"/>
        <v>3815532.0000000005</v>
      </c>
      <c r="P71" s="29">
        <v>157687</v>
      </c>
      <c r="Q71" s="30">
        <v>51.75</v>
      </c>
      <c r="R71" s="31">
        <v>304698</v>
      </c>
      <c r="S71" s="31">
        <v>173463</v>
      </c>
      <c r="T71" s="30">
        <v>56.93</v>
      </c>
      <c r="U71" s="30">
        <v>304698</v>
      </c>
    </row>
    <row r="72" spans="1:21" x14ac:dyDescent="0.2">
      <c r="A72" s="1" t="s">
        <v>25</v>
      </c>
      <c r="B72" s="4" t="s">
        <v>26</v>
      </c>
      <c r="C72" s="12" t="s">
        <v>18</v>
      </c>
      <c r="D72" s="12" t="s">
        <v>123</v>
      </c>
      <c r="E72" s="7">
        <v>1</v>
      </c>
      <c r="F72" s="8" t="s">
        <v>78</v>
      </c>
      <c r="G72" s="8" t="s">
        <v>76</v>
      </c>
      <c r="H72" s="7" t="s">
        <v>24</v>
      </c>
      <c r="I72" s="9" t="s">
        <v>59</v>
      </c>
      <c r="J72" s="9">
        <v>1</v>
      </c>
      <c r="K72" s="12">
        <v>361</v>
      </c>
      <c r="L72" s="10">
        <v>0</v>
      </c>
      <c r="M72" s="11">
        <v>3307500</v>
      </c>
      <c r="N72" s="10">
        <f t="shared" si="2"/>
        <v>99225</v>
      </c>
      <c r="O72" s="10">
        <f>(M72+N72+L72)*1.12</f>
        <v>3815532.0000000005</v>
      </c>
      <c r="P72" s="29">
        <v>218822</v>
      </c>
      <c r="Q72" s="30">
        <v>71.819999999999993</v>
      </c>
      <c r="R72" s="31">
        <v>304698</v>
      </c>
      <c r="S72" s="31">
        <v>240704</v>
      </c>
      <c r="T72" s="30">
        <v>79</v>
      </c>
      <c r="U72" s="30">
        <v>304698</v>
      </c>
    </row>
    <row r="73" spans="1:21" x14ac:dyDescent="0.2">
      <c r="A73" s="1" t="s">
        <v>25</v>
      </c>
      <c r="B73" s="4" t="s">
        <v>26</v>
      </c>
      <c r="C73" s="12" t="s">
        <v>18</v>
      </c>
      <c r="D73" s="12" t="s">
        <v>124</v>
      </c>
      <c r="E73" s="7">
        <v>1</v>
      </c>
      <c r="F73" s="8" t="s">
        <v>78</v>
      </c>
      <c r="G73" s="8" t="s">
        <v>76</v>
      </c>
      <c r="H73" s="7" t="s">
        <v>24</v>
      </c>
      <c r="I73" s="9" t="s">
        <v>59</v>
      </c>
      <c r="J73" s="9">
        <v>1</v>
      </c>
      <c r="K73" s="12">
        <v>373</v>
      </c>
      <c r="L73" s="10">
        <v>0</v>
      </c>
      <c r="M73" s="11">
        <v>3307500</v>
      </c>
      <c r="N73" s="10">
        <f t="shared" si="2"/>
        <v>99225</v>
      </c>
      <c r="O73" s="10">
        <f t="shared" ref="O73" si="4">(M73+N73+L73)*1.12</f>
        <v>3815532.0000000005</v>
      </c>
      <c r="P73" s="29">
        <v>43011</v>
      </c>
      <c r="Q73" s="30">
        <v>14.12</v>
      </c>
      <c r="R73" s="31">
        <v>304698</v>
      </c>
      <c r="S73" s="31">
        <v>47314</v>
      </c>
      <c r="T73" s="30">
        <v>15.53</v>
      </c>
      <c r="U73" s="30">
        <v>304698</v>
      </c>
    </row>
    <row r="74" spans="1:21" ht="18" customHeight="1" x14ac:dyDescent="0.2">
      <c r="A74" s="3" t="s">
        <v>25</v>
      </c>
      <c r="B74" s="19" t="s">
        <v>26</v>
      </c>
      <c r="C74" s="15" t="s">
        <v>16</v>
      </c>
      <c r="D74" s="15" t="s">
        <v>29</v>
      </c>
      <c r="E74" s="15">
        <v>1</v>
      </c>
      <c r="F74" s="14" t="s">
        <v>80</v>
      </c>
      <c r="G74" s="14" t="s">
        <v>76</v>
      </c>
      <c r="H74" s="15" t="s">
        <v>24</v>
      </c>
      <c r="I74" s="16" t="s">
        <v>59</v>
      </c>
      <c r="J74" s="16">
        <v>1</v>
      </c>
      <c r="K74" s="15">
        <v>308</v>
      </c>
      <c r="L74" s="17">
        <v>0</v>
      </c>
      <c r="M74" s="18">
        <v>5120000</v>
      </c>
      <c r="N74" s="17">
        <f>M74*3%</f>
        <v>153600</v>
      </c>
      <c r="O74" s="17">
        <f>(M74+N74)*1.12</f>
        <v>5906432.0000000009</v>
      </c>
      <c r="P74" s="26">
        <v>371248</v>
      </c>
      <c r="Q74" s="27">
        <v>21.11</v>
      </c>
      <c r="R74" s="28">
        <v>1758685</v>
      </c>
      <c r="S74" s="28">
        <v>367274</v>
      </c>
      <c r="T74" s="27">
        <v>20.88</v>
      </c>
      <c r="U74" s="27">
        <v>1758685</v>
      </c>
    </row>
    <row r="75" spans="1:21" x14ac:dyDescent="0.2">
      <c r="A75" s="1" t="s">
        <v>25</v>
      </c>
      <c r="B75" s="6" t="s">
        <v>26</v>
      </c>
      <c r="C75" s="7" t="s">
        <v>16</v>
      </c>
      <c r="D75" s="7" t="s">
        <v>30</v>
      </c>
      <c r="E75" s="7">
        <v>1</v>
      </c>
      <c r="F75" s="8" t="s">
        <v>80</v>
      </c>
      <c r="G75" s="8" t="s">
        <v>76</v>
      </c>
      <c r="H75" s="7" t="s">
        <v>24</v>
      </c>
      <c r="I75" s="9" t="s">
        <v>60</v>
      </c>
      <c r="J75" s="9">
        <v>1</v>
      </c>
      <c r="K75" s="7">
        <v>360</v>
      </c>
      <c r="L75" s="10">
        <v>0</v>
      </c>
      <c r="M75" s="11">
        <v>17249996.399999999</v>
      </c>
      <c r="N75" s="10">
        <f t="shared" ref="N75:N138" si="5">M75*3%</f>
        <v>517499.89199999993</v>
      </c>
      <c r="O75" s="10">
        <f t="shared" ref="O75:O138" si="6">(M75+N75)*1.12</f>
        <v>19899595.847040001</v>
      </c>
      <c r="P75" s="29">
        <v>2491056</v>
      </c>
      <c r="Q75" s="30">
        <v>141.63999999999999</v>
      </c>
      <c r="R75" s="31">
        <v>1758685</v>
      </c>
      <c r="S75" s="31">
        <v>1919872</v>
      </c>
      <c r="T75" s="30">
        <v>109.17</v>
      </c>
      <c r="U75" s="30">
        <v>1758685</v>
      </c>
    </row>
    <row r="76" spans="1:21" x14ac:dyDescent="0.2">
      <c r="A76" s="1" t="s">
        <v>25</v>
      </c>
      <c r="B76" s="6" t="s">
        <v>26</v>
      </c>
      <c r="C76" s="7" t="s">
        <v>16</v>
      </c>
      <c r="D76" s="7" t="s">
        <v>22</v>
      </c>
      <c r="E76" s="7">
        <v>1</v>
      </c>
      <c r="F76" s="8" t="s">
        <v>80</v>
      </c>
      <c r="G76" s="8" t="s">
        <v>76</v>
      </c>
      <c r="H76" s="7" t="s">
        <v>24</v>
      </c>
      <c r="I76" s="9" t="s">
        <v>61</v>
      </c>
      <c r="J76" s="9">
        <v>1</v>
      </c>
      <c r="K76" s="7">
        <v>375</v>
      </c>
      <c r="L76" s="10">
        <v>0</v>
      </c>
      <c r="M76" s="11">
        <v>18368000</v>
      </c>
      <c r="N76" s="10">
        <f t="shared" si="5"/>
        <v>551040</v>
      </c>
      <c r="O76" s="10">
        <f t="shared" si="6"/>
        <v>21189324.800000001</v>
      </c>
      <c r="P76" s="29">
        <v>1508168</v>
      </c>
      <c r="Q76" s="30">
        <v>85.76</v>
      </c>
      <c r="R76" s="31">
        <v>1758685</v>
      </c>
      <c r="S76" s="31">
        <v>1244255</v>
      </c>
      <c r="T76" s="30">
        <v>70.75</v>
      </c>
      <c r="U76" s="30">
        <v>1758685</v>
      </c>
    </row>
    <row r="77" spans="1:21" x14ac:dyDescent="0.2">
      <c r="A77" s="1" t="s">
        <v>25</v>
      </c>
      <c r="B77" s="6" t="s">
        <v>26</v>
      </c>
      <c r="C77" s="7" t="s">
        <v>16</v>
      </c>
      <c r="D77" s="7" t="s">
        <v>31</v>
      </c>
      <c r="E77" s="7">
        <v>1</v>
      </c>
      <c r="F77" s="8" t="s">
        <v>80</v>
      </c>
      <c r="G77" s="8" t="s">
        <v>76</v>
      </c>
      <c r="H77" s="7" t="s">
        <v>24</v>
      </c>
      <c r="I77" s="9" t="s">
        <v>62</v>
      </c>
      <c r="J77" s="9">
        <v>1</v>
      </c>
      <c r="K77" s="7">
        <v>288</v>
      </c>
      <c r="L77" s="10">
        <v>0</v>
      </c>
      <c r="M77" s="11">
        <v>15476699.999999998</v>
      </c>
      <c r="N77" s="10">
        <f t="shared" si="5"/>
        <v>464300.99999999994</v>
      </c>
      <c r="O77" s="10">
        <f t="shared" si="6"/>
        <v>17853921.120000001</v>
      </c>
      <c r="P77" s="29">
        <v>1526923</v>
      </c>
      <c r="Q77" s="30">
        <v>86.82</v>
      </c>
      <c r="R77" s="31">
        <v>1758685</v>
      </c>
      <c r="S77" s="31">
        <v>1446590</v>
      </c>
      <c r="T77" s="30">
        <v>82.25</v>
      </c>
      <c r="U77" s="30">
        <v>1758685</v>
      </c>
    </row>
    <row r="78" spans="1:21" x14ac:dyDescent="0.2">
      <c r="A78" s="1" t="s">
        <v>25</v>
      </c>
      <c r="B78" s="6" t="s">
        <v>26</v>
      </c>
      <c r="C78" s="7" t="s">
        <v>16</v>
      </c>
      <c r="D78" s="7" t="s">
        <v>32</v>
      </c>
      <c r="E78" s="7">
        <v>1</v>
      </c>
      <c r="F78" s="8" t="s">
        <v>80</v>
      </c>
      <c r="G78" s="8" t="s">
        <v>76</v>
      </c>
      <c r="H78" s="7" t="s">
        <v>24</v>
      </c>
      <c r="I78" s="9" t="s">
        <v>63</v>
      </c>
      <c r="J78" s="9">
        <v>1</v>
      </c>
      <c r="K78" s="7">
        <v>301</v>
      </c>
      <c r="L78" s="10">
        <v>0</v>
      </c>
      <c r="M78" s="11">
        <v>5120000</v>
      </c>
      <c r="N78" s="10">
        <f t="shared" si="5"/>
        <v>153600</v>
      </c>
      <c r="O78" s="10">
        <f t="shared" si="6"/>
        <v>5906432.0000000009</v>
      </c>
      <c r="P78" s="29">
        <v>457466</v>
      </c>
      <c r="Q78" s="30">
        <v>26.01</v>
      </c>
      <c r="R78" s="31">
        <v>1758685</v>
      </c>
      <c r="S78" s="31">
        <v>373631</v>
      </c>
      <c r="T78" s="30">
        <v>21.24</v>
      </c>
      <c r="U78" s="30">
        <v>1758685</v>
      </c>
    </row>
    <row r="79" spans="1:21" x14ac:dyDescent="0.2">
      <c r="A79" s="1" t="s">
        <v>25</v>
      </c>
      <c r="B79" s="6" t="s">
        <v>26</v>
      </c>
      <c r="C79" s="7" t="s">
        <v>16</v>
      </c>
      <c r="D79" s="7" t="s">
        <v>33</v>
      </c>
      <c r="E79" s="7">
        <v>1</v>
      </c>
      <c r="F79" s="8" t="s">
        <v>80</v>
      </c>
      <c r="G79" s="8" t="s">
        <v>76</v>
      </c>
      <c r="H79" s="7" t="s">
        <v>24</v>
      </c>
      <c r="I79" s="9" t="s">
        <v>64</v>
      </c>
      <c r="J79" s="9">
        <v>1</v>
      </c>
      <c r="K79" s="7">
        <v>360</v>
      </c>
      <c r="L79" s="10">
        <v>0</v>
      </c>
      <c r="M79" s="11">
        <v>4450000</v>
      </c>
      <c r="N79" s="10">
        <f t="shared" si="5"/>
        <v>133500</v>
      </c>
      <c r="O79" s="10">
        <f t="shared" si="6"/>
        <v>5133520.0000000009</v>
      </c>
      <c r="P79" s="29">
        <v>582937</v>
      </c>
      <c r="Q79" s="30">
        <v>33.15</v>
      </c>
      <c r="R79" s="31">
        <v>1758685</v>
      </c>
      <c r="S79" s="31">
        <v>468564</v>
      </c>
      <c r="T79" s="30">
        <v>26.64</v>
      </c>
      <c r="U79" s="30">
        <v>1758685</v>
      </c>
    </row>
    <row r="80" spans="1:21" x14ac:dyDescent="0.2">
      <c r="A80" s="1" t="s">
        <v>25</v>
      </c>
      <c r="B80" s="6" t="s">
        <v>26</v>
      </c>
      <c r="C80" s="7" t="s">
        <v>16</v>
      </c>
      <c r="D80" s="7" t="s">
        <v>34</v>
      </c>
      <c r="E80" s="7">
        <v>1</v>
      </c>
      <c r="F80" s="8" t="s">
        <v>80</v>
      </c>
      <c r="G80" s="8" t="s">
        <v>76</v>
      </c>
      <c r="H80" s="7" t="s">
        <v>24</v>
      </c>
      <c r="I80" s="9" t="s">
        <v>65</v>
      </c>
      <c r="J80" s="9">
        <v>1</v>
      </c>
      <c r="K80" s="7">
        <v>322</v>
      </c>
      <c r="L80" s="10">
        <v>0</v>
      </c>
      <c r="M80" s="11">
        <v>10360000</v>
      </c>
      <c r="N80" s="10">
        <f t="shared" si="5"/>
        <v>310800</v>
      </c>
      <c r="O80" s="10">
        <f t="shared" si="6"/>
        <v>11951296.000000002</v>
      </c>
      <c r="P80" s="29">
        <v>821917</v>
      </c>
      <c r="Q80" s="30">
        <v>46.73</v>
      </c>
      <c r="R80" s="31">
        <v>1758685</v>
      </c>
      <c r="S80" s="31">
        <v>705011</v>
      </c>
      <c r="T80" s="30">
        <v>40.090000000000003</v>
      </c>
      <c r="U80" s="30">
        <v>1758685</v>
      </c>
    </row>
    <row r="81" spans="1:21" x14ac:dyDescent="0.2">
      <c r="A81" s="1" t="s">
        <v>25</v>
      </c>
      <c r="B81" s="6" t="s">
        <v>26</v>
      </c>
      <c r="C81" s="7" t="s">
        <v>16</v>
      </c>
      <c r="D81" s="7" t="s">
        <v>19</v>
      </c>
      <c r="E81" s="7">
        <v>1</v>
      </c>
      <c r="F81" s="8" t="s">
        <v>80</v>
      </c>
      <c r="G81" s="8" t="s">
        <v>76</v>
      </c>
      <c r="H81" s="7" t="s">
        <v>24</v>
      </c>
      <c r="I81" s="9" t="s">
        <v>64</v>
      </c>
      <c r="J81" s="9">
        <v>1</v>
      </c>
      <c r="K81" s="7">
        <v>289</v>
      </c>
      <c r="L81" s="10">
        <v>0</v>
      </c>
      <c r="M81" s="11">
        <v>6120000</v>
      </c>
      <c r="N81" s="10">
        <f t="shared" si="5"/>
        <v>183600</v>
      </c>
      <c r="O81" s="10">
        <f t="shared" si="6"/>
        <v>7060032.0000000009</v>
      </c>
      <c r="P81" s="29">
        <v>803040</v>
      </c>
      <c r="Q81" s="30">
        <v>45.66</v>
      </c>
      <c r="R81" s="31">
        <v>1758685</v>
      </c>
      <c r="S81" s="31">
        <v>673284</v>
      </c>
      <c r="T81" s="30">
        <v>38.28</v>
      </c>
      <c r="U81" s="30">
        <v>1758685</v>
      </c>
    </row>
    <row r="82" spans="1:21" x14ac:dyDescent="0.2">
      <c r="A82" s="1" t="s">
        <v>25</v>
      </c>
      <c r="B82" s="6" t="s">
        <v>26</v>
      </c>
      <c r="C82" s="7" t="s">
        <v>16</v>
      </c>
      <c r="D82" s="7" t="s">
        <v>20</v>
      </c>
      <c r="E82" s="7">
        <v>1</v>
      </c>
      <c r="F82" s="8" t="s">
        <v>80</v>
      </c>
      <c r="G82" s="8" t="s">
        <v>76</v>
      </c>
      <c r="H82" s="7" t="s">
        <v>24</v>
      </c>
      <c r="I82" s="9" t="s">
        <v>59</v>
      </c>
      <c r="J82" s="9">
        <v>1</v>
      </c>
      <c r="K82" s="7">
        <v>283</v>
      </c>
      <c r="L82" s="10">
        <v>0</v>
      </c>
      <c r="M82" s="11">
        <v>5920000</v>
      </c>
      <c r="N82" s="10">
        <f t="shared" si="5"/>
        <v>177600</v>
      </c>
      <c r="O82" s="10">
        <f t="shared" si="6"/>
        <v>6829312.0000000009</v>
      </c>
      <c r="P82" s="29">
        <v>578005</v>
      </c>
      <c r="Q82" s="30">
        <v>32.869999999999997</v>
      </c>
      <c r="R82" s="31">
        <v>1758685</v>
      </c>
      <c r="S82" s="31">
        <v>535370</v>
      </c>
      <c r="T82" s="30">
        <v>30.44</v>
      </c>
      <c r="U82" s="30">
        <v>1758685</v>
      </c>
    </row>
    <row r="83" spans="1:21" x14ac:dyDescent="0.2">
      <c r="A83" s="1" t="s">
        <v>25</v>
      </c>
      <c r="B83" s="6" t="s">
        <v>26</v>
      </c>
      <c r="C83" s="7" t="s">
        <v>16</v>
      </c>
      <c r="D83" s="7" t="s">
        <v>35</v>
      </c>
      <c r="E83" s="7">
        <v>1</v>
      </c>
      <c r="F83" s="8" t="s">
        <v>80</v>
      </c>
      <c r="G83" s="8" t="s">
        <v>76</v>
      </c>
      <c r="H83" s="7" t="s">
        <v>24</v>
      </c>
      <c r="I83" s="9" t="s">
        <v>59</v>
      </c>
      <c r="J83" s="9">
        <v>1</v>
      </c>
      <c r="K83" s="7">
        <v>322</v>
      </c>
      <c r="L83" s="10">
        <v>0</v>
      </c>
      <c r="M83" s="11">
        <v>5120000</v>
      </c>
      <c r="N83" s="10">
        <f t="shared" si="5"/>
        <v>153600</v>
      </c>
      <c r="O83" s="10">
        <f t="shared" si="6"/>
        <v>5906432.0000000009</v>
      </c>
      <c r="P83" s="29">
        <v>338573</v>
      </c>
      <c r="Q83" s="30">
        <v>19.25</v>
      </c>
      <c r="R83" s="31">
        <v>1758685</v>
      </c>
      <c r="S83" s="31">
        <v>260853</v>
      </c>
      <c r="T83" s="30">
        <v>14.83</v>
      </c>
      <c r="U83" s="30">
        <v>1758685</v>
      </c>
    </row>
    <row r="84" spans="1:21" x14ac:dyDescent="0.2">
      <c r="A84" s="1" t="s">
        <v>25</v>
      </c>
      <c r="B84" s="6" t="s">
        <v>26</v>
      </c>
      <c r="C84" s="7" t="s">
        <v>16</v>
      </c>
      <c r="D84" s="7" t="s">
        <v>36</v>
      </c>
      <c r="E84" s="7">
        <v>1</v>
      </c>
      <c r="F84" s="8" t="s">
        <v>80</v>
      </c>
      <c r="G84" s="8" t="s">
        <v>76</v>
      </c>
      <c r="H84" s="7" t="s">
        <v>24</v>
      </c>
      <c r="I84" s="9" t="s">
        <v>59</v>
      </c>
      <c r="J84" s="9">
        <v>1</v>
      </c>
      <c r="K84" s="7">
        <v>294</v>
      </c>
      <c r="L84" s="10">
        <v>0</v>
      </c>
      <c r="M84" s="11">
        <v>5920000</v>
      </c>
      <c r="N84" s="10">
        <f t="shared" si="5"/>
        <v>177600</v>
      </c>
      <c r="O84" s="10">
        <f t="shared" si="6"/>
        <v>6829312.0000000009</v>
      </c>
      <c r="P84" s="29">
        <v>221708</v>
      </c>
      <c r="Q84" s="30">
        <v>12.61</v>
      </c>
      <c r="R84" s="31">
        <v>1758685</v>
      </c>
      <c r="S84" s="31">
        <v>223615</v>
      </c>
      <c r="T84" s="30">
        <v>12.71</v>
      </c>
      <c r="U84" s="30">
        <v>1758685</v>
      </c>
    </row>
    <row r="85" spans="1:21" x14ac:dyDescent="0.2">
      <c r="A85" s="1" t="s">
        <v>25</v>
      </c>
      <c r="B85" s="6" t="s">
        <v>26</v>
      </c>
      <c r="C85" s="7" t="s">
        <v>16</v>
      </c>
      <c r="D85" s="7" t="s">
        <v>37</v>
      </c>
      <c r="E85" s="7">
        <v>1</v>
      </c>
      <c r="F85" s="8" t="s">
        <v>80</v>
      </c>
      <c r="G85" s="8" t="s">
        <v>76</v>
      </c>
      <c r="H85" s="7" t="s">
        <v>24</v>
      </c>
      <c r="I85" s="9" t="s">
        <v>65</v>
      </c>
      <c r="J85" s="9">
        <v>1</v>
      </c>
      <c r="K85" s="7">
        <v>246</v>
      </c>
      <c r="L85" s="10">
        <v>0</v>
      </c>
      <c r="M85" s="11">
        <v>10522800</v>
      </c>
      <c r="N85" s="10">
        <f t="shared" si="5"/>
        <v>315684</v>
      </c>
      <c r="O85" s="10">
        <f t="shared" si="6"/>
        <v>12139102.080000002</v>
      </c>
      <c r="P85" s="29">
        <v>496567</v>
      </c>
      <c r="Q85" s="30">
        <v>28.24</v>
      </c>
      <c r="R85" s="31">
        <v>1758685</v>
      </c>
      <c r="S85" s="31">
        <v>567686</v>
      </c>
      <c r="T85" s="30">
        <v>32.28</v>
      </c>
      <c r="U85" s="30">
        <v>1758685</v>
      </c>
    </row>
    <row r="86" spans="1:21" x14ac:dyDescent="0.2">
      <c r="A86" s="1" t="s">
        <v>25</v>
      </c>
      <c r="B86" s="6" t="s">
        <v>26</v>
      </c>
      <c r="C86" s="7" t="s">
        <v>16</v>
      </c>
      <c r="D86" s="7" t="s">
        <v>38</v>
      </c>
      <c r="E86" s="7">
        <v>1</v>
      </c>
      <c r="F86" s="8" t="s">
        <v>80</v>
      </c>
      <c r="G86" s="8" t="s">
        <v>76</v>
      </c>
      <c r="H86" s="7" t="s">
        <v>24</v>
      </c>
      <c r="I86" s="9" t="s">
        <v>59</v>
      </c>
      <c r="J86" s="9">
        <v>1</v>
      </c>
      <c r="K86" s="7">
        <v>267</v>
      </c>
      <c r="L86" s="10">
        <v>0</v>
      </c>
      <c r="M86" s="11">
        <v>5920000</v>
      </c>
      <c r="N86" s="10">
        <f t="shared" si="5"/>
        <v>177600</v>
      </c>
      <c r="O86" s="10">
        <f t="shared" si="6"/>
        <v>6829312.0000000009</v>
      </c>
      <c r="P86" s="29">
        <v>262526</v>
      </c>
      <c r="Q86" s="30">
        <v>14.93</v>
      </c>
      <c r="R86" s="31">
        <v>1758685</v>
      </c>
      <c r="S86" s="31">
        <v>268731</v>
      </c>
      <c r="T86" s="30">
        <v>15.28</v>
      </c>
      <c r="U86" s="30">
        <v>1758685</v>
      </c>
    </row>
    <row r="87" spans="1:21" x14ac:dyDescent="0.2">
      <c r="A87" s="1" t="s">
        <v>25</v>
      </c>
      <c r="B87" s="6" t="s">
        <v>26</v>
      </c>
      <c r="C87" s="7" t="s">
        <v>16</v>
      </c>
      <c r="D87" s="7" t="s">
        <v>39</v>
      </c>
      <c r="E87" s="7">
        <v>1</v>
      </c>
      <c r="F87" s="8" t="s">
        <v>80</v>
      </c>
      <c r="G87" s="8" t="s">
        <v>76</v>
      </c>
      <c r="H87" s="7" t="s">
        <v>24</v>
      </c>
      <c r="I87" s="9" t="s">
        <v>64</v>
      </c>
      <c r="J87" s="9">
        <v>1</v>
      </c>
      <c r="K87" s="7">
        <v>320</v>
      </c>
      <c r="L87" s="10">
        <v>0</v>
      </c>
      <c r="M87" s="11">
        <v>5865000</v>
      </c>
      <c r="N87" s="10">
        <f t="shared" si="5"/>
        <v>175950</v>
      </c>
      <c r="O87" s="10">
        <f t="shared" si="6"/>
        <v>6765864.0000000009</v>
      </c>
      <c r="P87" s="29">
        <v>665555</v>
      </c>
      <c r="Q87" s="30">
        <v>37.840000000000003</v>
      </c>
      <c r="R87" s="31">
        <v>1758685</v>
      </c>
      <c r="S87" s="31">
        <v>569638</v>
      </c>
      <c r="T87" s="30">
        <v>32.39</v>
      </c>
      <c r="U87" s="30">
        <v>1758685</v>
      </c>
    </row>
    <row r="88" spans="1:21" x14ac:dyDescent="0.2">
      <c r="A88" s="1" t="s">
        <v>25</v>
      </c>
      <c r="B88" s="6" t="s">
        <v>26</v>
      </c>
      <c r="C88" s="7" t="s">
        <v>16</v>
      </c>
      <c r="D88" s="7" t="s">
        <v>40</v>
      </c>
      <c r="E88" s="7">
        <v>1</v>
      </c>
      <c r="F88" s="8" t="s">
        <v>80</v>
      </c>
      <c r="G88" s="8" t="s">
        <v>76</v>
      </c>
      <c r="H88" s="7" t="s">
        <v>24</v>
      </c>
      <c r="I88" s="9" t="s">
        <v>59</v>
      </c>
      <c r="J88" s="9">
        <v>1</v>
      </c>
      <c r="K88" s="7">
        <v>360</v>
      </c>
      <c r="L88" s="10">
        <v>0</v>
      </c>
      <c r="M88" s="11">
        <v>6273000.0000000009</v>
      </c>
      <c r="N88" s="10">
        <f t="shared" si="5"/>
        <v>188190.00000000003</v>
      </c>
      <c r="O88" s="10">
        <f t="shared" si="6"/>
        <v>7236532.8000000017</v>
      </c>
      <c r="P88" s="29">
        <v>323784</v>
      </c>
      <c r="Q88" s="30">
        <v>18.41</v>
      </c>
      <c r="R88" s="31">
        <v>1758685</v>
      </c>
      <c r="S88" s="31">
        <v>303226</v>
      </c>
      <c r="T88" s="30">
        <v>17.239999999999998</v>
      </c>
      <c r="U88" s="30">
        <v>1758685</v>
      </c>
    </row>
    <row r="89" spans="1:21" x14ac:dyDescent="0.2">
      <c r="A89" s="1" t="s">
        <v>25</v>
      </c>
      <c r="B89" s="6" t="s">
        <v>26</v>
      </c>
      <c r="C89" s="7" t="s">
        <v>16</v>
      </c>
      <c r="D89" s="7" t="s">
        <v>21</v>
      </c>
      <c r="E89" s="7">
        <v>1</v>
      </c>
      <c r="F89" s="8" t="s">
        <v>80</v>
      </c>
      <c r="G89" s="8" t="s">
        <v>76</v>
      </c>
      <c r="H89" s="7" t="s">
        <v>24</v>
      </c>
      <c r="I89" s="9" t="s">
        <v>66</v>
      </c>
      <c r="J89" s="9">
        <v>1</v>
      </c>
      <c r="K89" s="7">
        <v>411</v>
      </c>
      <c r="L89" s="10">
        <v>0</v>
      </c>
      <c r="M89" s="11">
        <v>5865000</v>
      </c>
      <c r="N89" s="10">
        <f t="shared" si="5"/>
        <v>175950</v>
      </c>
      <c r="O89" s="10">
        <f t="shared" si="6"/>
        <v>6765864.0000000009</v>
      </c>
      <c r="P89" s="29">
        <v>652357</v>
      </c>
      <c r="Q89" s="30">
        <v>37.090000000000003</v>
      </c>
      <c r="R89" s="31">
        <v>1758685</v>
      </c>
      <c r="S89" s="31">
        <v>681822</v>
      </c>
      <c r="T89" s="30">
        <v>38.770000000000003</v>
      </c>
      <c r="U89" s="30">
        <v>1758685</v>
      </c>
    </row>
    <row r="90" spans="1:21" x14ac:dyDescent="0.2">
      <c r="A90" s="1" t="s">
        <v>25</v>
      </c>
      <c r="B90" s="6" t="s">
        <v>26</v>
      </c>
      <c r="C90" s="7" t="s">
        <v>16</v>
      </c>
      <c r="D90" s="7" t="s">
        <v>41</v>
      </c>
      <c r="E90" s="7">
        <v>1</v>
      </c>
      <c r="F90" s="8" t="s">
        <v>80</v>
      </c>
      <c r="G90" s="8" t="s">
        <v>76</v>
      </c>
      <c r="H90" s="7" t="s">
        <v>24</v>
      </c>
      <c r="I90" s="9" t="s">
        <v>64</v>
      </c>
      <c r="J90" s="9">
        <v>1</v>
      </c>
      <c r="K90" s="7">
        <v>480</v>
      </c>
      <c r="L90" s="10">
        <v>0</v>
      </c>
      <c r="M90" s="11">
        <v>5865000</v>
      </c>
      <c r="N90" s="10">
        <f t="shared" si="5"/>
        <v>175950</v>
      </c>
      <c r="O90" s="10">
        <f t="shared" si="6"/>
        <v>6765864.0000000009</v>
      </c>
      <c r="P90" s="29">
        <v>531010</v>
      </c>
      <c r="Q90" s="30">
        <v>30.19</v>
      </c>
      <c r="R90" s="31">
        <v>1758685</v>
      </c>
      <c r="S90" s="31">
        <v>596478</v>
      </c>
      <c r="T90" s="30">
        <v>33.92</v>
      </c>
      <c r="U90" s="30">
        <v>1758685</v>
      </c>
    </row>
    <row r="91" spans="1:21" x14ac:dyDescent="0.2">
      <c r="A91" s="1" t="s">
        <v>25</v>
      </c>
      <c r="B91" s="6" t="s">
        <v>26</v>
      </c>
      <c r="C91" s="7" t="s">
        <v>16</v>
      </c>
      <c r="D91" s="7" t="s">
        <v>42</v>
      </c>
      <c r="E91" s="7">
        <v>1</v>
      </c>
      <c r="F91" s="8" t="s">
        <v>80</v>
      </c>
      <c r="G91" s="8" t="s">
        <v>76</v>
      </c>
      <c r="H91" s="7" t="s">
        <v>24</v>
      </c>
      <c r="I91" s="9" t="s">
        <v>59</v>
      </c>
      <c r="J91" s="9">
        <v>1</v>
      </c>
      <c r="K91" s="7">
        <v>312</v>
      </c>
      <c r="L91" s="10">
        <v>0</v>
      </c>
      <c r="M91" s="11">
        <v>5920000</v>
      </c>
      <c r="N91" s="10">
        <f t="shared" si="5"/>
        <v>177600</v>
      </c>
      <c r="O91" s="10">
        <f t="shared" si="6"/>
        <v>6829312.0000000009</v>
      </c>
      <c r="P91" s="29">
        <v>397804</v>
      </c>
      <c r="Q91" s="30">
        <v>22.62</v>
      </c>
      <c r="R91" s="31">
        <v>1758685</v>
      </c>
      <c r="S91" s="31">
        <v>296951</v>
      </c>
      <c r="T91" s="30">
        <v>16.88</v>
      </c>
      <c r="U91" s="30">
        <v>1758685</v>
      </c>
    </row>
    <row r="92" spans="1:21" x14ac:dyDescent="0.2">
      <c r="A92" s="1" t="s">
        <v>25</v>
      </c>
      <c r="B92" s="6" t="s">
        <v>26</v>
      </c>
      <c r="C92" s="7" t="s">
        <v>16</v>
      </c>
      <c r="D92" s="7" t="s">
        <v>43</v>
      </c>
      <c r="E92" s="7">
        <v>1</v>
      </c>
      <c r="F92" s="8" t="s">
        <v>80</v>
      </c>
      <c r="G92" s="8" t="s">
        <v>76</v>
      </c>
      <c r="H92" s="7" t="s">
        <v>24</v>
      </c>
      <c r="I92" s="9" t="s">
        <v>67</v>
      </c>
      <c r="J92" s="9">
        <v>1</v>
      </c>
      <c r="K92" s="7">
        <v>290</v>
      </c>
      <c r="L92" s="10">
        <v>0</v>
      </c>
      <c r="M92" s="11">
        <v>5025000</v>
      </c>
      <c r="N92" s="10">
        <f t="shared" si="5"/>
        <v>150750</v>
      </c>
      <c r="O92" s="10">
        <f t="shared" si="6"/>
        <v>5796840.0000000009</v>
      </c>
      <c r="P92" s="29">
        <v>416820</v>
      </c>
      <c r="Q92" s="30">
        <v>23.7</v>
      </c>
      <c r="R92" s="31">
        <v>1758685</v>
      </c>
      <c r="S92" s="31">
        <v>303262</v>
      </c>
      <c r="T92" s="30">
        <v>17.239999999999998</v>
      </c>
      <c r="U92" s="30">
        <v>1758685</v>
      </c>
    </row>
    <row r="93" spans="1:21" x14ac:dyDescent="0.2">
      <c r="A93" s="1" t="s">
        <v>25</v>
      </c>
      <c r="B93" s="6" t="s">
        <v>26</v>
      </c>
      <c r="C93" s="7" t="s">
        <v>16</v>
      </c>
      <c r="D93" s="7" t="s">
        <v>44</v>
      </c>
      <c r="E93" s="7">
        <v>1</v>
      </c>
      <c r="F93" s="8" t="s">
        <v>80</v>
      </c>
      <c r="G93" s="8" t="s">
        <v>76</v>
      </c>
      <c r="H93" s="7" t="s">
        <v>24</v>
      </c>
      <c r="I93" s="9" t="s">
        <v>64</v>
      </c>
      <c r="J93" s="9">
        <v>1</v>
      </c>
      <c r="K93" s="7">
        <v>420</v>
      </c>
      <c r="L93" s="10">
        <v>0</v>
      </c>
      <c r="M93" s="11">
        <v>5920000</v>
      </c>
      <c r="N93" s="10">
        <f t="shared" si="5"/>
        <v>177600</v>
      </c>
      <c r="O93" s="10">
        <f t="shared" si="6"/>
        <v>6829312.0000000009</v>
      </c>
      <c r="P93" s="29">
        <v>1363763</v>
      </c>
      <c r="Q93" s="30">
        <v>77.540000000000006</v>
      </c>
      <c r="R93" s="31">
        <v>1758685</v>
      </c>
      <c r="S93" s="31">
        <v>1466169</v>
      </c>
      <c r="T93" s="30">
        <v>83.37</v>
      </c>
      <c r="U93" s="30">
        <v>1758685</v>
      </c>
    </row>
    <row r="94" spans="1:21" x14ac:dyDescent="0.2">
      <c r="A94" s="1" t="s">
        <v>25</v>
      </c>
      <c r="B94" s="6" t="s">
        <v>26</v>
      </c>
      <c r="C94" s="7" t="s">
        <v>16</v>
      </c>
      <c r="D94" s="7" t="s">
        <v>23</v>
      </c>
      <c r="E94" s="7">
        <v>1</v>
      </c>
      <c r="F94" s="8" t="s">
        <v>80</v>
      </c>
      <c r="G94" s="8" t="s">
        <v>76</v>
      </c>
      <c r="H94" s="7" t="s">
        <v>24</v>
      </c>
      <c r="I94" s="9" t="s">
        <v>59</v>
      </c>
      <c r="J94" s="9">
        <v>1</v>
      </c>
      <c r="K94" s="7">
        <v>322</v>
      </c>
      <c r="L94" s="10">
        <v>0</v>
      </c>
      <c r="M94" s="11">
        <v>5120000</v>
      </c>
      <c r="N94" s="10">
        <f t="shared" si="5"/>
        <v>153600</v>
      </c>
      <c r="O94" s="10">
        <f t="shared" si="6"/>
        <v>5906432.0000000009</v>
      </c>
      <c r="P94" s="29">
        <v>74793</v>
      </c>
      <c r="Q94" s="30">
        <v>4.25</v>
      </c>
      <c r="R94" s="31">
        <v>1758685</v>
      </c>
      <c r="S94" s="31">
        <v>299114</v>
      </c>
      <c r="T94" s="30">
        <v>17.010000000000002</v>
      </c>
      <c r="U94" s="30">
        <v>1758685</v>
      </c>
    </row>
    <row r="95" spans="1:21" x14ac:dyDescent="0.2">
      <c r="A95" s="1" t="s">
        <v>25</v>
      </c>
      <c r="B95" s="6" t="s">
        <v>26</v>
      </c>
      <c r="C95" s="7" t="s">
        <v>16</v>
      </c>
      <c r="D95" s="7" t="s">
        <v>45</v>
      </c>
      <c r="E95" s="7">
        <v>1</v>
      </c>
      <c r="F95" s="8" t="s">
        <v>80</v>
      </c>
      <c r="G95" s="8" t="s">
        <v>76</v>
      </c>
      <c r="H95" s="7" t="s">
        <v>24</v>
      </c>
      <c r="I95" s="9" t="s">
        <v>68</v>
      </c>
      <c r="J95" s="9">
        <v>1</v>
      </c>
      <c r="K95" s="7">
        <v>560</v>
      </c>
      <c r="L95" s="10">
        <v>0</v>
      </c>
      <c r="M95" s="11">
        <v>7600000</v>
      </c>
      <c r="N95" s="10">
        <f t="shared" si="5"/>
        <v>228000</v>
      </c>
      <c r="O95" s="10">
        <f t="shared" si="6"/>
        <v>8767360</v>
      </c>
      <c r="P95" s="29">
        <v>629425</v>
      </c>
      <c r="Q95" s="30">
        <v>35.79</v>
      </c>
      <c r="R95" s="31">
        <v>1758685</v>
      </c>
      <c r="S95" s="31">
        <v>558869</v>
      </c>
      <c r="T95" s="30">
        <v>31.78</v>
      </c>
      <c r="U95" s="30">
        <v>1758685</v>
      </c>
    </row>
    <row r="96" spans="1:21" x14ac:dyDescent="0.2">
      <c r="A96" s="1" t="s">
        <v>25</v>
      </c>
      <c r="B96" s="6" t="s">
        <v>26</v>
      </c>
      <c r="C96" s="7" t="s">
        <v>16</v>
      </c>
      <c r="D96" s="7" t="s">
        <v>46</v>
      </c>
      <c r="E96" s="7">
        <v>1</v>
      </c>
      <c r="F96" s="8" t="s">
        <v>80</v>
      </c>
      <c r="G96" s="8" t="s">
        <v>76</v>
      </c>
      <c r="H96" s="7" t="s">
        <v>24</v>
      </c>
      <c r="I96" s="9" t="s">
        <v>69</v>
      </c>
      <c r="J96" s="9">
        <v>1</v>
      </c>
      <c r="K96" s="7">
        <v>246</v>
      </c>
      <c r="L96" s="10">
        <v>0</v>
      </c>
      <c r="M96" s="11">
        <v>16174800</v>
      </c>
      <c r="N96" s="10">
        <f t="shared" si="5"/>
        <v>485244</v>
      </c>
      <c r="O96" s="10">
        <f t="shared" si="6"/>
        <v>18659249.280000001</v>
      </c>
      <c r="P96" s="29">
        <v>703104</v>
      </c>
      <c r="Q96" s="30">
        <v>39.979999999999997</v>
      </c>
      <c r="R96" s="31">
        <v>1758685</v>
      </c>
      <c r="S96" s="31">
        <v>1011328</v>
      </c>
      <c r="T96" s="30">
        <v>57.5</v>
      </c>
      <c r="U96" s="30">
        <v>1758685</v>
      </c>
    </row>
    <row r="97" spans="1:21" x14ac:dyDescent="0.2">
      <c r="A97" s="1" t="s">
        <v>25</v>
      </c>
      <c r="B97" s="6" t="s">
        <v>26</v>
      </c>
      <c r="C97" s="7" t="s">
        <v>16</v>
      </c>
      <c r="D97" s="7" t="s">
        <v>47</v>
      </c>
      <c r="E97" s="7">
        <v>1</v>
      </c>
      <c r="F97" s="8" t="s">
        <v>80</v>
      </c>
      <c r="G97" s="8" t="s">
        <v>76</v>
      </c>
      <c r="H97" s="7" t="s">
        <v>24</v>
      </c>
      <c r="I97" s="9" t="s">
        <v>59</v>
      </c>
      <c r="J97" s="9">
        <v>1</v>
      </c>
      <c r="K97" s="7">
        <v>322</v>
      </c>
      <c r="L97" s="10">
        <v>0</v>
      </c>
      <c r="M97" s="11">
        <v>5920000</v>
      </c>
      <c r="N97" s="10">
        <f t="shared" si="5"/>
        <v>177600</v>
      </c>
      <c r="O97" s="10">
        <f t="shared" si="6"/>
        <v>6829312.0000000009</v>
      </c>
      <c r="P97" s="29">
        <v>107468</v>
      </c>
      <c r="Q97" s="30">
        <v>6.11</v>
      </c>
      <c r="R97" s="31">
        <v>1758685</v>
      </c>
      <c r="S97" s="31">
        <v>87957</v>
      </c>
      <c r="T97" s="30">
        <v>5</v>
      </c>
      <c r="U97" s="30">
        <v>1758685</v>
      </c>
    </row>
    <row r="98" spans="1:21" x14ac:dyDescent="0.2">
      <c r="A98" s="1" t="s">
        <v>25</v>
      </c>
      <c r="B98" s="4" t="s">
        <v>26</v>
      </c>
      <c r="C98" s="12" t="s">
        <v>56</v>
      </c>
      <c r="D98" s="12" t="s">
        <v>82</v>
      </c>
      <c r="E98" s="7">
        <v>1</v>
      </c>
      <c r="F98" s="8" t="s">
        <v>80</v>
      </c>
      <c r="G98" s="8" t="s">
        <v>76</v>
      </c>
      <c r="H98" s="7" t="s">
        <v>24</v>
      </c>
      <c r="I98" s="9" t="s">
        <v>63</v>
      </c>
      <c r="J98" s="9">
        <v>1</v>
      </c>
      <c r="K98" s="12">
        <v>397</v>
      </c>
      <c r="L98" s="10">
        <v>0</v>
      </c>
      <c r="M98" s="11">
        <v>3307500</v>
      </c>
      <c r="N98" s="10">
        <f t="shared" si="5"/>
        <v>99225</v>
      </c>
      <c r="O98" s="10">
        <f t="shared" si="6"/>
        <v>3815532.0000000005</v>
      </c>
      <c r="P98" s="29">
        <v>113463</v>
      </c>
      <c r="Q98" s="30">
        <v>46.98</v>
      </c>
      <c r="R98" s="31">
        <v>241528</v>
      </c>
      <c r="S98" s="31">
        <v>121164</v>
      </c>
      <c r="T98" s="30">
        <v>50.17</v>
      </c>
      <c r="U98" s="30">
        <v>241528</v>
      </c>
    </row>
    <row r="99" spans="1:21" x14ac:dyDescent="0.2">
      <c r="A99" s="1" t="s">
        <v>25</v>
      </c>
      <c r="B99" s="4" t="s">
        <v>26</v>
      </c>
      <c r="C99" s="12" t="s">
        <v>56</v>
      </c>
      <c r="D99" s="12" t="s">
        <v>83</v>
      </c>
      <c r="E99" s="7">
        <v>1</v>
      </c>
      <c r="F99" s="8" t="s">
        <v>80</v>
      </c>
      <c r="G99" s="8" t="s">
        <v>76</v>
      </c>
      <c r="H99" s="7" t="s">
        <v>24</v>
      </c>
      <c r="I99" s="9" t="s">
        <v>63</v>
      </c>
      <c r="J99" s="9">
        <v>1</v>
      </c>
      <c r="K99" s="12">
        <v>329</v>
      </c>
      <c r="L99" s="10">
        <v>0</v>
      </c>
      <c r="M99" s="11">
        <v>3307500</v>
      </c>
      <c r="N99" s="10">
        <f t="shared" si="5"/>
        <v>99225</v>
      </c>
      <c r="O99" s="10">
        <f t="shared" si="6"/>
        <v>3815532.0000000005</v>
      </c>
      <c r="P99" s="29">
        <v>52062</v>
      </c>
      <c r="Q99" s="30">
        <v>21.56</v>
      </c>
      <c r="R99" s="31">
        <v>241528</v>
      </c>
      <c r="S99" s="31">
        <v>57269</v>
      </c>
      <c r="T99" s="30">
        <v>23.71</v>
      </c>
      <c r="U99" s="30">
        <v>241528</v>
      </c>
    </row>
    <row r="100" spans="1:21" x14ac:dyDescent="0.2">
      <c r="A100" s="1" t="s">
        <v>25</v>
      </c>
      <c r="B100" s="4" t="s">
        <v>26</v>
      </c>
      <c r="C100" s="12" t="s">
        <v>56</v>
      </c>
      <c r="D100" s="12" t="s">
        <v>84</v>
      </c>
      <c r="E100" s="7">
        <v>1</v>
      </c>
      <c r="F100" s="8" t="s">
        <v>80</v>
      </c>
      <c r="G100" s="8" t="s">
        <v>76</v>
      </c>
      <c r="H100" s="7" t="s">
        <v>24</v>
      </c>
      <c r="I100" s="9" t="s">
        <v>70</v>
      </c>
      <c r="J100" s="9">
        <v>1</v>
      </c>
      <c r="K100" s="12">
        <v>338</v>
      </c>
      <c r="L100" s="10">
        <v>0</v>
      </c>
      <c r="M100" s="11">
        <v>6105000</v>
      </c>
      <c r="N100" s="10">
        <f t="shared" si="5"/>
        <v>183150</v>
      </c>
      <c r="O100" s="10">
        <f t="shared" si="6"/>
        <v>7042728.0000000009</v>
      </c>
      <c r="P100" s="29">
        <v>84650</v>
      </c>
      <c r="Q100" s="30">
        <v>35.049999999999997</v>
      </c>
      <c r="R100" s="31">
        <v>241528</v>
      </c>
      <c r="S100" s="31">
        <v>93116</v>
      </c>
      <c r="T100" s="30">
        <v>38.549999999999997</v>
      </c>
      <c r="U100" s="30">
        <v>241528</v>
      </c>
    </row>
    <row r="101" spans="1:21" x14ac:dyDescent="0.2">
      <c r="A101" s="1" t="s">
        <v>25</v>
      </c>
      <c r="B101" s="4" t="s">
        <v>26</v>
      </c>
      <c r="C101" s="12" t="s">
        <v>56</v>
      </c>
      <c r="D101" s="12" t="s">
        <v>85</v>
      </c>
      <c r="E101" s="7">
        <v>1</v>
      </c>
      <c r="F101" s="8" t="s">
        <v>80</v>
      </c>
      <c r="G101" s="8" t="s">
        <v>76</v>
      </c>
      <c r="H101" s="7" t="s">
        <v>24</v>
      </c>
      <c r="I101" s="9" t="s">
        <v>63</v>
      </c>
      <c r="J101" s="9">
        <v>1</v>
      </c>
      <c r="K101" s="12">
        <v>480</v>
      </c>
      <c r="L101" s="10">
        <v>0</v>
      </c>
      <c r="M101" s="11">
        <v>3307500</v>
      </c>
      <c r="N101" s="10">
        <f t="shared" si="5"/>
        <v>99225</v>
      </c>
      <c r="O101" s="10">
        <f t="shared" si="6"/>
        <v>3815532.0000000005</v>
      </c>
      <c r="P101" s="29">
        <v>52149</v>
      </c>
      <c r="Q101" s="30">
        <v>21.59</v>
      </c>
      <c r="R101" s="31">
        <v>241528</v>
      </c>
      <c r="S101" s="31">
        <v>57369</v>
      </c>
      <c r="T101" s="30">
        <v>23.75</v>
      </c>
      <c r="U101" s="30">
        <v>241528</v>
      </c>
    </row>
    <row r="102" spans="1:21" x14ac:dyDescent="0.2">
      <c r="A102" s="1" t="s">
        <v>25</v>
      </c>
      <c r="B102" s="4" t="s">
        <v>26</v>
      </c>
      <c r="C102" s="12" t="s">
        <v>56</v>
      </c>
      <c r="D102" s="12" t="s">
        <v>86</v>
      </c>
      <c r="E102" s="7">
        <v>1</v>
      </c>
      <c r="F102" s="8" t="s">
        <v>80</v>
      </c>
      <c r="G102" s="8" t="s">
        <v>76</v>
      </c>
      <c r="H102" s="7" t="s">
        <v>24</v>
      </c>
      <c r="I102" s="9" t="s">
        <v>63</v>
      </c>
      <c r="J102" s="9">
        <v>1</v>
      </c>
      <c r="K102" s="12">
        <v>426</v>
      </c>
      <c r="L102" s="10">
        <v>0</v>
      </c>
      <c r="M102" s="11">
        <v>3307500</v>
      </c>
      <c r="N102" s="10">
        <f t="shared" si="5"/>
        <v>99225</v>
      </c>
      <c r="O102" s="10">
        <f t="shared" si="6"/>
        <v>3815532.0000000005</v>
      </c>
      <c r="P102" s="29">
        <v>47156</v>
      </c>
      <c r="Q102" s="30">
        <v>19.52</v>
      </c>
      <c r="R102" s="31">
        <v>241528</v>
      </c>
      <c r="S102" s="31">
        <v>51875</v>
      </c>
      <c r="T102" s="30">
        <v>21.48</v>
      </c>
      <c r="U102" s="30">
        <v>241528</v>
      </c>
    </row>
    <row r="103" spans="1:21" x14ac:dyDescent="0.2">
      <c r="A103" s="1" t="s">
        <v>25</v>
      </c>
      <c r="B103" s="4" t="s">
        <v>26</v>
      </c>
      <c r="C103" s="12" t="s">
        <v>87</v>
      </c>
      <c r="D103" s="12" t="s">
        <v>48</v>
      </c>
      <c r="E103" s="7">
        <v>1</v>
      </c>
      <c r="F103" s="8" t="s">
        <v>80</v>
      </c>
      <c r="G103" s="8" t="s">
        <v>76</v>
      </c>
      <c r="H103" s="7" t="s">
        <v>24</v>
      </c>
      <c r="I103" s="9" t="s">
        <v>59</v>
      </c>
      <c r="J103" s="9">
        <v>1</v>
      </c>
      <c r="K103" s="12">
        <v>480</v>
      </c>
      <c r="L103" s="10">
        <v>0</v>
      </c>
      <c r="M103" s="11">
        <v>3307500</v>
      </c>
      <c r="N103" s="10">
        <f t="shared" si="5"/>
        <v>99225</v>
      </c>
      <c r="O103" s="10">
        <f t="shared" si="6"/>
        <v>3815532.0000000005</v>
      </c>
      <c r="P103" s="29">
        <v>32132</v>
      </c>
      <c r="Q103" s="30">
        <v>20.94</v>
      </c>
      <c r="R103" s="31">
        <v>153437</v>
      </c>
      <c r="S103" s="31">
        <v>35345</v>
      </c>
      <c r="T103" s="30">
        <v>23.04</v>
      </c>
      <c r="U103" s="30">
        <v>153437</v>
      </c>
    </row>
    <row r="104" spans="1:21" x14ac:dyDescent="0.2">
      <c r="A104" s="1" t="s">
        <v>25</v>
      </c>
      <c r="B104" s="4" t="s">
        <v>26</v>
      </c>
      <c r="C104" s="12" t="s">
        <v>87</v>
      </c>
      <c r="D104" s="12" t="s">
        <v>88</v>
      </c>
      <c r="E104" s="7">
        <v>1</v>
      </c>
      <c r="F104" s="8" t="s">
        <v>80</v>
      </c>
      <c r="G104" s="8" t="s">
        <v>76</v>
      </c>
      <c r="H104" s="7" t="s">
        <v>24</v>
      </c>
      <c r="I104" s="9" t="s">
        <v>71</v>
      </c>
      <c r="J104" s="9">
        <v>1</v>
      </c>
      <c r="K104" s="12">
        <v>410</v>
      </c>
      <c r="L104" s="10">
        <v>0</v>
      </c>
      <c r="M104" s="11">
        <v>5180000</v>
      </c>
      <c r="N104" s="10">
        <f t="shared" si="5"/>
        <v>155400</v>
      </c>
      <c r="O104" s="10">
        <f t="shared" si="6"/>
        <v>5975648.0000000009</v>
      </c>
      <c r="P104" s="29">
        <v>24933</v>
      </c>
      <c r="Q104" s="30">
        <v>16.25</v>
      </c>
      <c r="R104" s="31">
        <v>153437</v>
      </c>
      <c r="S104" s="31">
        <v>27425</v>
      </c>
      <c r="T104" s="30">
        <v>17.87</v>
      </c>
      <c r="U104" s="30">
        <v>153437</v>
      </c>
    </row>
    <row r="105" spans="1:21" x14ac:dyDescent="0.2">
      <c r="A105" s="1" t="s">
        <v>25</v>
      </c>
      <c r="B105" s="4" t="s">
        <v>26</v>
      </c>
      <c r="C105" s="12" t="s">
        <v>87</v>
      </c>
      <c r="D105" s="12" t="s">
        <v>89</v>
      </c>
      <c r="E105" s="7">
        <v>1</v>
      </c>
      <c r="F105" s="8" t="s">
        <v>80</v>
      </c>
      <c r="G105" s="8" t="s">
        <v>76</v>
      </c>
      <c r="H105" s="7" t="s">
        <v>24</v>
      </c>
      <c r="I105" s="9" t="s">
        <v>64</v>
      </c>
      <c r="J105" s="9">
        <v>1</v>
      </c>
      <c r="K105" s="12">
        <v>480</v>
      </c>
      <c r="L105" s="10">
        <v>0</v>
      </c>
      <c r="M105" s="11">
        <v>3307500</v>
      </c>
      <c r="N105" s="10">
        <f t="shared" si="5"/>
        <v>99225</v>
      </c>
      <c r="O105" s="10">
        <f t="shared" si="6"/>
        <v>3815532.0000000005</v>
      </c>
      <c r="P105" s="29">
        <v>73421</v>
      </c>
      <c r="Q105" s="30">
        <v>47.85</v>
      </c>
      <c r="R105" s="31">
        <v>153437</v>
      </c>
      <c r="S105" s="31">
        <v>80765</v>
      </c>
      <c r="T105" s="30">
        <v>52.64</v>
      </c>
      <c r="U105" s="30">
        <v>153437</v>
      </c>
    </row>
    <row r="106" spans="1:21" x14ac:dyDescent="0.2">
      <c r="A106" s="1" t="s">
        <v>25</v>
      </c>
      <c r="B106" s="4" t="s">
        <v>26</v>
      </c>
      <c r="C106" s="12" t="s">
        <v>87</v>
      </c>
      <c r="D106" s="12" t="s">
        <v>90</v>
      </c>
      <c r="E106" s="7">
        <v>1</v>
      </c>
      <c r="F106" s="8" t="s">
        <v>80</v>
      </c>
      <c r="G106" s="8" t="s">
        <v>76</v>
      </c>
      <c r="H106" s="7" t="s">
        <v>24</v>
      </c>
      <c r="I106" s="9" t="s">
        <v>64</v>
      </c>
      <c r="J106" s="9">
        <v>1</v>
      </c>
      <c r="K106" s="12">
        <v>320</v>
      </c>
      <c r="L106" s="10">
        <v>0</v>
      </c>
      <c r="M106" s="11">
        <v>3307500</v>
      </c>
      <c r="N106" s="10">
        <f t="shared" si="5"/>
        <v>99225</v>
      </c>
      <c r="O106" s="10">
        <f t="shared" si="6"/>
        <v>3815532.0000000005</v>
      </c>
      <c r="P106" s="29">
        <v>50242</v>
      </c>
      <c r="Q106" s="30">
        <v>32.74</v>
      </c>
      <c r="R106" s="31">
        <v>153437</v>
      </c>
      <c r="S106" s="31">
        <v>55266</v>
      </c>
      <c r="T106" s="30">
        <v>36.020000000000003</v>
      </c>
      <c r="U106" s="30">
        <v>153437</v>
      </c>
    </row>
    <row r="107" spans="1:21" x14ac:dyDescent="0.2">
      <c r="A107" s="1" t="s">
        <v>25</v>
      </c>
      <c r="B107" s="4" t="s">
        <v>26</v>
      </c>
      <c r="C107" s="12" t="s">
        <v>87</v>
      </c>
      <c r="D107" s="12" t="s">
        <v>91</v>
      </c>
      <c r="E107" s="7">
        <v>1</v>
      </c>
      <c r="F107" s="8" t="s">
        <v>80</v>
      </c>
      <c r="G107" s="8" t="s">
        <v>76</v>
      </c>
      <c r="H107" s="7" t="s">
        <v>24</v>
      </c>
      <c r="I107" s="9" t="s">
        <v>63</v>
      </c>
      <c r="J107" s="9">
        <v>1</v>
      </c>
      <c r="K107" s="12">
        <v>303</v>
      </c>
      <c r="L107" s="10">
        <v>0</v>
      </c>
      <c r="M107" s="11">
        <v>3307500</v>
      </c>
      <c r="N107" s="10">
        <f t="shared" si="5"/>
        <v>99225</v>
      </c>
      <c r="O107" s="10">
        <f t="shared" si="6"/>
        <v>3815532.0000000005</v>
      </c>
      <c r="P107" s="29">
        <v>89101</v>
      </c>
      <c r="Q107" s="30">
        <v>58.07</v>
      </c>
      <c r="R107" s="31">
        <v>153437</v>
      </c>
      <c r="S107" s="31">
        <v>98013</v>
      </c>
      <c r="T107" s="30">
        <v>63.88</v>
      </c>
      <c r="U107" s="30">
        <v>153437</v>
      </c>
    </row>
    <row r="108" spans="1:21" x14ac:dyDescent="0.2">
      <c r="A108" s="1" t="s">
        <v>25</v>
      </c>
      <c r="B108" s="4" t="s">
        <v>26</v>
      </c>
      <c r="C108" s="12" t="s">
        <v>87</v>
      </c>
      <c r="D108" s="12" t="s">
        <v>49</v>
      </c>
      <c r="E108" s="7">
        <v>1</v>
      </c>
      <c r="F108" s="8" t="s">
        <v>80</v>
      </c>
      <c r="G108" s="8" t="s">
        <v>76</v>
      </c>
      <c r="H108" s="7" t="s">
        <v>24</v>
      </c>
      <c r="I108" s="9" t="s">
        <v>59</v>
      </c>
      <c r="J108" s="9">
        <v>1</v>
      </c>
      <c r="K108" s="12">
        <v>240</v>
      </c>
      <c r="L108" s="10">
        <v>0</v>
      </c>
      <c r="M108" s="11">
        <v>3307500</v>
      </c>
      <c r="N108" s="10">
        <f t="shared" si="5"/>
        <v>99225</v>
      </c>
      <c r="O108" s="10">
        <f t="shared" si="6"/>
        <v>3815532.0000000005</v>
      </c>
      <c r="P108" s="29">
        <v>50155</v>
      </c>
      <c r="Q108" s="30">
        <v>32.69</v>
      </c>
      <c r="R108" s="31">
        <v>153437</v>
      </c>
      <c r="S108" s="31">
        <v>55175</v>
      </c>
      <c r="T108" s="30">
        <v>35.96</v>
      </c>
      <c r="U108" s="30">
        <v>153437</v>
      </c>
    </row>
    <row r="109" spans="1:21" x14ac:dyDescent="0.2">
      <c r="A109" s="1" t="s">
        <v>25</v>
      </c>
      <c r="B109" s="4" t="s">
        <v>26</v>
      </c>
      <c r="C109" s="12" t="s">
        <v>87</v>
      </c>
      <c r="D109" s="12" t="s">
        <v>92</v>
      </c>
      <c r="E109" s="7">
        <v>1</v>
      </c>
      <c r="F109" s="8" t="s">
        <v>80</v>
      </c>
      <c r="G109" s="8" t="s">
        <v>76</v>
      </c>
      <c r="H109" s="7" t="s">
        <v>24</v>
      </c>
      <c r="I109" s="9" t="s">
        <v>59</v>
      </c>
      <c r="J109" s="9">
        <v>1</v>
      </c>
      <c r="K109" s="12">
        <v>384</v>
      </c>
      <c r="L109" s="10">
        <v>0</v>
      </c>
      <c r="M109" s="11">
        <v>3307500</v>
      </c>
      <c r="N109" s="10">
        <f t="shared" si="5"/>
        <v>99225</v>
      </c>
      <c r="O109" s="10">
        <f t="shared" si="6"/>
        <v>3815532.0000000005</v>
      </c>
      <c r="P109" s="29">
        <v>26935</v>
      </c>
      <c r="Q109" s="30">
        <v>17.55</v>
      </c>
      <c r="R109" s="31">
        <v>153437</v>
      </c>
      <c r="S109" s="31">
        <v>29628</v>
      </c>
      <c r="T109" s="30">
        <v>19.309999999999999</v>
      </c>
      <c r="U109" s="30">
        <v>153437</v>
      </c>
    </row>
    <row r="110" spans="1:21" x14ac:dyDescent="0.2">
      <c r="A110" s="1" t="s">
        <v>25</v>
      </c>
      <c r="B110" s="4" t="s">
        <v>26</v>
      </c>
      <c r="C110" s="7" t="s">
        <v>57</v>
      </c>
      <c r="D110" s="7" t="s">
        <v>50</v>
      </c>
      <c r="E110" s="7">
        <v>1</v>
      </c>
      <c r="F110" s="8" t="s">
        <v>80</v>
      </c>
      <c r="G110" s="8" t="s">
        <v>76</v>
      </c>
      <c r="H110" s="7" t="s">
        <v>24</v>
      </c>
      <c r="I110" s="9" t="s">
        <v>63</v>
      </c>
      <c r="J110" s="9">
        <v>1</v>
      </c>
      <c r="K110" s="12">
        <v>384</v>
      </c>
      <c r="L110" s="10">
        <v>0</v>
      </c>
      <c r="M110" s="11">
        <v>3307500</v>
      </c>
      <c r="N110" s="10">
        <f t="shared" si="5"/>
        <v>99225</v>
      </c>
      <c r="O110" s="10">
        <f t="shared" si="6"/>
        <v>3815532.0000000005</v>
      </c>
      <c r="P110" s="29">
        <v>29163</v>
      </c>
      <c r="Q110" s="30">
        <v>25.41</v>
      </c>
      <c r="R110" s="31">
        <v>114749</v>
      </c>
      <c r="S110" s="31">
        <v>32083</v>
      </c>
      <c r="T110" s="30">
        <v>27.96</v>
      </c>
      <c r="U110" s="30">
        <v>114749</v>
      </c>
    </row>
    <row r="111" spans="1:21" x14ac:dyDescent="0.2">
      <c r="A111" s="1" t="s">
        <v>25</v>
      </c>
      <c r="B111" s="4" t="s">
        <v>26</v>
      </c>
      <c r="C111" s="7" t="s">
        <v>57</v>
      </c>
      <c r="D111" s="7" t="s">
        <v>51</v>
      </c>
      <c r="E111" s="7">
        <v>1</v>
      </c>
      <c r="F111" s="8" t="s">
        <v>80</v>
      </c>
      <c r="G111" s="8" t="s">
        <v>76</v>
      </c>
      <c r="H111" s="7" t="s">
        <v>24</v>
      </c>
      <c r="I111" s="9" t="s">
        <v>63</v>
      </c>
      <c r="J111" s="9">
        <v>1</v>
      </c>
      <c r="K111" s="12">
        <v>411</v>
      </c>
      <c r="L111" s="10">
        <v>0</v>
      </c>
      <c r="M111" s="11">
        <v>3307500</v>
      </c>
      <c r="N111" s="10">
        <f t="shared" si="5"/>
        <v>99225</v>
      </c>
      <c r="O111" s="10">
        <f t="shared" si="6"/>
        <v>3815532.0000000005</v>
      </c>
      <c r="P111" s="29">
        <v>24070</v>
      </c>
      <c r="Q111" s="30">
        <v>20.98</v>
      </c>
      <c r="R111" s="31">
        <v>114749</v>
      </c>
      <c r="S111" s="31">
        <v>26481</v>
      </c>
      <c r="T111" s="30">
        <v>23.08</v>
      </c>
      <c r="U111" s="30">
        <v>114749</v>
      </c>
    </row>
    <row r="112" spans="1:21" x14ac:dyDescent="0.2">
      <c r="A112" s="1" t="s">
        <v>25</v>
      </c>
      <c r="B112" s="4" t="s">
        <v>26</v>
      </c>
      <c r="C112" s="7" t="s">
        <v>57</v>
      </c>
      <c r="D112" s="7" t="s">
        <v>52</v>
      </c>
      <c r="E112" s="7">
        <v>1</v>
      </c>
      <c r="F112" s="8" t="s">
        <v>80</v>
      </c>
      <c r="G112" s="8" t="s">
        <v>76</v>
      </c>
      <c r="H112" s="7" t="s">
        <v>24</v>
      </c>
      <c r="I112" s="9" t="s">
        <v>63</v>
      </c>
      <c r="J112" s="9">
        <v>1</v>
      </c>
      <c r="K112" s="12">
        <v>339</v>
      </c>
      <c r="L112" s="10">
        <v>0</v>
      </c>
      <c r="M112" s="11">
        <v>3307500</v>
      </c>
      <c r="N112" s="10">
        <f t="shared" si="5"/>
        <v>99225</v>
      </c>
      <c r="O112" s="10">
        <f t="shared" si="6"/>
        <v>3815532.0000000005</v>
      </c>
      <c r="P112" s="29">
        <v>35694</v>
      </c>
      <c r="Q112" s="30">
        <v>31.11</v>
      </c>
      <c r="R112" s="31">
        <v>114749</v>
      </c>
      <c r="S112" s="31">
        <v>39267</v>
      </c>
      <c r="T112" s="30">
        <v>34.22</v>
      </c>
      <c r="U112" s="30">
        <v>114749</v>
      </c>
    </row>
    <row r="113" spans="1:21" x14ac:dyDescent="0.2">
      <c r="A113" s="1" t="s">
        <v>25</v>
      </c>
      <c r="B113" s="4" t="s">
        <v>26</v>
      </c>
      <c r="C113" s="7" t="s">
        <v>57</v>
      </c>
      <c r="D113" s="7" t="s">
        <v>53</v>
      </c>
      <c r="E113" s="7">
        <v>1</v>
      </c>
      <c r="F113" s="8" t="s">
        <v>80</v>
      </c>
      <c r="G113" s="8" t="s">
        <v>76</v>
      </c>
      <c r="H113" s="7" t="s">
        <v>24</v>
      </c>
      <c r="I113" s="9" t="s">
        <v>63</v>
      </c>
      <c r="J113" s="9">
        <v>1</v>
      </c>
      <c r="K113" s="12">
        <v>443</v>
      </c>
      <c r="L113" s="10">
        <v>0</v>
      </c>
      <c r="M113" s="11">
        <v>3307500</v>
      </c>
      <c r="N113" s="10">
        <f t="shared" si="5"/>
        <v>99225</v>
      </c>
      <c r="O113" s="10">
        <f t="shared" si="6"/>
        <v>3815532.0000000005</v>
      </c>
      <c r="P113" s="29">
        <v>31031</v>
      </c>
      <c r="Q113" s="30">
        <v>27.04</v>
      </c>
      <c r="R113" s="31">
        <v>114749</v>
      </c>
      <c r="S113" s="31">
        <v>34137</v>
      </c>
      <c r="T113" s="30">
        <v>29.75</v>
      </c>
      <c r="U113" s="30">
        <v>114749</v>
      </c>
    </row>
    <row r="114" spans="1:21" x14ac:dyDescent="0.2">
      <c r="A114" s="1" t="s">
        <v>25</v>
      </c>
      <c r="B114" s="4" t="s">
        <v>26</v>
      </c>
      <c r="C114" s="7" t="s">
        <v>57</v>
      </c>
      <c r="D114" s="7" t="s">
        <v>54</v>
      </c>
      <c r="E114" s="7">
        <v>1</v>
      </c>
      <c r="F114" s="8" t="s">
        <v>80</v>
      </c>
      <c r="G114" s="8" t="s">
        <v>76</v>
      </c>
      <c r="H114" s="7" t="s">
        <v>24</v>
      </c>
      <c r="I114" s="9" t="s">
        <v>63</v>
      </c>
      <c r="J114" s="9">
        <v>1</v>
      </c>
      <c r="K114" s="12">
        <v>524</v>
      </c>
      <c r="L114" s="10">
        <v>0</v>
      </c>
      <c r="M114" s="11">
        <v>3307500</v>
      </c>
      <c r="N114" s="10">
        <f t="shared" si="5"/>
        <v>99225</v>
      </c>
      <c r="O114" s="10">
        <f t="shared" si="6"/>
        <v>3815532.0000000005</v>
      </c>
      <c r="P114" s="29">
        <v>22070</v>
      </c>
      <c r="Q114" s="30">
        <v>19.23</v>
      </c>
      <c r="R114" s="31">
        <v>114749</v>
      </c>
      <c r="S114" s="31">
        <v>24276</v>
      </c>
      <c r="T114" s="30">
        <v>21.16</v>
      </c>
      <c r="U114" s="30">
        <v>114749</v>
      </c>
    </row>
    <row r="115" spans="1:21" x14ac:dyDescent="0.2">
      <c r="A115" s="1" t="s">
        <v>25</v>
      </c>
      <c r="B115" s="4" t="s">
        <v>26</v>
      </c>
      <c r="C115" s="7" t="s">
        <v>57</v>
      </c>
      <c r="D115" s="7" t="s">
        <v>55</v>
      </c>
      <c r="E115" s="7">
        <v>1</v>
      </c>
      <c r="F115" s="8" t="s">
        <v>80</v>
      </c>
      <c r="G115" s="8" t="s">
        <v>76</v>
      </c>
      <c r="H115" s="7" t="s">
        <v>24</v>
      </c>
      <c r="I115" s="9" t="s">
        <v>63</v>
      </c>
      <c r="J115" s="9">
        <v>1</v>
      </c>
      <c r="K115" s="12">
        <v>524</v>
      </c>
      <c r="L115" s="10">
        <v>0</v>
      </c>
      <c r="M115" s="11">
        <v>3307500</v>
      </c>
      <c r="N115" s="10">
        <f t="shared" si="5"/>
        <v>99225</v>
      </c>
      <c r="O115" s="10">
        <f t="shared" si="6"/>
        <v>3815532.0000000005</v>
      </c>
      <c r="P115" s="29">
        <v>21699</v>
      </c>
      <c r="Q115" s="30">
        <v>18.91</v>
      </c>
      <c r="R115" s="31">
        <v>114749</v>
      </c>
      <c r="S115" s="31">
        <v>23872</v>
      </c>
      <c r="T115" s="30">
        <v>20.8</v>
      </c>
      <c r="U115" s="30">
        <v>114749</v>
      </c>
    </row>
    <row r="116" spans="1:21" x14ac:dyDescent="0.2">
      <c r="A116" s="1" t="s">
        <v>25</v>
      </c>
      <c r="B116" s="4" t="s">
        <v>26</v>
      </c>
      <c r="C116" s="12" t="s">
        <v>58</v>
      </c>
      <c r="D116" s="12" t="s">
        <v>93</v>
      </c>
      <c r="E116" s="7">
        <v>1</v>
      </c>
      <c r="F116" s="8" t="s">
        <v>80</v>
      </c>
      <c r="G116" s="8" t="s">
        <v>76</v>
      </c>
      <c r="H116" s="7" t="s">
        <v>24</v>
      </c>
      <c r="I116" s="9" t="s">
        <v>63</v>
      </c>
      <c r="J116" s="9">
        <v>1</v>
      </c>
      <c r="K116" s="12">
        <v>480</v>
      </c>
      <c r="L116" s="10">
        <v>0</v>
      </c>
      <c r="M116" s="11">
        <v>3307500</v>
      </c>
      <c r="N116" s="10">
        <f t="shared" si="5"/>
        <v>99225</v>
      </c>
      <c r="O116" s="10">
        <f t="shared" si="6"/>
        <v>3815532.0000000005</v>
      </c>
      <c r="P116" s="29">
        <v>129211</v>
      </c>
      <c r="Q116" s="30">
        <v>37.58</v>
      </c>
      <c r="R116" s="31">
        <v>343814</v>
      </c>
      <c r="S116" s="31">
        <v>142134</v>
      </c>
      <c r="T116" s="30">
        <v>41.34</v>
      </c>
      <c r="U116" s="30">
        <v>343814</v>
      </c>
    </row>
    <row r="117" spans="1:21" x14ac:dyDescent="0.2">
      <c r="A117" s="1" t="s">
        <v>25</v>
      </c>
      <c r="B117" s="4" t="s">
        <v>26</v>
      </c>
      <c r="C117" s="12" t="s">
        <v>58</v>
      </c>
      <c r="D117" s="12" t="s">
        <v>94</v>
      </c>
      <c r="E117" s="7">
        <v>1</v>
      </c>
      <c r="F117" s="8" t="s">
        <v>80</v>
      </c>
      <c r="G117" s="8" t="s">
        <v>76</v>
      </c>
      <c r="H117" s="7" t="s">
        <v>24</v>
      </c>
      <c r="I117" s="9" t="s">
        <v>63</v>
      </c>
      <c r="J117" s="9">
        <v>1</v>
      </c>
      <c r="K117" s="12">
        <v>411</v>
      </c>
      <c r="L117" s="10">
        <v>0</v>
      </c>
      <c r="M117" s="11">
        <v>3307500</v>
      </c>
      <c r="N117" s="10">
        <f t="shared" si="5"/>
        <v>99225</v>
      </c>
      <c r="O117" s="10">
        <f t="shared" si="6"/>
        <v>3815532.0000000005</v>
      </c>
      <c r="P117" s="29">
        <v>116122</v>
      </c>
      <c r="Q117" s="30">
        <v>33.770000000000003</v>
      </c>
      <c r="R117" s="31">
        <v>343814</v>
      </c>
      <c r="S117" s="31">
        <v>127735</v>
      </c>
      <c r="T117" s="30">
        <v>37.15</v>
      </c>
      <c r="U117" s="30">
        <v>343814</v>
      </c>
    </row>
    <row r="118" spans="1:21" x14ac:dyDescent="0.2">
      <c r="A118" s="1" t="s">
        <v>25</v>
      </c>
      <c r="B118" s="4" t="s">
        <v>26</v>
      </c>
      <c r="C118" s="12" t="s">
        <v>58</v>
      </c>
      <c r="D118" s="12" t="s">
        <v>95</v>
      </c>
      <c r="E118" s="7">
        <v>1</v>
      </c>
      <c r="F118" s="8" t="s">
        <v>80</v>
      </c>
      <c r="G118" s="8" t="s">
        <v>76</v>
      </c>
      <c r="H118" s="7" t="s">
        <v>24</v>
      </c>
      <c r="I118" s="9" t="s">
        <v>59</v>
      </c>
      <c r="J118" s="9">
        <v>1</v>
      </c>
      <c r="K118" s="12">
        <v>320</v>
      </c>
      <c r="L118" s="10">
        <v>0</v>
      </c>
      <c r="M118" s="11">
        <v>3307500</v>
      </c>
      <c r="N118" s="10">
        <f t="shared" si="5"/>
        <v>99225</v>
      </c>
      <c r="O118" s="10">
        <f t="shared" si="6"/>
        <v>3815532.0000000005</v>
      </c>
      <c r="P118" s="29">
        <v>142071</v>
      </c>
      <c r="Q118" s="30">
        <v>41.32</v>
      </c>
      <c r="R118" s="31">
        <v>343814</v>
      </c>
      <c r="S118" s="31">
        <v>156278</v>
      </c>
      <c r="T118" s="30">
        <v>45.45</v>
      </c>
      <c r="U118" s="30">
        <v>343814</v>
      </c>
    </row>
    <row r="119" spans="1:21" x14ac:dyDescent="0.2">
      <c r="A119" s="1" t="s">
        <v>25</v>
      </c>
      <c r="B119" s="4" t="s">
        <v>26</v>
      </c>
      <c r="C119" s="12" t="s">
        <v>58</v>
      </c>
      <c r="D119" s="12" t="s">
        <v>96</v>
      </c>
      <c r="E119" s="7">
        <v>1</v>
      </c>
      <c r="F119" s="8" t="s">
        <v>80</v>
      </c>
      <c r="G119" s="8" t="s">
        <v>76</v>
      </c>
      <c r="H119" s="7" t="s">
        <v>24</v>
      </c>
      <c r="I119" s="9" t="s">
        <v>59</v>
      </c>
      <c r="J119" s="9">
        <v>1</v>
      </c>
      <c r="K119" s="12">
        <v>288</v>
      </c>
      <c r="L119" s="10">
        <v>0</v>
      </c>
      <c r="M119" s="11">
        <v>3307500</v>
      </c>
      <c r="N119" s="10">
        <f t="shared" si="5"/>
        <v>99225</v>
      </c>
      <c r="O119" s="10">
        <f t="shared" si="6"/>
        <v>3815532.0000000005</v>
      </c>
      <c r="P119" s="29">
        <v>85507</v>
      </c>
      <c r="Q119" s="30">
        <v>24.87</v>
      </c>
      <c r="R119" s="31">
        <v>343814</v>
      </c>
      <c r="S119" s="31">
        <v>94063</v>
      </c>
      <c r="T119" s="30">
        <v>27.36</v>
      </c>
      <c r="U119" s="30">
        <v>343814</v>
      </c>
    </row>
    <row r="120" spans="1:21" x14ac:dyDescent="0.2">
      <c r="A120" s="1" t="s">
        <v>25</v>
      </c>
      <c r="B120" s="4" t="s">
        <v>26</v>
      </c>
      <c r="C120" s="12" t="s">
        <v>58</v>
      </c>
      <c r="D120" s="12" t="s">
        <v>97</v>
      </c>
      <c r="E120" s="7">
        <v>1</v>
      </c>
      <c r="F120" s="8" t="s">
        <v>80</v>
      </c>
      <c r="G120" s="8" t="s">
        <v>76</v>
      </c>
      <c r="H120" s="7" t="s">
        <v>24</v>
      </c>
      <c r="I120" s="9" t="s">
        <v>59</v>
      </c>
      <c r="J120" s="9">
        <v>1</v>
      </c>
      <c r="K120" s="12">
        <v>480</v>
      </c>
      <c r="L120" s="10">
        <v>0</v>
      </c>
      <c r="M120" s="11">
        <v>3307500</v>
      </c>
      <c r="N120" s="10">
        <f t="shared" si="5"/>
        <v>99225</v>
      </c>
      <c r="O120" s="10">
        <f t="shared" si="6"/>
        <v>3815532.0000000005</v>
      </c>
      <c r="P120" s="29">
        <v>96807</v>
      </c>
      <c r="Q120" s="30">
        <v>28.16</v>
      </c>
      <c r="R120" s="31">
        <v>343814</v>
      </c>
      <c r="S120" s="31">
        <v>106489</v>
      </c>
      <c r="T120" s="30">
        <v>30.97</v>
      </c>
      <c r="U120" s="30">
        <v>343814</v>
      </c>
    </row>
    <row r="121" spans="1:21" x14ac:dyDescent="0.2">
      <c r="A121" s="1" t="s">
        <v>25</v>
      </c>
      <c r="B121" s="4" t="s">
        <v>26</v>
      </c>
      <c r="C121" s="12" t="s">
        <v>98</v>
      </c>
      <c r="D121" s="12" t="s">
        <v>99</v>
      </c>
      <c r="E121" s="7">
        <v>1</v>
      </c>
      <c r="F121" s="8" t="s">
        <v>80</v>
      </c>
      <c r="G121" s="8" t="s">
        <v>76</v>
      </c>
      <c r="H121" s="7" t="s">
        <v>24</v>
      </c>
      <c r="I121" s="9" t="s">
        <v>59</v>
      </c>
      <c r="J121" s="9">
        <v>1</v>
      </c>
      <c r="K121" s="12">
        <v>288</v>
      </c>
      <c r="L121" s="10">
        <v>0</v>
      </c>
      <c r="M121" s="11">
        <v>3307500</v>
      </c>
      <c r="N121" s="10">
        <f t="shared" si="5"/>
        <v>99225</v>
      </c>
      <c r="O121" s="10">
        <f t="shared" si="6"/>
        <v>3815532.0000000005</v>
      </c>
      <c r="P121" s="29">
        <v>29091</v>
      </c>
      <c r="Q121" s="30">
        <v>20.87</v>
      </c>
      <c r="R121" s="31">
        <v>139360</v>
      </c>
      <c r="S121" s="31">
        <v>32003</v>
      </c>
      <c r="T121" s="30">
        <v>22.96</v>
      </c>
      <c r="U121" s="30">
        <v>139360</v>
      </c>
    </row>
    <row r="122" spans="1:21" x14ac:dyDescent="0.2">
      <c r="A122" s="1" t="s">
        <v>25</v>
      </c>
      <c r="B122" s="4" t="s">
        <v>26</v>
      </c>
      <c r="C122" s="12" t="s">
        <v>98</v>
      </c>
      <c r="D122" s="12" t="s">
        <v>100</v>
      </c>
      <c r="E122" s="7">
        <v>1</v>
      </c>
      <c r="F122" s="8" t="s">
        <v>80</v>
      </c>
      <c r="G122" s="8" t="s">
        <v>76</v>
      </c>
      <c r="H122" s="7" t="s">
        <v>24</v>
      </c>
      <c r="I122" s="9" t="s">
        <v>59</v>
      </c>
      <c r="J122" s="9">
        <v>1</v>
      </c>
      <c r="K122" s="12">
        <v>316</v>
      </c>
      <c r="L122" s="10">
        <v>0</v>
      </c>
      <c r="M122" s="11">
        <v>3307500</v>
      </c>
      <c r="N122" s="10">
        <f t="shared" si="5"/>
        <v>99225</v>
      </c>
      <c r="O122" s="10">
        <f t="shared" si="6"/>
        <v>3815532.0000000005</v>
      </c>
      <c r="P122" s="29">
        <v>43469</v>
      </c>
      <c r="Q122" s="30">
        <v>31.19</v>
      </c>
      <c r="R122" s="31">
        <v>139360</v>
      </c>
      <c r="S122" s="31">
        <v>47815</v>
      </c>
      <c r="T122" s="30">
        <v>34.31</v>
      </c>
      <c r="U122" s="30">
        <v>139360</v>
      </c>
    </row>
    <row r="123" spans="1:21" x14ac:dyDescent="0.2">
      <c r="A123" s="1" t="s">
        <v>25</v>
      </c>
      <c r="B123" s="4" t="s">
        <v>26</v>
      </c>
      <c r="C123" s="12" t="s">
        <v>98</v>
      </c>
      <c r="D123" s="12" t="s">
        <v>101</v>
      </c>
      <c r="E123" s="7">
        <v>1</v>
      </c>
      <c r="F123" s="8" t="s">
        <v>80</v>
      </c>
      <c r="G123" s="8" t="s">
        <v>76</v>
      </c>
      <c r="H123" s="7" t="s">
        <v>24</v>
      </c>
      <c r="I123" s="9" t="s">
        <v>59</v>
      </c>
      <c r="J123" s="9">
        <v>1</v>
      </c>
      <c r="K123" s="12">
        <v>307</v>
      </c>
      <c r="L123" s="10">
        <v>0</v>
      </c>
      <c r="M123" s="11">
        <v>3307500</v>
      </c>
      <c r="N123" s="10">
        <f t="shared" si="5"/>
        <v>99225</v>
      </c>
      <c r="O123" s="10">
        <f t="shared" si="6"/>
        <v>3815532.0000000005</v>
      </c>
      <c r="P123" s="29">
        <v>36325</v>
      </c>
      <c r="Q123" s="30">
        <v>26.07</v>
      </c>
      <c r="R123" s="31">
        <v>139360</v>
      </c>
      <c r="S123" s="31">
        <v>39960</v>
      </c>
      <c r="T123" s="30">
        <v>28.67</v>
      </c>
      <c r="U123" s="30">
        <v>139360</v>
      </c>
    </row>
    <row r="124" spans="1:21" x14ac:dyDescent="0.2">
      <c r="A124" s="1" t="s">
        <v>25</v>
      </c>
      <c r="B124" s="4" t="s">
        <v>26</v>
      </c>
      <c r="C124" s="12" t="s">
        <v>98</v>
      </c>
      <c r="D124" s="12" t="s">
        <v>102</v>
      </c>
      <c r="E124" s="7">
        <v>1</v>
      </c>
      <c r="F124" s="8" t="s">
        <v>80</v>
      </c>
      <c r="G124" s="8" t="s">
        <v>76</v>
      </c>
      <c r="H124" s="7" t="s">
        <v>24</v>
      </c>
      <c r="I124" s="9" t="s">
        <v>59</v>
      </c>
      <c r="J124" s="9">
        <v>1</v>
      </c>
      <c r="K124" s="12">
        <v>242</v>
      </c>
      <c r="L124" s="10">
        <v>0</v>
      </c>
      <c r="M124" s="11">
        <v>3307500</v>
      </c>
      <c r="N124" s="10">
        <f t="shared" si="5"/>
        <v>99225</v>
      </c>
      <c r="O124" s="10">
        <f t="shared" si="6"/>
        <v>3815532.0000000005</v>
      </c>
      <c r="P124" s="29">
        <v>40673</v>
      </c>
      <c r="Q124" s="30">
        <v>29.19</v>
      </c>
      <c r="R124" s="31">
        <v>139360</v>
      </c>
      <c r="S124" s="31">
        <v>44739</v>
      </c>
      <c r="T124" s="30">
        <v>32.1</v>
      </c>
      <c r="U124" s="30">
        <v>139360</v>
      </c>
    </row>
    <row r="125" spans="1:21" x14ac:dyDescent="0.2">
      <c r="A125" s="1" t="s">
        <v>25</v>
      </c>
      <c r="B125" s="4" t="s">
        <v>26</v>
      </c>
      <c r="C125" s="12" t="s">
        <v>103</v>
      </c>
      <c r="D125" s="12" t="s">
        <v>104</v>
      </c>
      <c r="E125" s="7">
        <v>1</v>
      </c>
      <c r="F125" s="8" t="s">
        <v>80</v>
      </c>
      <c r="G125" s="8" t="s">
        <v>76</v>
      </c>
      <c r="H125" s="7" t="s">
        <v>24</v>
      </c>
      <c r="I125" s="9" t="s">
        <v>64</v>
      </c>
      <c r="J125" s="9">
        <v>1</v>
      </c>
      <c r="K125" s="12">
        <v>216</v>
      </c>
      <c r="L125" s="10">
        <v>0</v>
      </c>
      <c r="M125" s="11">
        <v>3307500</v>
      </c>
      <c r="N125" s="10">
        <f t="shared" si="5"/>
        <v>99225</v>
      </c>
      <c r="O125" s="10">
        <f t="shared" si="6"/>
        <v>3815532.0000000005</v>
      </c>
      <c r="P125" s="29">
        <v>39152</v>
      </c>
      <c r="Q125" s="30">
        <v>27.53</v>
      </c>
      <c r="R125" s="31">
        <v>142197</v>
      </c>
      <c r="S125" s="31">
        <v>42928</v>
      </c>
      <c r="T125" s="30">
        <v>30.19</v>
      </c>
      <c r="U125" s="30">
        <v>142197</v>
      </c>
    </row>
    <row r="126" spans="1:21" x14ac:dyDescent="0.2">
      <c r="A126" s="1" t="s">
        <v>25</v>
      </c>
      <c r="B126" s="4" t="s">
        <v>26</v>
      </c>
      <c r="C126" s="12" t="s">
        <v>103</v>
      </c>
      <c r="D126" s="12" t="s">
        <v>105</v>
      </c>
      <c r="E126" s="7">
        <v>1</v>
      </c>
      <c r="F126" s="8" t="s">
        <v>80</v>
      </c>
      <c r="G126" s="8" t="s">
        <v>76</v>
      </c>
      <c r="H126" s="7" t="s">
        <v>24</v>
      </c>
      <c r="I126" s="9" t="s">
        <v>64</v>
      </c>
      <c r="J126" s="9">
        <v>1</v>
      </c>
      <c r="K126" s="12">
        <v>324</v>
      </c>
      <c r="L126" s="10">
        <v>0</v>
      </c>
      <c r="M126" s="11">
        <v>3307500</v>
      </c>
      <c r="N126" s="10">
        <f t="shared" si="5"/>
        <v>99225</v>
      </c>
      <c r="O126" s="10">
        <f t="shared" si="6"/>
        <v>3815532.0000000005</v>
      </c>
      <c r="P126" s="29">
        <v>46639</v>
      </c>
      <c r="Q126" s="30">
        <v>32.799999999999997</v>
      </c>
      <c r="R126" s="31">
        <v>142197</v>
      </c>
      <c r="S126" s="31">
        <v>51305</v>
      </c>
      <c r="T126" s="30">
        <v>36.08</v>
      </c>
      <c r="U126" s="30">
        <v>142197</v>
      </c>
    </row>
    <row r="127" spans="1:21" x14ac:dyDescent="0.2">
      <c r="A127" s="1" t="s">
        <v>25</v>
      </c>
      <c r="B127" s="4" t="s">
        <v>26</v>
      </c>
      <c r="C127" s="12" t="s">
        <v>103</v>
      </c>
      <c r="D127" s="12" t="s">
        <v>106</v>
      </c>
      <c r="E127" s="7">
        <v>1</v>
      </c>
      <c r="F127" s="8" t="s">
        <v>80</v>
      </c>
      <c r="G127" s="8" t="s">
        <v>76</v>
      </c>
      <c r="H127" s="7" t="s">
        <v>24</v>
      </c>
      <c r="I127" s="9" t="s">
        <v>64</v>
      </c>
      <c r="J127" s="9">
        <v>1</v>
      </c>
      <c r="K127" s="12">
        <v>304</v>
      </c>
      <c r="L127" s="10">
        <v>0</v>
      </c>
      <c r="M127" s="11">
        <v>3307500</v>
      </c>
      <c r="N127" s="10">
        <f t="shared" si="5"/>
        <v>99225</v>
      </c>
      <c r="O127" s="10">
        <f t="shared" si="6"/>
        <v>3815532.0000000005</v>
      </c>
      <c r="P127" s="29">
        <v>54353</v>
      </c>
      <c r="Q127" s="30">
        <v>38.22</v>
      </c>
      <c r="R127" s="31">
        <v>142197</v>
      </c>
      <c r="S127" s="31">
        <v>59788</v>
      </c>
      <c r="T127" s="30">
        <v>42.05</v>
      </c>
      <c r="U127" s="30">
        <v>142197</v>
      </c>
    </row>
    <row r="128" spans="1:21" x14ac:dyDescent="0.2">
      <c r="A128" s="1" t="s">
        <v>25</v>
      </c>
      <c r="B128" s="4" t="s">
        <v>26</v>
      </c>
      <c r="C128" s="12" t="s">
        <v>103</v>
      </c>
      <c r="D128" s="12" t="s">
        <v>107</v>
      </c>
      <c r="E128" s="7">
        <v>1</v>
      </c>
      <c r="F128" s="8" t="s">
        <v>80</v>
      </c>
      <c r="G128" s="8" t="s">
        <v>76</v>
      </c>
      <c r="H128" s="7" t="s">
        <v>24</v>
      </c>
      <c r="I128" s="9" t="s">
        <v>64</v>
      </c>
      <c r="J128" s="9">
        <v>1</v>
      </c>
      <c r="K128" s="12">
        <v>383</v>
      </c>
      <c r="L128" s="10">
        <v>0</v>
      </c>
      <c r="M128" s="11">
        <v>3307500</v>
      </c>
      <c r="N128" s="10">
        <f t="shared" si="5"/>
        <v>99225</v>
      </c>
      <c r="O128" s="10">
        <f t="shared" si="6"/>
        <v>3815532.0000000005</v>
      </c>
      <c r="P128" s="29">
        <v>31111</v>
      </c>
      <c r="Q128" s="30">
        <v>21.88</v>
      </c>
      <c r="R128" s="31">
        <v>142197</v>
      </c>
      <c r="S128" s="31">
        <v>34226</v>
      </c>
      <c r="T128" s="30">
        <v>24.07</v>
      </c>
      <c r="U128" s="30">
        <v>142197</v>
      </c>
    </row>
    <row r="129" spans="1:21" x14ac:dyDescent="0.2">
      <c r="A129" s="1" t="s">
        <v>25</v>
      </c>
      <c r="B129" s="4" t="s">
        <v>26</v>
      </c>
      <c r="C129" s="12" t="s">
        <v>108</v>
      </c>
      <c r="D129" s="12" t="s">
        <v>109</v>
      </c>
      <c r="E129" s="7">
        <v>1</v>
      </c>
      <c r="F129" s="8" t="s">
        <v>80</v>
      </c>
      <c r="G129" s="8" t="s">
        <v>76</v>
      </c>
      <c r="H129" s="7" t="s">
        <v>24</v>
      </c>
      <c r="I129" s="9" t="s">
        <v>59</v>
      </c>
      <c r="J129" s="9">
        <v>1</v>
      </c>
      <c r="K129" s="12">
        <v>338</v>
      </c>
      <c r="L129" s="10">
        <v>0</v>
      </c>
      <c r="M129" s="11">
        <v>3307500</v>
      </c>
      <c r="N129" s="10">
        <f t="shared" si="5"/>
        <v>99225</v>
      </c>
      <c r="O129" s="10">
        <f t="shared" si="6"/>
        <v>3815532.0000000005</v>
      </c>
      <c r="P129" s="29">
        <v>35592</v>
      </c>
      <c r="Q129" s="30">
        <v>37.15</v>
      </c>
      <c r="R129" s="31">
        <v>95816</v>
      </c>
      <c r="S129" s="31">
        <v>39157</v>
      </c>
      <c r="T129" s="30">
        <v>40.869999999999997</v>
      </c>
      <c r="U129" s="30">
        <v>95816</v>
      </c>
    </row>
    <row r="130" spans="1:21" x14ac:dyDescent="0.2">
      <c r="A130" s="1" t="s">
        <v>25</v>
      </c>
      <c r="B130" s="4" t="s">
        <v>26</v>
      </c>
      <c r="C130" s="12" t="s">
        <v>108</v>
      </c>
      <c r="D130" s="12" t="s">
        <v>110</v>
      </c>
      <c r="E130" s="7">
        <v>1</v>
      </c>
      <c r="F130" s="8" t="s">
        <v>80</v>
      </c>
      <c r="G130" s="8" t="s">
        <v>76</v>
      </c>
      <c r="H130" s="7" t="s">
        <v>24</v>
      </c>
      <c r="I130" s="9" t="s">
        <v>72</v>
      </c>
      <c r="J130" s="9">
        <v>1</v>
      </c>
      <c r="K130" s="12">
        <v>447</v>
      </c>
      <c r="L130" s="10">
        <v>0</v>
      </c>
      <c r="M130" s="11">
        <v>3307500</v>
      </c>
      <c r="N130" s="10">
        <f t="shared" si="5"/>
        <v>99225</v>
      </c>
      <c r="O130" s="10">
        <f t="shared" si="6"/>
        <v>3815532.0000000005</v>
      </c>
      <c r="P130" s="29">
        <v>25911</v>
      </c>
      <c r="Q130" s="30">
        <v>27.04</v>
      </c>
      <c r="R130" s="31">
        <v>95816</v>
      </c>
      <c r="S130" s="31">
        <v>28509</v>
      </c>
      <c r="T130" s="30">
        <v>29.75</v>
      </c>
      <c r="U130" s="30">
        <v>95816</v>
      </c>
    </row>
    <row r="131" spans="1:21" x14ac:dyDescent="0.2">
      <c r="A131" s="1" t="s">
        <v>25</v>
      </c>
      <c r="B131" s="4" t="s">
        <v>26</v>
      </c>
      <c r="C131" s="12" t="s">
        <v>108</v>
      </c>
      <c r="D131" s="12" t="s">
        <v>111</v>
      </c>
      <c r="E131" s="7">
        <v>1</v>
      </c>
      <c r="F131" s="8" t="s">
        <v>80</v>
      </c>
      <c r="G131" s="8" t="s">
        <v>76</v>
      </c>
      <c r="H131" s="7" t="s">
        <v>24</v>
      </c>
      <c r="I131" s="9" t="s">
        <v>73</v>
      </c>
      <c r="J131" s="9">
        <v>1</v>
      </c>
      <c r="K131" s="12">
        <v>391</v>
      </c>
      <c r="L131" s="10">
        <v>0</v>
      </c>
      <c r="M131" s="11">
        <v>3307500</v>
      </c>
      <c r="N131" s="10">
        <f t="shared" si="5"/>
        <v>99225</v>
      </c>
      <c r="O131" s="10">
        <f t="shared" si="6"/>
        <v>3815532.0000000005</v>
      </c>
      <c r="P131" s="29">
        <v>55409</v>
      </c>
      <c r="Q131" s="30">
        <v>57.83</v>
      </c>
      <c r="R131" s="31">
        <v>95816</v>
      </c>
      <c r="S131" s="31">
        <v>60950</v>
      </c>
      <c r="T131" s="30">
        <v>63.61</v>
      </c>
      <c r="U131" s="30">
        <v>95816</v>
      </c>
    </row>
    <row r="132" spans="1:21" x14ac:dyDescent="0.2">
      <c r="A132" s="1" t="s">
        <v>25</v>
      </c>
      <c r="B132" s="4" t="s">
        <v>26</v>
      </c>
      <c r="C132" s="12" t="s">
        <v>108</v>
      </c>
      <c r="D132" s="12" t="s">
        <v>112</v>
      </c>
      <c r="E132" s="7">
        <v>1</v>
      </c>
      <c r="F132" s="8" t="s">
        <v>80</v>
      </c>
      <c r="G132" s="8" t="s">
        <v>76</v>
      </c>
      <c r="H132" s="7" t="s">
        <v>24</v>
      </c>
      <c r="I132" s="9" t="s">
        <v>74</v>
      </c>
      <c r="J132" s="9">
        <v>1</v>
      </c>
      <c r="K132" s="12">
        <v>361</v>
      </c>
      <c r="L132" s="10">
        <v>0</v>
      </c>
      <c r="M132" s="11">
        <v>3307500</v>
      </c>
      <c r="N132" s="10">
        <f t="shared" si="5"/>
        <v>99225</v>
      </c>
      <c r="O132" s="10">
        <f t="shared" si="6"/>
        <v>3815532.0000000005</v>
      </c>
      <c r="P132" s="29">
        <v>37851</v>
      </c>
      <c r="Q132" s="30">
        <v>39.5</v>
      </c>
      <c r="R132" s="31">
        <v>95816</v>
      </c>
      <c r="S132" s="31">
        <v>41638</v>
      </c>
      <c r="T132" s="30">
        <v>43.46</v>
      </c>
      <c r="U132" s="30">
        <v>95816</v>
      </c>
    </row>
    <row r="133" spans="1:21" x14ac:dyDescent="0.2">
      <c r="A133" s="1" t="s">
        <v>25</v>
      </c>
      <c r="B133" s="4" t="s">
        <v>26</v>
      </c>
      <c r="C133" s="12" t="s">
        <v>17</v>
      </c>
      <c r="D133" s="12" t="s">
        <v>113</v>
      </c>
      <c r="E133" s="7">
        <v>1</v>
      </c>
      <c r="F133" s="8" t="s">
        <v>80</v>
      </c>
      <c r="G133" s="8" t="s">
        <v>76</v>
      </c>
      <c r="H133" s="7" t="s">
        <v>24</v>
      </c>
      <c r="I133" s="9" t="s">
        <v>63</v>
      </c>
      <c r="J133" s="9">
        <v>1</v>
      </c>
      <c r="K133" s="12">
        <v>496</v>
      </c>
      <c r="L133" s="10">
        <v>0</v>
      </c>
      <c r="M133" s="11">
        <v>3307500</v>
      </c>
      <c r="N133" s="10">
        <f t="shared" si="5"/>
        <v>99225</v>
      </c>
      <c r="O133" s="10">
        <f t="shared" si="6"/>
        <v>3815532.0000000005</v>
      </c>
      <c r="P133" s="29">
        <v>94645</v>
      </c>
      <c r="Q133" s="30">
        <v>45.08</v>
      </c>
      <c r="R133" s="31">
        <v>209957</v>
      </c>
      <c r="S133" s="31">
        <v>104111</v>
      </c>
      <c r="T133" s="30">
        <v>49.59</v>
      </c>
      <c r="U133" s="30">
        <v>209957</v>
      </c>
    </row>
    <row r="134" spans="1:21" x14ac:dyDescent="0.2">
      <c r="A134" s="1" t="s">
        <v>25</v>
      </c>
      <c r="B134" s="4" t="s">
        <v>26</v>
      </c>
      <c r="C134" s="12" t="s">
        <v>17</v>
      </c>
      <c r="D134" s="12" t="s">
        <v>114</v>
      </c>
      <c r="E134" s="7">
        <v>1</v>
      </c>
      <c r="F134" s="8" t="s">
        <v>80</v>
      </c>
      <c r="G134" s="8" t="s">
        <v>76</v>
      </c>
      <c r="H134" s="7" t="s">
        <v>24</v>
      </c>
      <c r="I134" s="9" t="s">
        <v>63</v>
      </c>
      <c r="J134" s="9">
        <v>1</v>
      </c>
      <c r="K134" s="12">
        <v>273</v>
      </c>
      <c r="L134" s="10">
        <v>0</v>
      </c>
      <c r="M134" s="11">
        <v>3307500</v>
      </c>
      <c r="N134" s="10">
        <f t="shared" si="5"/>
        <v>99225</v>
      </c>
      <c r="O134" s="10">
        <f t="shared" si="6"/>
        <v>3815532.0000000005</v>
      </c>
      <c r="P134" s="29">
        <v>74011</v>
      </c>
      <c r="Q134" s="30">
        <v>35.25</v>
      </c>
      <c r="R134" s="31">
        <v>209957</v>
      </c>
      <c r="S134" s="31">
        <v>81412</v>
      </c>
      <c r="T134" s="30">
        <v>38.78</v>
      </c>
      <c r="U134" s="30">
        <v>209957</v>
      </c>
    </row>
    <row r="135" spans="1:21" x14ac:dyDescent="0.2">
      <c r="A135" s="1" t="s">
        <v>25</v>
      </c>
      <c r="B135" s="4" t="s">
        <v>26</v>
      </c>
      <c r="C135" s="12" t="s">
        <v>17</v>
      </c>
      <c r="D135" s="12" t="s">
        <v>115</v>
      </c>
      <c r="E135" s="7">
        <v>1</v>
      </c>
      <c r="F135" s="8" t="s">
        <v>80</v>
      </c>
      <c r="G135" s="8" t="s">
        <v>76</v>
      </c>
      <c r="H135" s="7" t="s">
        <v>24</v>
      </c>
      <c r="I135" s="9" t="s">
        <v>63</v>
      </c>
      <c r="J135" s="9">
        <v>1</v>
      </c>
      <c r="K135" s="12">
        <v>447</v>
      </c>
      <c r="L135" s="10">
        <v>0</v>
      </c>
      <c r="M135" s="11">
        <v>3307500</v>
      </c>
      <c r="N135" s="10">
        <f t="shared" si="5"/>
        <v>99225</v>
      </c>
      <c r="O135" s="10">
        <f t="shared" si="6"/>
        <v>3815532.0000000005</v>
      </c>
      <c r="P135" s="29">
        <v>52049</v>
      </c>
      <c r="Q135" s="30">
        <v>24.79</v>
      </c>
      <c r="R135" s="31">
        <v>209957</v>
      </c>
      <c r="S135" s="31">
        <v>57251</v>
      </c>
      <c r="T135" s="30">
        <v>27.27</v>
      </c>
      <c r="U135" s="30">
        <v>209957</v>
      </c>
    </row>
    <row r="136" spans="1:21" x14ac:dyDescent="0.2">
      <c r="A136" s="1" t="s">
        <v>25</v>
      </c>
      <c r="B136" s="4" t="s">
        <v>26</v>
      </c>
      <c r="C136" s="12" t="s">
        <v>17</v>
      </c>
      <c r="D136" s="12" t="s">
        <v>116</v>
      </c>
      <c r="E136" s="7">
        <v>1</v>
      </c>
      <c r="F136" s="8" t="s">
        <v>80</v>
      </c>
      <c r="G136" s="8" t="s">
        <v>76</v>
      </c>
      <c r="H136" s="7" t="s">
        <v>24</v>
      </c>
      <c r="I136" s="9" t="s">
        <v>63</v>
      </c>
      <c r="J136" s="9">
        <v>1</v>
      </c>
      <c r="K136" s="12">
        <v>293</v>
      </c>
      <c r="L136" s="10">
        <v>0</v>
      </c>
      <c r="M136" s="11">
        <v>3307500</v>
      </c>
      <c r="N136" s="10">
        <f t="shared" si="5"/>
        <v>99225</v>
      </c>
      <c r="O136" s="10">
        <f t="shared" si="6"/>
        <v>3815532.0000000005</v>
      </c>
      <c r="P136" s="29">
        <v>54351</v>
      </c>
      <c r="Q136" s="30">
        <v>25.89</v>
      </c>
      <c r="R136" s="31">
        <v>209957</v>
      </c>
      <c r="S136" s="31">
        <v>59785</v>
      </c>
      <c r="T136" s="30">
        <v>28.47</v>
      </c>
      <c r="U136" s="30">
        <v>209957</v>
      </c>
    </row>
    <row r="137" spans="1:21" x14ac:dyDescent="0.2">
      <c r="A137" s="1" t="s">
        <v>25</v>
      </c>
      <c r="B137" s="4" t="s">
        <v>26</v>
      </c>
      <c r="C137" s="12" t="s">
        <v>17</v>
      </c>
      <c r="D137" s="12" t="s">
        <v>117</v>
      </c>
      <c r="E137" s="7">
        <v>1</v>
      </c>
      <c r="F137" s="8" t="s">
        <v>80</v>
      </c>
      <c r="G137" s="8" t="s">
        <v>76</v>
      </c>
      <c r="H137" s="7" t="s">
        <v>24</v>
      </c>
      <c r="I137" s="9" t="s">
        <v>63</v>
      </c>
      <c r="J137" s="9">
        <v>1</v>
      </c>
      <c r="K137" s="12">
        <v>232</v>
      </c>
      <c r="L137" s="10">
        <v>0</v>
      </c>
      <c r="M137" s="11">
        <v>3307500</v>
      </c>
      <c r="N137" s="10">
        <f t="shared" si="5"/>
        <v>99225</v>
      </c>
      <c r="O137" s="10">
        <f t="shared" si="6"/>
        <v>3815532.0000000005</v>
      </c>
      <c r="P137" s="29">
        <v>108633</v>
      </c>
      <c r="Q137" s="30">
        <v>51.74</v>
      </c>
      <c r="R137" s="31">
        <v>209957</v>
      </c>
      <c r="S137" s="31">
        <v>119497</v>
      </c>
      <c r="T137" s="30">
        <v>56.91</v>
      </c>
      <c r="U137" s="30">
        <v>209957</v>
      </c>
    </row>
    <row r="138" spans="1:21" x14ac:dyDescent="0.2">
      <c r="A138" s="1" t="s">
        <v>25</v>
      </c>
      <c r="B138" s="4" t="s">
        <v>26</v>
      </c>
      <c r="C138" s="12" t="s">
        <v>18</v>
      </c>
      <c r="D138" s="12" t="s">
        <v>118</v>
      </c>
      <c r="E138" s="7">
        <v>1</v>
      </c>
      <c r="F138" s="8" t="s">
        <v>80</v>
      </c>
      <c r="G138" s="8" t="s">
        <v>76</v>
      </c>
      <c r="H138" s="7" t="s">
        <v>24</v>
      </c>
      <c r="I138" s="9" t="s">
        <v>64</v>
      </c>
      <c r="J138" s="9">
        <v>1</v>
      </c>
      <c r="K138" s="12">
        <v>272</v>
      </c>
      <c r="L138" s="10">
        <v>0</v>
      </c>
      <c r="M138" s="11">
        <v>3307500</v>
      </c>
      <c r="N138" s="10">
        <f t="shared" si="5"/>
        <v>99225</v>
      </c>
      <c r="O138" s="10">
        <f t="shared" si="6"/>
        <v>3815532.0000000005</v>
      </c>
      <c r="P138" s="29">
        <v>75783</v>
      </c>
      <c r="Q138" s="30">
        <v>24.87</v>
      </c>
      <c r="R138" s="31">
        <v>304698</v>
      </c>
      <c r="S138" s="31">
        <v>83360</v>
      </c>
      <c r="T138" s="30">
        <v>27.36</v>
      </c>
      <c r="U138" s="30">
        <v>304698</v>
      </c>
    </row>
    <row r="139" spans="1:21" x14ac:dyDescent="0.2">
      <c r="A139" s="1" t="s">
        <v>25</v>
      </c>
      <c r="B139" s="4" t="s">
        <v>26</v>
      </c>
      <c r="C139" s="12" t="s">
        <v>18</v>
      </c>
      <c r="D139" s="12" t="s">
        <v>119</v>
      </c>
      <c r="E139" s="7">
        <v>1</v>
      </c>
      <c r="F139" s="8" t="s">
        <v>80</v>
      </c>
      <c r="G139" s="8" t="s">
        <v>76</v>
      </c>
      <c r="H139" s="7" t="s">
        <v>24</v>
      </c>
      <c r="I139" s="9" t="s">
        <v>75</v>
      </c>
      <c r="J139" s="9">
        <v>1</v>
      </c>
      <c r="K139" s="12">
        <v>211</v>
      </c>
      <c r="L139" s="10">
        <v>0</v>
      </c>
      <c r="M139" s="11">
        <v>3307500</v>
      </c>
      <c r="N139" s="10">
        <f t="shared" ref="N139:N144" si="7">M139*3%</f>
        <v>99225</v>
      </c>
      <c r="O139" s="10">
        <f t="shared" ref="O139:O142" si="8">(M139+N139)*1.12</f>
        <v>3815532.0000000005</v>
      </c>
      <c r="P139" s="29">
        <v>100165</v>
      </c>
      <c r="Q139" s="30">
        <v>32.869999999999997</v>
      </c>
      <c r="R139" s="31">
        <v>304698</v>
      </c>
      <c r="S139" s="31">
        <v>110179</v>
      </c>
      <c r="T139" s="30">
        <v>36.159999999999997</v>
      </c>
      <c r="U139" s="30">
        <v>304698</v>
      </c>
    </row>
    <row r="140" spans="1:21" x14ac:dyDescent="0.2">
      <c r="A140" s="1" t="s">
        <v>25</v>
      </c>
      <c r="B140" s="4" t="s">
        <v>26</v>
      </c>
      <c r="C140" s="12" t="s">
        <v>18</v>
      </c>
      <c r="D140" s="12" t="s">
        <v>120</v>
      </c>
      <c r="E140" s="7">
        <v>1</v>
      </c>
      <c r="F140" s="8" t="s">
        <v>80</v>
      </c>
      <c r="G140" s="8" t="s">
        <v>76</v>
      </c>
      <c r="H140" s="7" t="s">
        <v>24</v>
      </c>
      <c r="I140" s="9" t="s">
        <v>64</v>
      </c>
      <c r="J140" s="9">
        <v>1</v>
      </c>
      <c r="K140" s="12">
        <v>199</v>
      </c>
      <c r="L140" s="10">
        <v>0</v>
      </c>
      <c r="M140" s="11">
        <v>3307500</v>
      </c>
      <c r="N140" s="10">
        <f t="shared" si="7"/>
        <v>99225</v>
      </c>
      <c r="O140" s="10">
        <f t="shared" si="8"/>
        <v>3815532.0000000005</v>
      </c>
      <c r="P140" s="29">
        <v>61681</v>
      </c>
      <c r="Q140" s="30">
        <v>20.239999999999998</v>
      </c>
      <c r="R140" s="31">
        <v>304698</v>
      </c>
      <c r="S140" s="31">
        <v>67851</v>
      </c>
      <c r="T140" s="30">
        <v>22.27</v>
      </c>
      <c r="U140" s="30">
        <v>304698</v>
      </c>
    </row>
    <row r="141" spans="1:21" x14ac:dyDescent="0.2">
      <c r="A141" s="1" t="s">
        <v>25</v>
      </c>
      <c r="B141" s="4" t="s">
        <v>26</v>
      </c>
      <c r="C141" s="12" t="s">
        <v>18</v>
      </c>
      <c r="D141" s="12" t="s">
        <v>121</v>
      </c>
      <c r="E141" s="7">
        <v>1</v>
      </c>
      <c r="F141" s="8" t="s">
        <v>80</v>
      </c>
      <c r="G141" s="8" t="s">
        <v>76</v>
      </c>
      <c r="H141" s="7" t="s">
        <v>24</v>
      </c>
      <c r="I141" s="9" t="s">
        <v>75</v>
      </c>
      <c r="J141" s="9">
        <v>1</v>
      </c>
      <c r="K141" s="12">
        <v>269</v>
      </c>
      <c r="L141" s="10">
        <v>0</v>
      </c>
      <c r="M141" s="11">
        <v>3307500</v>
      </c>
      <c r="N141" s="10">
        <f t="shared" si="7"/>
        <v>99225</v>
      </c>
      <c r="O141" s="10">
        <f t="shared" si="8"/>
        <v>3815532.0000000005</v>
      </c>
      <c r="P141" s="29">
        <v>44097</v>
      </c>
      <c r="Q141" s="30">
        <v>14.47</v>
      </c>
      <c r="R141" s="31">
        <v>304698</v>
      </c>
      <c r="S141" s="31">
        <v>48506</v>
      </c>
      <c r="T141" s="30">
        <v>15.92</v>
      </c>
      <c r="U141" s="30">
        <v>304698</v>
      </c>
    </row>
    <row r="142" spans="1:21" x14ac:dyDescent="0.2">
      <c r="A142" s="1" t="s">
        <v>25</v>
      </c>
      <c r="B142" s="4" t="s">
        <v>26</v>
      </c>
      <c r="C142" s="12" t="s">
        <v>18</v>
      </c>
      <c r="D142" s="12" t="s">
        <v>122</v>
      </c>
      <c r="E142" s="7">
        <v>1</v>
      </c>
      <c r="F142" s="8" t="s">
        <v>80</v>
      </c>
      <c r="G142" s="8" t="s">
        <v>76</v>
      </c>
      <c r="H142" s="7" t="s">
        <v>24</v>
      </c>
      <c r="I142" s="9" t="s">
        <v>59</v>
      </c>
      <c r="J142" s="9">
        <v>1</v>
      </c>
      <c r="K142" s="12">
        <v>148</v>
      </c>
      <c r="L142" s="10">
        <v>0</v>
      </c>
      <c r="M142" s="11">
        <v>3307500</v>
      </c>
      <c r="N142" s="10">
        <f t="shared" si="7"/>
        <v>99225</v>
      </c>
      <c r="O142" s="10">
        <f t="shared" si="8"/>
        <v>3815532.0000000005</v>
      </c>
      <c r="P142" s="29">
        <v>164235</v>
      </c>
      <c r="Q142" s="30">
        <v>53.9</v>
      </c>
      <c r="R142" s="31">
        <v>304698</v>
      </c>
      <c r="S142" s="31">
        <v>180360</v>
      </c>
      <c r="T142" s="30">
        <v>59.19</v>
      </c>
      <c r="U142" s="30">
        <v>304698</v>
      </c>
    </row>
    <row r="143" spans="1:21" x14ac:dyDescent="0.2">
      <c r="A143" s="1" t="s">
        <v>25</v>
      </c>
      <c r="B143" s="4" t="s">
        <v>26</v>
      </c>
      <c r="C143" s="12" t="s">
        <v>18</v>
      </c>
      <c r="D143" s="12" t="s">
        <v>123</v>
      </c>
      <c r="E143" s="7">
        <v>1</v>
      </c>
      <c r="F143" s="8" t="s">
        <v>80</v>
      </c>
      <c r="G143" s="8" t="s">
        <v>76</v>
      </c>
      <c r="H143" s="7" t="s">
        <v>24</v>
      </c>
      <c r="I143" s="9" t="s">
        <v>59</v>
      </c>
      <c r="J143" s="9">
        <v>1</v>
      </c>
      <c r="K143" s="12">
        <v>141</v>
      </c>
      <c r="L143" s="10">
        <v>0</v>
      </c>
      <c r="M143" s="11">
        <v>3307500</v>
      </c>
      <c r="N143" s="10">
        <f t="shared" si="7"/>
        <v>99225</v>
      </c>
      <c r="O143" s="10">
        <f>(M143+N143+L143)*1.12</f>
        <v>3815532.0000000005</v>
      </c>
      <c r="P143" s="29">
        <v>240440</v>
      </c>
      <c r="Q143" s="30">
        <v>78.91</v>
      </c>
      <c r="R143" s="31">
        <v>304698</v>
      </c>
      <c r="S143" s="31">
        <v>264486</v>
      </c>
      <c r="T143" s="30">
        <v>86.8</v>
      </c>
      <c r="U143" s="30">
        <v>304698</v>
      </c>
    </row>
    <row r="144" spans="1:21" x14ac:dyDescent="0.2">
      <c r="A144" s="1" t="s">
        <v>25</v>
      </c>
      <c r="B144" s="4" t="s">
        <v>26</v>
      </c>
      <c r="C144" s="12" t="s">
        <v>18</v>
      </c>
      <c r="D144" s="12" t="s">
        <v>124</v>
      </c>
      <c r="E144" s="7">
        <v>1</v>
      </c>
      <c r="F144" s="8" t="s">
        <v>80</v>
      </c>
      <c r="G144" s="8" t="s">
        <v>76</v>
      </c>
      <c r="H144" s="7" t="s">
        <v>24</v>
      </c>
      <c r="I144" s="9" t="s">
        <v>59</v>
      </c>
      <c r="J144" s="9">
        <v>1</v>
      </c>
      <c r="K144" s="12">
        <v>263</v>
      </c>
      <c r="L144" s="10">
        <v>0</v>
      </c>
      <c r="M144" s="11">
        <v>3307500</v>
      </c>
      <c r="N144" s="10">
        <f t="shared" si="7"/>
        <v>99225</v>
      </c>
      <c r="O144" s="10">
        <f t="shared" ref="O144" si="9">(M144+N144+L144)*1.12</f>
        <v>3815532.0000000005</v>
      </c>
      <c r="P144" s="29">
        <v>48509</v>
      </c>
      <c r="Q144" s="30">
        <v>15.92</v>
      </c>
      <c r="R144" s="31">
        <v>304698</v>
      </c>
      <c r="S144" s="31">
        <v>53361</v>
      </c>
      <c r="T144" s="30">
        <v>17.510000000000002</v>
      </c>
      <c r="U144" s="30">
        <v>304698</v>
      </c>
    </row>
    <row r="145" spans="1:21" ht="18" customHeight="1" x14ac:dyDescent="0.2">
      <c r="A145" s="3" t="s">
        <v>25</v>
      </c>
      <c r="B145" s="19" t="s">
        <v>26</v>
      </c>
      <c r="C145" s="15" t="s">
        <v>16</v>
      </c>
      <c r="D145" s="15" t="s">
        <v>29</v>
      </c>
      <c r="E145" s="15">
        <v>1</v>
      </c>
      <c r="F145" s="14" t="s">
        <v>81</v>
      </c>
      <c r="G145" s="14" t="s">
        <v>76</v>
      </c>
      <c r="H145" s="15" t="s">
        <v>24</v>
      </c>
      <c r="I145" s="16" t="s">
        <v>59</v>
      </c>
      <c r="J145" s="16">
        <v>1</v>
      </c>
      <c r="K145" s="15"/>
      <c r="L145" s="17">
        <v>0</v>
      </c>
      <c r="M145" s="18">
        <v>5120000</v>
      </c>
      <c r="N145" s="17">
        <f>M145*3%</f>
        <v>153600</v>
      </c>
      <c r="O145" s="17">
        <f>(M145+N145)*1.12</f>
        <v>5906432.0000000009</v>
      </c>
      <c r="P145" s="26">
        <v>456568</v>
      </c>
      <c r="Q145" s="27">
        <v>25.96</v>
      </c>
      <c r="R145" s="28">
        <v>1758685</v>
      </c>
      <c r="S145" s="28"/>
      <c r="T145" s="27"/>
      <c r="U145" s="27"/>
    </row>
    <row r="146" spans="1:21" x14ac:dyDescent="0.2">
      <c r="A146" s="1" t="s">
        <v>25</v>
      </c>
      <c r="B146" s="6" t="s">
        <v>26</v>
      </c>
      <c r="C146" s="7" t="s">
        <v>16</v>
      </c>
      <c r="D146" s="7" t="s">
        <v>30</v>
      </c>
      <c r="E146" s="7">
        <v>1</v>
      </c>
      <c r="F146" s="8" t="s">
        <v>81</v>
      </c>
      <c r="G146" s="8" t="s">
        <v>76</v>
      </c>
      <c r="H146" s="7" t="s">
        <v>24</v>
      </c>
      <c r="I146" s="9" t="s">
        <v>60</v>
      </c>
      <c r="J146" s="9">
        <v>1</v>
      </c>
      <c r="K146" s="7"/>
      <c r="L146" s="10">
        <v>0</v>
      </c>
      <c r="M146" s="11">
        <v>17249996.399999999</v>
      </c>
      <c r="N146" s="10">
        <f t="shared" ref="N146:N209" si="10">M146*3%</f>
        <v>517499.89199999993</v>
      </c>
      <c r="O146" s="10">
        <f t="shared" ref="O146:O209" si="11">(M146+N146)*1.12</f>
        <v>19899595.847040001</v>
      </c>
      <c r="P146" s="29">
        <v>2990835</v>
      </c>
      <c r="Q146" s="30">
        <v>170.06</v>
      </c>
      <c r="R146" s="31">
        <v>1758685</v>
      </c>
      <c r="S146" s="31"/>
      <c r="T146" s="30"/>
      <c r="U146" s="30"/>
    </row>
    <row r="147" spans="1:21" x14ac:dyDescent="0.2">
      <c r="A147" s="1" t="s">
        <v>25</v>
      </c>
      <c r="B147" s="6" t="s">
        <v>26</v>
      </c>
      <c r="C147" s="7" t="s">
        <v>16</v>
      </c>
      <c r="D147" s="7" t="s">
        <v>22</v>
      </c>
      <c r="E147" s="7">
        <v>1</v>
      </c>
      <c r="F147" s="8" t="s">
        <v>81</v>
      </c>
      <c r="G147" s="8" t="s">
        <v>76</v>
      </c>
      <c r="H147" s="7" t="s">
        <v>24</v>
      </c>
      <c r="I147" s="9" t="s">
        <v>61</v>
      </c>
      <c r="J147" s="9">
        <v>1</v>
      </c>
      <c r="K147" s="7"/>
      <c r="L147" s="10">
        <v>0</v>
      </c>
      <c r="M147" s="11">
        <v>18368000</v>
      </c>
      <c r="N147" s="10">
        <f t="shared" si="10"/>
        <v>551040</v>
      </c>
      <c r="O147" s="10">
        <f t="shared" si="11"/>
        <v>21189324.800000001</v>
      </c>
      <c r="P147" s="29">
        <v>1259853</v>
      </c>
      <c r="Q147" s="30">
        <v>71.64</v>
      </c>
      <c r="R147" s="31">
        <v>1758685</v>
      </c>
      <c r="S147" s="31"/>
      <c r="T147" s="30"/>
      <c r="U147" s="30"/>
    </row>
    <row r="148" spans="1:21" x14ac:dyDescent="0.2">
      <c r="A148" s="1" t="s">
        <v>25</v>
      </c>
      <c r="B148" s="6" t="s">
        <v>26</v>
      </c>
      <c r="C148" s="7" t="s">
        <v>16</v>
      </c>
      <c r="D148" s="7" t="s">
        <v>31</v>
      </c>
      <c r="E148" s="7">
        <v>1</v>
      </c>
      <c r="F148" s="8" t="s">
        <v>81</v>
      </c>
      <c r="G148" s="8" t="s">
        <v>76</v>
      </c>
      <c r="H148" s="7" t="s">
        <v>24</v>
      </c>
      <c r="I148" s="9" t="s">
        <v>62</v>
      </c>
      <c r="J148" s="9">
        <v>1</v>
      </c>
      <c r="K148" s="7"/>
      <c r="L148" s="10">
        <v>0</v>
      </c>
      <c r="M148" s="11">
        <v>15476699.999999998</v>
      </c>
      <c r="N148" s="10">
        <f t="shared" si="10"/>
        <v>464300.99999999994</v>
      </c>
      <c r="O148" s="10">
        <f t="shared" si="11"/>
        <v>17853921.120000001</v>
      </c>
      <c r="P148" s="29">
        <v>1529518</v>
      </c>
      <c r="Q148" s="30">
        <v>86.97</v>
      </c>
      <c r="R148" s="31">
        <v>1758685</v>
      </c>
      <c r="S148" s="31"/>
      <c r="T148" s="30"/>
      <c r="U148" s="30"/>
    </row>
    <row r="149" spans="1:21" x14ac:dyDescent="0.2">
      <c r="A149" s="1" t="s">
        <v>25</v>
      </c>
      <c r="B149" s="6" t="s">
        <v>26</v>
      </c>
      <c r="C149" s="7" t="s">
        <v>16</v>
      </c>
      <c r="D149" s="7" t="s">
        <v>32</v>
      </c>
      <c r="E149" s="7">
        <v>1</v>
      </c>
      <c r="F149" s="8" t="s">
        <v>81</v>
      </c>
      <c r="G149" s="8" t="s">
        <v>76</v>
      </c>
      <c r="H149" s="7" t="s">
        <v>24</v>
      </c>
      <c r="I149" s="9" t="s">
        <v>63</v>
      </c>
      <c r="J149" s="9">
        <v>1</v>
      </c>
      <c r="K149" s="7"/>
      <c r="L149" s="10">
        <v>0</v>
      </c>
      <c r="M149" s="11">
        <v>5120000</v>
      </c>
      <c r="N149" s="10">
        <f t="shared" si="10"/>
        <v>153600</v>
      </c>
      <c r="O149" s="10">
        <f t="shared" si="11"/>
        <v>5906432.0000000009</v>
      </c>
      <c r="P149" s="29">
        <v>386854</v>
      </c>
      <c r="Q149" s="30">
        <v>22</v>
      </c>
      <c r="R149" s="31">
        <v>1758685</v>
      </c>
      <c r="S149" s="31"/>
      <c r="T149" s="30"/>
      <c r="U149" s="30"/>
    </row>
    <row r="150" spans="1:21" x14ac:dyDescent="0.2">
      <c r="A150" s="1" t="s">
        <v>25</v>
      </c>
      <c r="B150" s="6" t="s">
        <v>26</v>
      </c>
      <c r="C150" s="7" t="s">
        <v>16</v>
      </c>
      <c r="D150" s="7" t="s">
        <v>33</v>
      </c>
      <c r="E150" s="7">
        <v>1</v>
      </c>
      <c r="F150" s="8" t="s">
        <v>81</v>
      </c>
      <c r="G150" s="8" t="s">
        <v>76</v>
      </c>
      <c r="H150" s="7" t="s">
        <v>24</v>
      </c>
      <c r="I150" s="9" t="s">
        <v>64</v>
      </c>
      <c r="J150" s="9">
        <v>1</v>
      </c>
      <c r="K150" s="7"/>
      <c r="L150" s="10">
        <v>0</v>
      </c>
      <c r="M150" s="11">
        <v>4450000</v>
      </c>
      <c r="N150" s="10">
        <f t="shared" si="10"/>
        <v>133500</v>
      </c>
      <c r="O150" s="10">
        <f t="shared" si="11"/>
        <v>5133520.0000000009</v>
      </c>
      <c r="P150" s="29">
        <v>634225</v>
      </c>
      <c r="Q150" s="30">
        <v>36.06</v>
      </c>
      <c r="R150" s="31">
        <v>1758685</v>
      </c>
      <c r="S150" s="31"/>
      <c r="T150" s="30"/>
      <c r="U150" s="30"/>
    </row>
    <row r="151" spans="1:21" x14ac:dyDescent="0.2">
      <c r="A151" s="1" t="s">
        <v>25</v>
      </c>
      <c r="B151" s="6" t="s">
        <v>26</v>
      </c>
      <c r="C151" s="7" t="s">
        <v>16</v>
      </c>
      <c r="D151" s="7" t="s">
        <v>34</v>
      </c>
      <c r="E151" s="7">
        <v>1</v>
      </c>
      <c r="F151" s="8" t="s">
        <v>81</v>
      </c>
      <c r="G151" s="8" t="s">
        <v>76</v>
      </c>
      <c r="H151" s="7" t="s">
        <v>24</v>
      </c>
      <c r="I151" s="9" t="s">
        <v>65</v>
      </c>
      <c r="J151" s="9">
        <v>1</v>
      </c>
      <c r="K151" s="7"/>
      <c r="L151" s="10">
        <v>0</v>
      </c>
      <c r="M151" s="11">
        <v>10360000</v>
      </c>
      <c r="N151" s="10">
        <f t="shared" si="10"/>
        <v>310800</v>
      </c>
      <c r="O151" s="10">
        <f t="shared" si="11"/>
        <v>11951296.000000002</v>
      </c>
      <c r="P151" s="29">
        <v>708709</v>
      </c>
      <c r="Q151" s="30">
        <v>40.299999999999997</v>
      </c>
      <c r="R151" s="31">
        <v>1758685</v>
      </c>
      <c r="S151" s="31"/>
      <c r="T151" s="30"/>
      <c r="U151" s="30"/>
    </row>
    <row r="152" spans="1:21" x14ac:dyDescent="0.2">
      <c r="A152" s="1" t="s">
        <v>25</v>
      </c>
      <c r="B152" s="6" t="s">
        <v>26</v>
      </c>
      <c r="C152" s="7" t="s">
        <v>16</v>
      </c>
      <c r="D152" s="7" t="s">
        <v>19</v>
      </c>
      <c r="E152" s="7">
        <v>1</v>
      </c>
      <c r="F152" s="8" t="s">
        <v>81</v>
      </c>
      <c r="G152" s="8" t="s">
        <v>76</v>
      </c>
      <c r="H152" s="7" t="s">
        <v>24</v>
      </c>
      <c r="I152" s="9" t="s">
        <v>64</v>
      </c>
      <c r="J152" s="9">
        <v>1</v>
      </c>
      <c r="K152" s="7"/>
      <c r="L152" s="10">
        <v>0</v>
      </c>
      <c r="M152" s="11">
        <v>6120000</v>
      </c>
      <c r="N152" s="10">
        <f t="shared" si="10"/>
        <v>183600</v>
      </c>
      <c r="O152" s="10">
        <f t="shared" si="11"/>
        <v>7060032.0000000009</v>
      </c>
      <c r="P152" s="29">
        <v>586274</v>
      </c>
      <c r="Q152" s="30">
        <v>33.340000000000003</v>
      </c>
      <c r="R152" s="31">
        <v>1758685</v>
      </c>
      <c r="S152" s="31"/>
      <c r="T152" s="30"/>
      <c r="U152" s="30"/>
    </row>
    <row r="153" spans="1:21" x14ac:dyDescent="0.2">
      <c r="A153" s="1" t="s">
        <v>25</v>
      </c>
      <c r="B153" s="6" t="s">
        <v>26</v>
      </c>
      <c r="C153" s="7" t="s">
        <v>16</v>
      </c>
      <c r="D153" s="7" t="s">
        <v>20</v>
      </c>
      <c r="E153" s="7">
        <v>1</v>
      </c>
      <c r="F153" s="8" t="s">
        <v>81</v>
      </c>
      <c r="G153" s="8" t="s">
        <v>76</v>
      </c>
      <c r="H153" s="7" t="s">
        <v>24</v>
      </c>
      <c r="I153" s="9" t="s">
        <v>59</v>
      </c>
      <c r="J153" s="9">
        <v>1</v>
      </c>
      <c r="K153" s="7"/>
      <c r="L153" s="10">
        <v>0</v>
      </c>
      <c r="M153" s="11">
        <v>5920000</v>
      </c>
      <c r="N153" s="10">
        <f t="shared" si="10"/>
        <v>177600</v>
      </c>
      <c r="O153" s="10">
        <f t="shared" si="11"/>
        <v>6829312.0000000009</v>
      </c>
      <c r="P153" s="29">
        <v>588697</v>
      </c>
      <c r="Q153" s="30">
        <v>33.47</v>
      </c>
      <c r="R153" s="31">
        <v>1758685</v>
      </c>
      <c r="S153" s="31"/>
      <c r="T153" s="30"/>
      <c r="U153" s="30"/>
    </row>
    <row r="154" spans="1:21" x14ac:dyDescent="0.2">
      <c r="A154" s="1" t="s">
        <v>25</v>
      </c>
      <c r="B154" s="6" t="s">
        <v>26</v>
      </c>
      <c r="C154" s="7" t="s">
        <v>16</v>
      </c>
      <c r="D154" s="7" t="s">
        <v>35</v>
      </c>
      <c r="E154" s="7">
        <v>1</v>
      </c>
      <c r="F154" s="8" t="s">
        <v>81</v>
      </c>
      <c r="G154" s="8" t="s">
        <v>76</v>
      </c>
      <c r="H154" s="7" t="s">
        <v>24</v>
      </c>
      <c r="I154" s="9" t="s">
        <v>59</v>
      </c>
      <c r="J154" s="9">
        <v>1</v>
      </c>
      <c r="K154" s="7"/>
      <c r="L154" s="10">
        <v>0</v>
      </c>
      <c r="M154" s="11">
        <v>5120000</v>
      </c>
      <c r="N154" s="10">
        <f t="shared" si="10"/>
        <v>153600</v>
      </c>
      <c r="O154" s="10">
        <f t="shared" si="11"/>
        <v>5906432.0000000009</v>
      </c>
      <c r="P154" s="29">
        <v>378741</v>
      </c>
      <c r="Q154" s="30">
        <v>21.54</v>
      </c>
      <c r="R154" s="31">
        <v>1758685</v>
      </c>
      <c r="S154" s="31"/>
      <c r="T154" s="30"/>
      <c r="U154" s="30"/>
    </row>
    <row r="155" spans="1:21" x14ac:dyDescent="0.2">
      <c r="A155" s="1" t="s">
        <v>25</v>
      </c>
      <c r="B155" s="6" t="s">
        <v>26</v>
      </c>
      <c r="C155" s="7" t="s">
        <v>16</v>
      </c>
      <c r="D155" s="7" t="s">
        <v>36</v>
      </c>
      <c r="E155" s="7">
        <v>1</v>
      </c>
      <c r="F155" s="8" t="s">
        <v>81</v>
      </c>
      <c r="G155" s="8" t="s">
        <v>76</v>
      </c>
      <c r="H155" s="7" t="s">
        <v>24</v>
      </c>
      <c r="I155" s="9" t="s">
        <v>59</v>
      </c>
      <c r="J155" s="9">
        <v>1</v>
      </c>
      <c r="K155" s="7"/>
      <c r="L155" s="10">
        <v>0</v>
      </c>
      <c r="M155" s="11">
        <v>5920000</v>
      </c>
      <c r="N155" s="10">
        <f t="shared" si="10"/>
        <v>177600</v>
      </c>
      <c r="O155" s="10">
        <f t="shared" si="11"/>
        <v>6829312.0000000009</v>
      </c>
      <c r="P155" s="29">
        <v>277383</v>
      </c>
      <c r="Q155" s="30">
        <v>15.77</v>
      </c>
      <c r="R155" s="31">
        <v>1758685</v>
      </c>
      <c r="S155" s="31"/>
      <c r="T155" s="30"/>
      <c r="U155" s="30"/>
    </row>
    <row r="156" spans="1:21" x14ac:dyDescent="0.2">
      <c r="A156" s="1" t="s">
        <v>25</v>
      </c>
      <c r="B156" s="6" t="s">
        <v>26</v>
      </c>
      <c r="C156" s="7" t="s">
        <v>16</v>
      </c>
      <c r="D156" s="7" t="s">
        <v>37</v>
      </c>
      <c r="E156" s="7">
        <v>1</v>
      </c>
      <c r="F156" s="8" t="s">
        <v>81</v>
      </c>
      <c r="G156" s="8" t="s">
        <v>76</v>
      </c>
      <c r="H156" s="7" t="s">
        <v>24</v>
      </c>
      <c r="I156" s="9" t="s">
        <v>65</v>
      </c>
      <c r="J156" s="9">
        <v>1</v>
      </c>
      <c r="K156" s="7"/>
      <c r="L156" s="10">
        <v>0</v>
      </c>
      <c r="M156" s="11">
        <v>10522800</v>
      </c>
      <c r="N156" s="10">
        <f t="shared" si="10"/>
        <v>315684</v>
      </c>
      <c r="O156" s="10">
        <f t="shared" si="11"/>
        <v>12139102.080000002</v>
      </c>
      <c r="P156" s="29">
        <v>557070</v>
      </c>
      <c r="Q156" s="30">
        <v>31.68</v>
      </c>
      <c r="R156" s="31">
        <v>1758685</v>
      </c>
      <c r="S156" s="31"/>
      <c r="T156" s="30"/>
      <c r="U156" s="30"/>
    </row>
    <row r="157" spans="1:21" x14ac:dyDescent="0.2">
      <c r="A157" s="1" t="s">
        <v>25</v>
      </c>
      <c r="B157" s="6" t="s">
        <v>26</v>
      </c>
      <c r="C157" s="7" t="s">
        <v>16</v>
      </c>
      <c r="D157" s="7" t="s">
        <v>38</v>
      </c>
      <c r="E157" s="7">
        <v>1</v>
      </c>
      <c r="F157" s="8" t="s">
        <v>81</v>
      </c>
      <c r="G157" s="8" t="s">
        <v>76</v>
      </c>
      <c r="H157" s="7" t="s">
        <v>24</v>
      </c>
      <c r="I157" s="9" t="s">
        <v>59</v>
      </c>
      <c r="J157" s="9">
        <v>1</v>
      </c>
      <c r="K157" s="7"/>
      <c r="L157" s="10">
        <v>0</v>
      </c>
      <c r="M157" s="11">
        <v>5920000</v>
      </c>
      <c r="N157" s="10">
        <f t="shared" si="10"/>
        <v>177600</v>
      </c>
      <c r="O157" s="10">
        <f t="shared" si="11"/>
        <v>6829312.0000000009</v>
      </c>
      <c r="P157" s="29">
        <v>247137</v>
      </c>
      <c r="Q157" s="30">
        <v>14.05</v>
      </c>
      <c r="R157" s="31">
        <v>1758685</v>
      </c>
      <c r="S157" s="31"/>
      <c r="T157" s="30"/>
      <c r="U157" s="30"/>
    </row>
    <row r="158" spans="1:21" x14ac:dyDescent="0.2">
      <c r="A158" s="1" t="s">
        <v>25</v>
      </c>
      <c r="B158" s="6" t="s">
        <v>26</v>
      </c>
      <c r="C158" s="7" t="s">
        <v>16</v>
      </c>
      <c r="D158" s="7" t="s">
        <v>39</v>
      </c>
      <c r="E158" s="7">
        <v>1</v>
      </c>
      <c r="F158" s="8" t="s">
        <v>81</v>
      </c>
      <c r="G158" s="8" t="s">
        <v>76</v>
      </c>
      <c r="H158" s="7" t="s">
        <v>24</v>
      </c>
      <c r="I158" s="9" t="s">
        <v>64</v>
      </c>
      <c r="J158" s="9">
        <v>1</v>
      </c>
      <c r="K158" s="7"/>
      <c r="L158" s="10">
        <v>0</v>
      </c>
      <c r="M158" s="11">
        <v>5865000</v>
      </c>
      <c r="N158" s="10">
        <f t="shared" si="10"/>
        <v>175950</v>
      </c>
      <c r="O158" s="10">
        <f t="shared" si="11"/>
        <v>6765864.0000000009</v>
      </c>
      <c r="P158" s="29">
        <v>848926</v>
      </c>
      <c r="Q158" s="30">
        <v>48.27</v>
      </c>
      <c r="R158" s="31">
        <v>1758685</v>
      </c>
      <c r="S158" s="31"/>
      <c r="T158" s="30"/>
      <c r="U158" s="30"/>
    </row>
    <row r="159" spans="1:21" x14ac:dyDescent="0.2">
      <c r="A159" s="1" t="s">
        <v>25</v>
      </c>
      <c r="B159" s="6" t="s">
        <v>26</v>
      </c>
      <c r="C159" s="7" t="s">
        <v>16</v>
      </c>
      <c r="D159" s="7" t="s">
        <v>40</v>
      </c>
      <c r="E159" s="7">
        <v>1</v>
      </c>
      <c r="F159" s="8" t="s">
        <v>81</v>
      </c>
      <c r="G159" s="8" t="s">
        <v>76</v>
      </c>
      <c r="H159" s="7" t="s">
        <v>24</v>
      </c>
      <c r="I159" s="9" t="s">
        <v>59</v>
      </c>
      <c r="J159" s="9">
        <v>1</v>
      </c>
      <c r="K159" s="7"/>
      <c r="L159" s="10">
        <v>0</v>
      </c>
      <c r="M159" s="11">
        <v>6273000.0000000009</v>
      </c>
      <c r="N159" s="10">
        <f t="shared" si="10"/>
        <v>188190.00000000003</v>
      </c>
      <c r="O159" s="10">
        <f t="shared" si="11"/>
        <v>7236532.8000000017</v>
      </c>
      <c r="P159" s="29">
        <v>356189</v>
      </c>
      <c r="Q159" s="30">
        <v>20.25</v>
      </c>
      <c r="R159" s="31">
        <v>1758685</v>
      </c>
      <c r="S159" s="31"/>
      <c r="T159" s="30"/>
      <c r="U159" s="30"/>
    </row>
    <row r="160" spans="1:21" x14ac:dyDescent="0.2">
      <c r="A160" s="1" t="s">
        <v>25</v>
      </c>
      <c r="B160" s="6" t="s">
        <v>26</v>
      </c>
      <c r="C160" s="7" t="s">
        <v>16</v>
      </c>
      <c r="D160" s="7" t="s">
        <v>21</v>
      </c>
      <c r="E160" s="7">
        <v>1</v>
      </c>
      <c r="F160" s="8" t="s">
        <v>81</v>
      </c>
      <c r="G160" s="8" t="s">
        <v>76</v>
      </c>
      <c r="H160" s="7" t="s">
        <v>24</v>
      </c>
      <c r="I160" s="9" t="s">
        <v>66</v>
      </c>
      <c r="J160" s="9">
        <v>1</v>
      </c>
      <c r="K160" s="7"/>
      <c r="L160" s="10">
        <v>0</v>
      </c>
      <c r="M160" s="11">
        <v>5865000</v>
      </c>
      <c r="N160" s="10">
        <f t="shared" si="10"/>
        <v>175950</v>
      </c>
      <c r="O160" s="10">
        <f t="shared" si="11"/>
        <v>6765864.0000000009</v>
      </c>
      <c r="P160" s="29">
        <v>716326</v>
      </c>
      <c r="Q160" s="30">
        <v>40.729999999999997</v>
      </c>
      <c r="R160" s="31">
        <v>1758685</v>
      </c>
      <c r="S160" s="31"/>
      <c r="T160" s="30"/>
      <c r="U160" s="30"/>
    </row>
    <row r="161" spans="1:21" x14ac:dyDescent="0.2">
      <c r="A161" s="1" t="s">
        <v>25</v>
      </c>
      <c r="B161" s="6" t="s">
        <v>26</v>
      </c>
      <c r="C161" s="7" t="s">
        <v>16</v>
      </c>
      <c r="D161" s="7" t="s">
        <v>41</v>
      </c>
      <c r="E161" s="7">
        <v>1</v>
      </c>
      <c r="F161" s="8" t="s">
        <v>81</v>
      </c>
      <c r="G161" s="8" t="s">
        <v>76</v>
      </c>
      <c r="H161" s="7" t="s">
        <v>24</v>
      </c>
      <c r="I161" s="9" t="s">
        <v>64</v>
      </c>
      <c r="J161" s="9">
        <v>1</v>
      </c>
      <c r="K161" s="7"/>
      <c r="L161" s="10">
        <v>0</v>
      </c>
      <c r="M161" s="11">
        <v>5865000</v>
      </c>
      <c r="N161" s="10">
        <f t="shared" si="10"/>
        <v>175950</v>
      </c>
      <c r="O161" s="10">
        <f t="shared" si="11"/>
        <v>6765864.0000000009</v>
      </c>
      <c r="P161" s="29">
        <v>513176</v>
      </c>
      <c r="Q161" s="30">
        <v>29.18</v>
      </c>
      <c r="R161" s="31">
        <v>1758685</v>
      </c>
      <c r="S161" s="31"/>
      <c r="T161" s="30"/>
      <c r="U161" s="30"/>
    </row>
    <row r="162" spans="1:21" x14ac:dyDescent="0.2">
      <c r="A162" s="1" t="s">
        <v>25</v>
      </c>
      <c r="B162" s="6" t="s">
        <v>26</v>
      </c>
      <c r="C162" s="7" t="s">
        <v>16</v>
      </c>
      <c r="D162" s="7" t="s">
        <v>42</v>
      </c>
      <c r="E162" s="7">
        <v>1</v>
      </c>
      <c r="F162" s="8" t="s">
        <v>81</v>
      </c>
      <c r="G162" s="8" t="s">
        <v>76</v>
      </c>
      <c r="H162" s="7" t="s">
        <v>24</v>
      </c>
      <c r="I162" s="9" t="s">
        <v>59</v>
      </c>
      <c r="J162" s="9">
        <v>1</v>
      </c>
      <c r="K162" s="7"/>
      <c r="L162" s="10">
        <v>0</v>
      </c>
      <c r="M162" s="11">
        <v>5920000</v>
      </c>
      <c r="N162" s="10">
        <f t="shared" si="10"/>
        <v>177600</v>
      </c>
      <c r="O162" s="10">
        <f t="shared" si="11"/>
        <v>6829312.0000000009</v>
      </c>
      <c r="P162" s="29">
        <v>364653</v>
      </c>
      <c r="Q162" s="30">
        <v>20.73</v>
      </c>
      <c r="R162" s="31">
        <v>1758685</v>
      </c>
      <c r="S162" s="31"/>
      <c r="T162" s="30"/>
      <c r="U162" s="30"/>
    </row>
    <row r="163" spans="1:21" x14ac:dyDescent="0.2">
      <c r="A163" s="1" t="s">
        <v>25</v>
      </c>
      <c r="B163" s="6" t="s">
        <v>26</v>
      </c>
      <c r="C163" s="7" t="s">
        <v>16</v>
      </c>
      <c r="D163" s="7" t="s">
        <v>43</v>
      </c>
      <c r="E163" s="7">
        <v>1</v>
      </c>
      <c r="F163" s="8" t="s">
        <v>81</v>
      </c>
      <c r="G163" s="8" t="s">
        <v>76</v>
      </c>
      <c r="H163" s="7" t="s">
        <v>24</v>
      </c>
      <c r="I163" s="9" t="s">
        <v>67</v>
      </c>
      <c r="J163" s="9">
        <v>1</v>
      </c>
      <c r="K163" s="7"/>
      <c r="L163" s="10">
        <v>0</v>
      </c>
      <c r="M163" s="11">
        <v>5025000</v>
      </c>
      <c r="N163" s="10">
        <f t="shared" si="10"/>
        <v>150750</v>
      </c>
      <c r="O163" s="10">
        <f t="shared" si="11"/>
        <v>5796840.0000000009</v>
      </c>
      <c r="P163" s="29">
        <v>415283</v>
      </c>
      <c r="Q163" s="30">
        <v>23.61</v>
      </c>
      <c r="R163" s="31">
        <v>1758685</v>
      </c>
      <c r="S163" s="31"/>
      <c r="T163" s="30"/>
      <c r="U163" s="30"/>
    </row>
    <row r="164" spans="1:21" x14ac:dyDescent="0.2">
      <c r="A164" s="1" t="s">
        <v>25</v>
      </c>
      <c r="B164" s="6" t="s">
        <v>26</v>
      </c>
      <c r="C164" s="7" t="s">
        <v>16</v>
      </c>
      <c r="D164" s="7" t="s">
        <v>44</v>
      </c>
      <c r="E164" s="7">
        <v>1</v>
      </c>
      <c r="F164" s="8" t="s">
        <v>81</v>
      </c>
      <c r="G164" s="8" t="s">
        <v>76</v>
      </c>
      <c r="H164" s="7" t="s">
        <v>24</v>
      </c>
      <c r="I164" s="9" t="s">
        <v>64</v>
      </c>
      <c r="J164" s="9">
        <v>1</v>
      </c>
      <c r="K164" s="7"/>
      <c r="L164" s="10">
        <v>0</v>
      </c>
      <c r="M164" s="11">
        <v>5920000</v>
      </c>
      <c r="N164" s="10">
        <f t="shared" si="10"/>
        <v>177600</v>
      </c>
      <c r="O164" s="10">
        <f t="shared" si="11"/>
        <v>6829312.0000000009</v>
      </c>
      <c r="P164" s="29">
        <v>1070288</v>
      </c>
      <c r="Q164" s="30">
        <v>60.86</v>
      </c>
      <c r="R164" s="31">
        <v>1758685</v>
      </c>
      <c r="S164" s="31"/>
      <c r="T164" s="30"/>
      <c r="U164" s="30"/>
    </row>
    <row r="165" spans="1:21" x14ac:dyDescent="0.2">
      <c r="A165" s="1" t="s">
        <v>25</v>
      </c>
      <c r="B165" s="6" t="s">
        <v>26</v>
      </c>
      <c r="C165" s="7" t="s">
        <v>16</v>
      </c>
      <c r="D165" s="7" t="s">
        <v>23</v>
      </c>
      <c r="E165" s="7">
        <v>1</v>
      </c>
      <c r="F165" s="8" t="s">
        <v>81</v>
      </c>
      <c r="G165" s="8" t="s">
        <v>76</v>
      </c>
      <c r="H165" s="7" t="s">
        <v>24</v>
      </c>
      <c r="I165" s="9" t="s">
        <v>59</v>
      </c>
      <c r="J165" s="9">
        <v>1</v>
      </c>
      <c r="K165" s="7"/>
      <c r="L165" s="10">
        <v>0</v>
      </c>
      <c r="M165" s="11">
        <v>5120000</v>
      </c>
      <c r="N165" s="10">
        <f t="shared" si="10"/>
        <v>153600</v>
      </c>
      <c r="O165" s="10">
        <f t="shared" si="11"/>
        <v>5906432.0000000009</v>
      </c>
      <c r="P165" s="29">
        <v>74763</v>
      </c>
      <c r="Q165" s="30">
        <v>4.25</v>
      </c>
      <c r="R165" s="31">
        <v>1758685</v>
      </c>
      <c r="S165" s="31"/>
      <c r="T165" s="30"/>
      <c r="U165" s="30"/>
    </row>
    <row r="166" spans="1:21" x14ac:dyDescent="0.2">
      <c r="A166" s="1" t="s">
        <v>25</v>
      </c>
      <c r="B166" s="6" t="s">
        <v>26</v>
      </c>
      <c r="C166" s="7" t="s">
        <v>16</v>
      </c>
      <c r="D166" s="7" t="s">
        <v>45</v>
      </c>
      <c r="E166" s="7">
        <v>1</v>
      </c>
      <c r="F166" s="8" t="s">
        <v>81</v>
      </c>
      <c r="G166" s="8" t="s">
        <v>76</v>
      </c>
      <c r="H166" s="7" t="s">
        <v>24</v>
      </c>
      <c r="I166" s="9" t="s">
        <v>68</v>
      </c>
      <c r="J166" s="9">
        <v>1</v>
      </c>
      <c r="K166" s="7"/>
      <c r="L166" s="10">
        <v>0</v>
      </c>
      <c r="M166" s="11">
        <v>7600000</v>
      </c>
      <c r="N166" s="10">
        <f t="shared" si="10"/>
        <v>228000</v>
      </c>
      <c r="O166" s="10">
        <f t="shared" si="11"/>
        <v>8767360</v>
      </c>
      <c r="P166" s="29">
        <v>682147</v>
      </c>
      <c r="Q166" s="30">
        <v>38.79</v>
      </c>
      <c r="R166" s="31">
        <v>1758685</v>
      </c>
      <c r="S166" s="31"/>
      <c r="T166" s="30"/>
      <c r="U166" s="30"/>
    </row>
    <row r="167" spans="1:21" x14ac:dyDescent="0.2">
      <c r="A167" s="1" t="s">
        <v>25</v>
      </c>
      <c r="B167" s="6" t="s">
        <v>26</v>
      </c>
      <c r="C167" s="7" t="s">
        <v>16</v>
      </c>
      <c r="D167" s="7" t="s">
        <v>46</v>
      </c>
      <c r="E167" s="7">
        <v>1</v>
      </c>
      <c r="F167" s="8" t="s">
        <v>81</v>
      </c>
      <c r="G167" s="8" t="s">
        <v>76</v>
      </c>
      <c r="H167" s="7" t="s">
        <v>24</v>
      </c>
      <c r="I167" s="9" t="s">
        <v>69</v>
      </c>
      <c r="J167" s="9">
        <v>1</v>
      </c>
      <c r="K167" s="7"/>
      <c r="L167" s="10">
        <v>0</v>
      </c>
      <c r="M167" s="11">
        <v>16174800</v>
      </c>
      <c r="N167" s="10">
        <f t="shared" si="10"/>
        <v>485244</v>
      </c>
      <c r="O167" s="10">
        <f t="shared" si="11"/>
        <v>18659249.280000001</v>
      </c>
      <c r="P167" s="29">
        <v>728383</v>
      </c>
      <c r="Q167" s="30">
        <v>41.42</v>
      </c>
      <c r="R167" s="31">
        <v>1758685</v>
      </c>
      <c r="S167" s="31"/>
      <c r="T167" s="30"/>
      <c r="U167" s="30"/>
    </row>
    <row r="168" spans="1:21" x14ac:dyDescent="0.2">
      <c r="A168" s="1" t="s">
        <v>25</v>
      </c>
      <c r="B168" s="6" t="s">
        <v>26</v>
      </c>
      <c r="C168" s="7" t="s">
        <v>16</v>
      </c>
      <c r="D168" s="7" t="s">
        <v>47</v>
      </c>
      <c r="E168" s="7">
        <v>1</v>
      </c>
      <c r="F168" s="8" t="s">
        <v>81</v>
      </c>
      <c r="G168" s="8" t="s">
        <v>76</v>
      </c>
      <c r="H168" s="7" t="s">
        <v>24</v>
      </c>
      <c r="I168" s="9" t="s">
        <v>59</v>
      </c>
      <c r="J168" s="9">
        <v>1</v>
      </c>
      <c r="K168" s="7"/>
      <c r="L168" s="10">
        <v>0</v>
      </c>
      <c r="M168" s="11">
        <v>5920000</v>
      </c>
      <c r="N168" s="10">
        <f t="shared" si="10"/>
        <v>177600</v>
      </c>
      <c r="O168" s="10">
        <f t="shared" si="11"/>
        <v>6829312.0000000009</v>
      </c>
      <c r="P168" s="29">
        <v>118307</v>
      </c>
      <c r="Q168" s="30">
        <v>6.73</v>
      </c>
      <c r="R168" s="31">
        <v>1758685</v>
      </c>
      <c r="S168" s="31"/>
      <c r="T168" s="30"/>
      <c r="U168" s="30"/>
    </row>
    <row r="169" spans="1:21" x14ac:dyDescent="0.2">
      <c r="A169" s="1" t="s">
        <v>25</v>
      </c>
      <c r="B169" s="4" t="s">
        <v>26</v>
      </c>
      <c r="C169" s="12" t="s">
        <v>56</v>
      </c>
      <c r="D169" s="12" t="s">
        <v>82</v>
      </c>
      <c r="E169" s="7">
        <v>1</v>
      </c>
      <c r="F169" s="8" t="s">
        <v>81</v>
      </c>
      <c r="G169" s="8" t="s">
        <v>76</v>
      </c>
      <c r="H169" s="7" t="s">
        <v>24</v>
      </c>
      <c r="I169" s="9" t="s">
        <v>63</v>
      </c>
      <c r="J169" s="9">
        <v>1</v>
      </c>
      <c r="K169" s="7"/>
      <c r="L169" s="10">
        <v>0</v>
      </c>
      <c r="M169" s="11">
        <v>3307500</v>
      </c>
      <c r="N169" s="10">
        <f t="shared" si="10"/>
        <v>99225</v>
      </c>
      <c r="O169" s="10">
        <f t="shared" si="11"/>
        <v>3815532.0000000005</v>
      </c>
      <c r="P169" s="29">
        <v>126656</v>
      </c>
      <c r="Q169" s="30">
        <v>52.44</v>
      </c>
      <c r="R169" s="31">
        <v>241528</v>
      </c>
      <c r="S169" s="31"/>
      <c r="T169" s="30"/>
      <c r="U169" s="30"/>
    </row>
    <row r="170" spans="1:21" x14ac:dyDescent="0.2">
      <c r="A170" s="1" t="s">
        <v>25</v>
      </c>
      <c r="B170" s="4" t="s">
        <v>26</v>
      </c>
      <c r="C170" s="12" t="s">
        <v>56</v>
      </c>
      <c r="D170" s="12" t="s">
        <v>83</v>
      </c>
      <c r="E170" s="7">
        <v>1</v>
      </c>
      <c r="F170" s="8" t="s">
        <v>81</v>
      </c>
      <c r="G170" s="8" t="s">
        <v>76</v>
      </c>
      <c r="H170" s="7" t="s">
        <v>24</v>
      </c>
      <c r="I170" s="9" t="s">
        <v>63</v>
      </c>
      <c r="J170" s="9">
        <v>1</v>
      </c>
      <c r="K170" s="7"/>
      <c r="L170" s="10">
        <v>0</v>
      </c>
      <c r="M170" s="11">
        <v>3307500</v>
      </c>
      <c r="N170" s="10">
        <f t="shared" si="10"/>
        <v>99225</v>
      </c>
      <c r="O170" s="10">
        <f t="shared" si="11"/>
        <v>3815532.0000000005</v>
      </c>
      <c r="P170" s="29">
        <v>57086</v>
      </c>
      <c r="Q170" s="30">
        <v>23.64</v>
      </c>
      <c r="R170" s="31">
        <v>241528</v>
      </c>
      <c r="S170" s="31"/>
      <c r="T170" s="30"/>
      <c r="U170" s="30"/>
    </row>
    <row r="171" spans="1:21" x14ac:dyDescent="0.2">
      <c r="A171" s="1" t="s">
        <v>25</v>
      </c>
      <c r="B171" s="4" t="s">
        <v>26</v>
      </c>
      <c r="C171" s="12" t="s">
        <v>56</v>
      </c>
      <c r="D171" s="12" t="s">
        <v>84</v>
      </c>
      <c r="E171" s="7">
        <v>1</v>
      </c>
      <c r="F171" s="8" t="s">
        <v>81</v>
      </c>
      <c r="G171" s="8" t="s">
        <v>76</v>
      </c>
      <c r="H171" s="7" t="s">
        <v>24</v>
      </c>
      <c r="I171" s="9" t="s">
        <v>70</v>
      </c>
      <c r="J171" s="9">
        <v>1</v>
      </c>
      <c r="K171" s="7"/>
      <c r="L171" s="10">
        <v>0</v>
      </c>
      <c r="M171" s="11">
        <v>6105000</v>
      </c>
      <c r="N171" s="10">
        <f t="shared" si="10"/>
        <v>183150</v>
      </c>
      <c r="O171" s="10">
        <f t="shared" si="11"/>
        <v>7042728.0000000009</v>
      </c>
      <c r="P171" s="29">
        <v>92944</v>
      </c>
      <c r="Q171" s="30">
        <v>38.479999999999997</v>
      </c>
      <c r="R171" s="31">
        <v>241528</v>
      </c>
      <c r="S171" s="31"/>
      <c r="T171" s="30"/>
      <c r="U171" s="30"/>
    </row>
    <row r="172" spans="1:21" x14ac:dyDescent="0.2">
      <c r="A172" s="1" t="s">
        <v>25</v>
      </c>
      <c r="B172" s="4" t="s">
        <v>26</v>
      </c>
      <c r="C172" s="12" t="s">
        <v>56</v>
      </c>
      <c r="D172" s="12" t="s">
        <v>85</v>
      </c>
      <c r="E172" s="7">
        <v>1</v>
      </c>
      <c r="F172" s="8" t="s">
        <v>81</v>
      </c>
      <c r="G172" s="8" t="s">
        <v>76</v>
      </c>
      <c r="H172" s="7" t="s">
        <v>24</v>
      </c>
      <c r="I172" s="9" t="s">
        <v>63</v>
      </c>
      <c r="J172" s="9">
        <v>1</v>
      </c>
      <c r="K172" s="7"/>
      <c r="L172" s="10">
        <v>0</v>
      </c>
      <c r="M172" s="11">
        <v>3307500</v>
      </c>
      <c r="N172" s="10">
        <f t="shared" si="10"/>
        <v>99225</v>
      </c>
      <c r="O172" s="10">
        <f t="shared" si="11"/>
        <v>3815532.0000000005</v>
      </c>
      <c r="P172" s="29">
        <v>58343</v>
      </c>
      <c r="Q172" s="30">
        <v>24.16</v>
      </c>
      <c r="R172" s="31">
        <v>241528</v>
      </c>
      <c r="S172" s="31"/>
      <c r="T172" s="30"/>
      <c r="U172" s="30"/>
    </row>
    <row r="173" spans="1:21" x14ac:dyDescent="0.2">
      <c r="A173" s="1" t="s">
        <v>25</v>
      </c>
      <c r="B173" s="4" t="s">
        <v>26</v>
      </c>
      <c r="C173" s="12" t="s">
        <v>56</v>
      </c>
      <c r="D173" s="12" t="s">
        <v>86</v>
      </c>
      <c r="E173" s="7">
        <v>1</v>
      </c>
      <c r="F173" s="8" t="s">
        <v>81</v>
      </c>
      <c r="G173" s="8" t="s">
        <v>76</v>
      </c>
      <c r="H173" s="7" t="s">
        <v>24</v>
      </c>
      <c r="I173" s="9" t="s">
        <v>63</v>
      </c>
      <c r="J173" s="9">
        <v>1</v>
      </c>
      <c r="K173" s="7"/>
      <c r="L173" s="10">
        <v>0</v>
      </c>
      <c r="M173" s="11">
        <v>3307500</v>
      </c>
      <c r="N173" s="10">
        <f t="shared" si="10"/>
        <v>99225</v>
      </c>
      <c r="O173" s="10">
        <f t="shared" si="11"/>
        <v>3815532.0000000005</v>
      </c>
      <c r="P173" s="29">
        <v>51496</v>
      </c>
      <c r="Q173" s="30">
        <v>21.32</v>
      </c>
      <c r="R173" s="31">
        <v>241528</v>
      </c>
      <c r="S173" s="31"/>
      <c r="T173" s="30"/>
      <c r="U173" s="30"/>
    </row>
    <row r="174" spans="1:21" x14ac:dyDescent="0.2">
      <c r="A174" s="1" t="s">
        <v>25</v>
      </c>
      <c r="B174" s="4" t="s">
        <v>26</v>
      </c>
      <c r="C174" s="12" t="s">
        <v>87</v>
      </c>
      <c r="D174" s="12" t="s">
        <v>48</v>
      </c>
      <c r="E174" s="7">
        <v>1</v>
      </c>
      <c r="F174" s="8" t="s">
        <v>81</v>
      </c>
      <c r="G174" s="8" t="s">
        <v>76</v>
      </c>
      <c r="H174" s="7" t="s">
        <v>24</v>
      </c>
      <c r="I174" s="9" t="s">
        <v>59</v>
      </c>
      <c r="J174" s="9">
        <v>1</v>
      </c>
      <c r="K174" s="7"/>
      <c r="L174" s="10">
        <v>0</v>
      </c>
      <c r="M174" s="11">
        <v>3307500</v>
      </c>
      <c r="N174" s="10">
        <f t="shared" si="10"/>
        <v>99225</v>
      </c>
      <c r="O174" s="10">
        <f t="shared" si="11"/>
        <v>3815532.0000000005</v>
      </c>
      <c r="P174" s="29">
        <v>35792</v>
      </c>
      <c r="Q174" s="30">
        <v>23.33</v>
      </c>
      <c r="R174" s="31">
        <v>153437</v>
      </c>
      <c r="S174" s="31"/>
      <c r="T174" s="30"/>
      <c r="U174" s="30"/>
    </row>
    <row r="175" spans="1:21" x14ac:dyDescent="0.2">
      <c r="A175" s="1" t="s">
        <v>25</v>
      </c>
      <c r="B175" s="4" t="s">
        <v>26</v>
      </c>
      <c r="C175" s="12" t="s">
        <v>87</v>
      </c>
      <c r="D175" s="12" t="s">
        <v>88</v>
      </c>
      <c r="E175" s="7">
        <v>1</v>
      </c>
      <c r="F175" s="8" t="s">
        <v>81</v>
      </c>
      <c r="G175" s="8" t="s">
        <v>76</v>
      </c>
      <c r="H175" s="7" t="s">
        <v>24</v>
      </c>
      <c r="I175" s="9" t="s">
        <v>71</v>
      </c>
      <c r="J175" s="9">
        <v>1</v>
      </c>
      <c r="K175" s="7"/>
      <c r="L175" s="10">
        <v>0</v>
      </c>
      <c r="M175" s="11">
        <v>5180000</v>
      </c>
      <c r="N175" s="10">
        <f t="shared" si="10"/>
        <v>155400</v>
      </c>
      <c r="O175" s="10">
        <f t="shared" si="11"/>
        <v>5975648.0000000009</v>
      </c>
      <c r="P175" s="29">
        <v>27919</v>
      </c>
      <c r="Q175" s="30">
        <v>18.2</v>
      </c>
      <c r="R175" s="31">
        <v>153437</v>
      </c>
      <c r="S175" s="31"/>
      <c r="T175" s="30"/>
      <c r="U175" s="30"/>
    </row>
    <row r="176" spans="1:21" x14ac:dyDescent="0.2">
      <c r="A176" s="1" t="s">
        <v>25</v>
      </c>
      <c r="B176" s="4" t="s">
        <v>26</v>
      </c>
      <c r="C176" s="12" t="s">
        <v>87</v>
      </c>
      <c r="D176" s="12" t="s">
        <v>89</v>
      </c>
      <c r="E176" s="7">
        <v>1</v>
      </c>
      <c r="F176" s="8" t="s">
        <v>81</v>
      </c>
      <c r="G176" s="8" t="s">
        <v>76</v>
      </c>
      <c r="H176" s="7" t="s">
        <v>24</v>
      </c>
      <c r="I176" s="9" t="s">
        <v>64</v>
      </c>
      <c r="J176" s="9">
        <v>1</v>
      </c>
      <c r="K176" s="7"/>
      <c r="L176" s="10">
        <v>0</v>
      </c>
      <c r="M176" s="11">
        <v>3307500</v>
      </c>
      <c r="N176" s="10">
        <f t="shared" si="10"/>
        <v>99225</v>
      </c>
      <c r="O176" s="10">
        <f t="shared" si="11"/>
        <v>3815532.0000000005</v>
      </c>
      <c r="P176" s="29">
        <v>82489</v>
      </c>
      <c r="Q176" s="30">
        <v>53.76</v>
      </c>
      <c r="R176" s="31">
        <v>153437</v>
      </c>
      <c r="S176" s="31"/>
      <c r="T176" s="30"/>
      <c r="U176" s="30"/>
    </row>
    <row r="177" spans="1:21" x14ac:dyDescent="0.2">
      <c r="A177" s="1" t="s">
        <v>25</v>
      </c>
      <c r="B177" s="4" t="s">
        <v>26</v>
      </c>
      <c r="C177" s="12" t="s">
        <v>87</v>
      </c>
      <c r="D177" s="12" t="s">
        <v>90</v>
      </c>
      <c r="E177" s="7">
        <v>1</v>
      </c>
      <c r="F177" s="8" t="s">
        <v>81</v>
      </c>
      <c r="G177" s="8" t="s">
        <v>76</v>
      </c>
      <c r="H177" s="7" t="s">
        <v>24</v>
      </c>
      <c r="I177" s="9" t="s">
        <v>64</v>
      </c>
      <c r="J177" s="9">
        <v>1</v>
      </c>
      <c r="K177" s="7"/>
      <c r="L177" s="10">
        <v>0</v>
      </c>
      <c r="M177" s="11">
        <v>3307500</v>
      </c>
      <c r="N177" s="10">
        <f t="shared" si="10"/>
        <v>99225</v>
      </c>
      <c r="O177" s="10">
        <f t="shared" si="11"/>
        <v>3815532.0000000005</v>
      </c>
      <c r="P177" s="29">
        <v>56037</v>
      </c>
      <c r="Q177" s="30">
        <v>36.520000000000003</v>
      </c>
      <c r="R177" s="31">
        <v>153437</v>
      </c>
      <c r="S177" s="31"/>
      <c r="T177" s="30"/>
      <c r="U177" s="30"/>
    </row>
    <row r="178" spans="1:21" x14ac:dyDescent="0.2">
      <c r="A178" s="1" t="s">
        <v>25</v>
      </c>
      <c r="B178" s="4" t="s">
        <v>26</v>
      </c>
      <c r="C178" s="12" t="s">
        <v>87</v>
      </c>
      <c r="D178" s="12" t="s">
        <v>91</v>
      </c>
      <c r="E178" s="7">
        <v>1</v>
      </c>
      <c r="F178" s="8" t="s">
        <v>81</v>
      </c>
      <c r="G178" s="8" t="s">
        <v>76</v>
      </c>
      <c r="H178" s="7" t="s">
        <v>24</v>
      </c>
      <c r="I178" s="9" t="s">
        <v>63</v>
      </c>
      <c r="J178" s="9">
        <v>1</v>
      </c>
      <c r="K178" s="7"/>
      <c r="L178" s="10">
        <v>0</v>
      </c>
      <c r="M178" s="11">
        <v>3307500</v>
      </c>
      <c r="N178" s="10">
        <f t="shared" si="10"/>
        <v>99225</v>
      </c>
      <c r="O178" s="10">
        <f t="shared" si="11"/>
        <v>3815532.0000000005</v>
      </c>
      <c r="P178" s="29">
        <v>97581</v>
      </c>
      <c r="Q178" s="30">
        <v>63.6</v>
      </c>
      <c r="R178" s="31">
        <v>153437</v>
      </c>
      <c r="S178" s="31"/>
      <c r="T178" s="30"/>
      <c r="U178" s="30"/>
    </row>
    <row r="179" spans="1:21" x14ac:dyDescent="0.2">
      <c r="A179" s="1" t="s">
        <v>25</v>
      </c>
      <c r="B179" s="4" t="s">
        <v>26</v>
      </c>
      <c r="C179" s="12" t="s">
        <v>87</v>
      </c>
      <c r="D179" s="12" t="s">
        <v>49</v>
      </c>
      <c r="E179" s="7">
        <v>1</v>
      </c>
      <c r="F179" s="8" t="s">
        <v>81</v>
      </c>
      <c r="G179" s="8" t="s">
        <v>76</v>
      </c>
      <c r="H179" s="7" t="s">
        <v>24</v>
      </c>
      <c r="I179" s="9" t="s">
        <v>59</v>
      </c>
      <c r="J179" s="9">
        <v>1</v>
      </c>
      <c r="K179" s="7"/>
      <c r="L179" s="10">
        <v>0</v>
      </c>
      <c r="M179" s="11">
        <v>3307500</v>
      </c>
      <c r="N179" s="10">
        <f t="shared" si="10"/>
        <v>99225</v>
      </c>
      <c r="O179" s="10">
        <f t="shared" si="11"/>
        <v>3815532.0000000005</v>
      </c>
      <c r="P179" s="29">
        <v>56808</v>
      </c>
      <c r="Q179" s="30">
        <v>37.020000000000003</v>
      </c>
      <c r="R179" s="31">
        <v>153437</v>
      </c>
      <c r="S179" s="31"/>
      <c r="T179" s="30"/>
      <c r="U179" s="30"/>
    </row>
    <row r="180" spans="1:21" x14ac:dyDescent="0.2">
      <c r="A180" s="1" t="s">
        <v>25</v>
      </c>
      <c r="B180" s="4" t="s">
        <v>26</v>
      </c>
      <c r="C180" s="12" t="s">
        <v>87</v>
      </c>
      <c r="D180" s="12" t="s">
        <v>92</v>
      </c>
      <c r="E180" s="7">
        <v>1</v>
      </c>
      <c r="F180" s="8" t="s">
        <v>81</v>
      </c>
      <c r="G180" s="8" t="s">
        <v>76</v>
      </c>
      <c r="H180" s="7" t="s">
        <v>24</v>
      </c>
      <c r="I180" s="9" t="s">
        <v>59</v>
      </c>
      <c r="J180" s="9">
        <v>1</v>
      </c>
      <c r="K180" s="7"/>
      <c r="L180" s="10">
        <v>0</v>
      </c>
      <c r="M180" s="11">
        <v>3307500</v>
      </c>
      <c r="N180" s="10">
        <f t="shared" si="10"/>
        <v>99225</v>
      </c>
      <c r="O180" s="10">
        <f t="shared" si="11"/>
        <v>3815532.0000000005</v>
      </c>
      <c r="P180" s="29">
        <v>30451</v>
      </c>
      <c r="Q180" s="30">
        <v>19.850000000000001</v>
      </c>
      <c r="R180" s="31">
        <v>153437</v>
      </c>
      <c r="S180" s="31"/>
      <c r="T180" s="30"/>
      <c r="U180" s="30"/>
    </row>
    <row r="181" spans="1:21" x14ac:dyDescent="0.2">
      <c r="A181" s="1" t="s">
        <v>25</v>
      </c>
      <c r="B181" s="4" t="s">
        <v>26</v>
      </c>
      <c r="C181" s="7" t="s">
        <v>57</v>
      </c>
      <c r="D181" s="7" t="s">
        <v>50</v>
      </c>
      <c r="E181" s="7">
        <v>1</v>
      </c>
      <c r="F181" s="8" t="s">
        <v>81</v>
      </c>
      <c r="G181" s="8" t="s">
        <v>76</v>
      </c>
      <c r="H181" s="7" t="s">
        <v>24</v>
      </c>
      <c r="I181" s="9" t="s">
        <v>63</v>
      </c>
      <c r="J181" s="9">
        <v>1</v>
      </c>
      <c r="K181" s="7"/>
      <c r="L181" s="10">
        <v>0</v>
      </c>
      <c r="M181" s="11">
        <v>3307500</v>
      </c>
      <c r="N181" s="10">
        <f t="shared" si="10"/>
        <v>99225</v>
      </c>
      <c r="O181" s="10">
        <f t="shared" si="11"/>
        <v>3815532.0000000005</v>
      </c>
      <c r="P181" s="29">
        <v>32815</v>
      </c>
      <c r="Q181" s="30">
        <v>28.6</v>
      </c>
      <c r="R181" s="31">
        <v>114749</v>
      </c>
      <c r="S181" s="31"/>
      <c r="T181" s="30"/>
      <c r="U181" s="30"/>
    </row>
    <row r="182" spans="1:21" x14ac:dyDescent="0.2">
      <c r="A182" s="1" t="s">
        <v>25</v>
      </c>
      <c r="B182" s="4" t="s">
        <v>26</v>
      </c>
      <c r="C182" s="7" t="s">
        <v>57</v>
      </c>
      <c r="D182" s="7" t="s">
        <v>51</v>
      </c>
      <c r="E182" s="7">
        <v>1</v>
      </c>
      <c r="F182" s="8" t="s">
        <v>81</v>
      </c>
      <c r="G182" s="8" t="s">
        <v>76</v>
      </c>
      <c r="H182" s="7" t="s">
        <v>24</v>
      </c>
      <c r="I182" s="9" t="s">
        <v>63</v>
      </c>
      <c r="J182" s="9">
        <v>1</v>
      </c>
      <c r="K182" s="7"/>
      <c r="L182" s="10">
        <v>0</v>
      </c>
      <c r="M182" s="11">
        <v>3307500</v>
      </c>
      <c r="N182" s="10">
        <f t="shared" si="10"/>
        <v>99225</v>
      </c>
      <c r="O182" s="10">
        <f t="shared" si="11"/>
        <v>3815532.0000000005</v>
      </c>
      <c r="P182" s="29">
        <v>26695</v>
      </c>
      <c r="Q182" s="30">
        <v>23.26</v>
      </c>
      <c r="R182" s="31">
        <v>114749</v>
      </c>
      <c r="S182" s="31"/>
      <c r="T182" s="30"/>
      <c r="U182" s="30"/>
    </row>
    <row r="183" spans="1:21" x14ac:dyDescent="0.2">
      <c r="A183" s="1" t="s">
        <v>25</v>
      </c>
      <c r="B183" s="4" t="s">
        <v>26</v>
      </c>
      <c r="C183" s="7" t="s">
        <v>57</v>
      </c>
      <c r="D183" s="7" t="s">
        <v>52</v>
      </c>
      <c r="E183" s="7">
        <v>1</v>
      </c>
      <c r="F183" s="8" t="s">
        <v>81</v>
      </c>
      <c r="G183" s="8" t="s">
        <v>76</v>
      </c>
      <c r="H183" s="7" t="s">
        <v>24</v>
      </c>
      <c r="I183" s="9" t="s">
        <v>63</v>
      </c>
      <c r="J183" s="9">
        <v>1</v>
      </c>
      <c r="K183" s="7"/>
      <c r="L183" s="10">
        <v>0</v>
      </c>
      <c r="M183" s="11">
        <v>3307500</v>
      </c>
      <c r="N183" s="10">
        <f t="shared" si="10"/>
        <v>99225</v>
      </c>
      <c r="O183" s="10">
        <f t="shared" si="11"/>
        <v>3815532.0000000005</v>
      </c>
      <c r="P183" s="29">
        <v>40125</v>
      </c>
      <c r="Q183" s="30">
        <v>34.97</v>
      </c>
      <c r="R183" s="31">
        <v>114749</v>
      </c>
      <c r="S183" s="31"/>
      <c r="T183" s="30"/>
      <c r="U183" s="30"/>
    </row>
    <row r="184" spans="1:21" x14ac:dyDescent="0.2">
      <c r="A184" s="1" t="s">
        <v>25</v>
      </c>
      <c r="B184" s="4" t="s">
        <v>26</v>
      </c>
      <c r="C184" s="7" t="s">
        <v>57</v>
      </c>
      <c r="D184" s="7" t="s">
        <v>53</v>
      </c>
      <c r="E184" s="7">
        <v>1</v>
      </c>
      <c r="F184" s="8" t="s">
        <v>81</v>
      </c>
      <c r="G184" s="8" t="s">
        <v>76</v>
      </c>
      <c r="H184" s="7" t="s">
        <v>24</v>
      </c>
      <c r="I184" s="9" t="s">
        <v>63</v>
      </c>
      <c r="J184" s="9">
        <v>1</v>
      </c>
      <c r="K184" s="7"/>
      <c r="L184" s="10">
        <v>0</v>
      </c>
      <c r="M184" s="11">
        <v>3307500</v>
      </c>
      <c r="N184" s="10">
        <f t="shared" si="10"/>
        <v>99225</v>
      </c>
      <c r="O184" s="10">
        <f t="shared" si="11"/>
        <v>3815532.0000000005</v>
      </c>
      <c r="P184" s="29">
        <v>34604</v>
      </c>
      <c r="Q184" s="30">
        <v>30.16</v>
      </c>
      <c r="R184" s="31">
        <v>114749</v>
      </c>
      <c r="S184" s="31"/>
      <c r="T184" s="30"/>
      <c r="U184" s="30"/>
    </row>
    <row r="185" spans="1:21" x14ac:dyDescent="0.2">
      <c r="A185" s="1" t="s">
        <v>25</v>
      </c>
      <c r="B185" s="4" t="s">
        <v>26</v>
      </c>
      <c r="C185" s="7" t="s">
        <v>57</v>
      </c>
      <c r="D185" s="7" t="s">
        <v>54</v>
      </c>
      <c r="E185" s="7">
        <v>1</v>
      </c>
      <c r="F185" s="8" t="s">
        <v>81</v>
      </c>
      <c r="G185" s="8" t="s">
        <v>76</v>
      </c>
      <c r="H185" s="7" t="s">
        <v>24</v>
      </c>
      <c r="I185" s="9" t="s">
        <v>63</v>
      </c>
      <c r="J185" s="9">
        <v>1</v>
      </c>
      <c r="K185" s="7"/>
      <c r="L185" s="10">
        <v>0</v>
      </c>
      <c r="M185" s="11">
        <v>3307500</v>
      </c>
      <c r="N185" s="10">
        <f t="shared" si="10"/>
        <v>99225</v>
      </c>
      <c r="O185" s="10">
        <f t="shared" si="11"/>
        <v>3815532.0000000005</v>
      </c>
      <c r="P185" s="29">
        <v>24651</v>
      </c>
      <c r="Q185" s="30">
        <v>21.48</v>
      </c>
      <c r="R185" s="31">
        <v>114749</v>
      </c>
      <c r="S185" s="31"/>
      <c r="T185" s="30"/>
      <c r="U185" s="30"/>
    </row>
    <row r="186" spans="1:21" x14ac:dyDescent="0.2">
      <c r="A186" s="1" t="s">
        <v>25</v>
      </c>
      <c r="B186" s="4" t="s">
        <v>26</v>
      </c>
      <c r="C186" s="7" t="s">
        <v>57</v>
      </c>
      <c r="D186" s="7" t="s">
        <v>55</v>
      </c>
      <c r="E186" s="7">
        <v>1</v>
      </c>
      <c r="F186" s="8" t="s">
        <v>81</v>
      </c>
      <c r="G186" s="8" t="s">
        <v>76</v>
      </c>
      <c r="H186" s="7" t="s">
        <v>24</v>
      </c>
      <c r="I186" s="9" t="s">
        <v>63</v>
      </c>
      <c r="J186" s="9">
        <v>1</v>
      </c>
      <c r="K186" s="7"/>
      <c r="L186" s="10">
        <v>0</v>
      </c>
      <c r="M186" s="11">
        <v>3307500</v>
      </c>
      <c r="N186" s="10">
        <f t="shared" si="10"/>
        <v>99225</v>
      </c>
      <c r="O186" s="10">
        <f t="shared" si="11"/>
        <v>3815532.0000000005</v>
      </c>
      <c r="P186" s="29">
        <v>24007</v>
      </c>
      <c r="Q186" s="30">
        <v>20.92</v>
      </c>
      <c r="R186" s="31">
        <v>114749</v>
      </c>
      <c r="S186" s="31"/>
      <c r="T186" s="30"/>
      <c r="U186" s="30"/>
    </row>
    <row r="187" spans="1:21" x14ac:dyDescent="0.2">
      <c r="A187" s="1" t="s">
        <v>25</v>
      </c>
      <c r="B187" s="4" t="s">
        <v>26</v>
      </c>
      <c r="C187" s="12" t="s">
        <v>58</v>
      </c>
      <c r="D187" s="12" t="s">
        <v>93</v>
      </c>
      <c r="E187" s="7">
        <v>1</v>
      </c>
      <c r="F187" s="8" t="s">
        <v>81</v>
      </c>
      <c r="G187" s="8" t="s">
        <v>76</v>
      </c>
      <c r="H187" s="7" t="s">
        <v>24</v>
      </c>
      <c r="I187" s="9" t="s">
        <v>63</v>
      </c>
      <c r="J187" s="9">
        <v>1</v>
      </c>
      <c r="K187" s="7"/>
      <c r="L187" s="10">
        <v>0</v>
      </c>
      <c r="M187" s="11">
        <v>3307500</v>
      </c>
      <c r="N187" s="10">
        <f t="shared" si="10"/>
        <v>99225</v>
      </c>
      <c r="O187" s="10">
        <f t="shared" si="11"/>
        <v>3815532.0000000005</v>
      </c>
      <c r="P187" s="29">
        <v>146571</v>
      </c>
      <c r="Q187" s="30">
        <v>42.63</v>
      </c>
      <c r="R187" s="31">
        <v>343814</v>
      </c>
      <c r="S187" s="31"/>
      <c r="T187" s="30"/>
      <c r="U187" s="30"/>
    </row>
    <row r="188" spans="1:21" x14ac:dyDescent="0.2">
      <c r="A188" s="1" t="s">
        <v>25</v>
      </c>
      <c r="B188" s="4" t="s">
        <v>26</v>
      </c>
      <c r="C188" s="12" t="s">
        <v>58</v>
      </c>
      <c r="D188" s="12" t="s">
        <v>94</v>
      </c>
      <c r="E188" s="7">
        <v>1</v>
      </c>
      <c r="F188" s="8" t="s">
        <v>81</v>
      </c>
      <c r="G188" s="8" t="s">
        <v>76</v>
      </c>
      <c r="H188" s="7" t="s">
        <v>24</v>
      </c>
      <c r="I188" s="9" t="s">
        <v>63</v>
      </c>
      <c r="J188" s="9">
        <v>1</v>
      </c>
      <c r="K188" s="7"/>
      <c r="L188" s="10">
        <v>0</v>
      </c>
      <c r="M188" s="11">
        <v>3307500</v>
      </c>
      <c r="N188" s="10">
        <f t="shared" si="10"/>
        <v>99225</v>
      </c>
      <c r="O188" s="10">
        <f t="shared" si="11"/>
        <v>3815532.0000000005</v>
      </c>
      <c r="P188" s="29">
        <v>125977</v>
      </c>
      <c r="Q188" s="30">
        <v>36.64</v>
      </c>
      <c r="R188" s="31">
        <v>343814</v>
      </c>
      <c r="S188" s="31"/>
      <c r="T188" s="30"/>
      <c r="U188" s="30"/>
    </row>
    <row r="189" spans="1:21" x14ac:dyDescent="0.2">
      <c r="A189" s="1" t="s">
        <v>25</v>
      </c>
      <c r="B189" s="4" t="s">
        <v>26</v>
      </c>
      <c r="C189" s="12" t="s">
        <v>58</v>
      </c>
      <c r="D189" s="12" t="s">
        <v>95</v>
      </c>
      <c r="E189" s="7">
        <v>1</v>
      </c>
      <c r="F189" s="8" t="s">
        <v>81</v>
      </c>
      <c r="G189" s="8" t="s">
        <v>76</v>
      </c>
      <c r="H189" s="7" t="s">
        <v>24</v>
      </c>
      <c r="I189" s="9" t="s">
        <v>59</v>
      </c>
      <c r="J189" s="9">
        <v>1</v>
      </c>
      <c r="K189" s="7"/>
      <c r="L189" s="10">
        <v>0</v>
      </c>
      <c r="M189" s="11">
        <v>3307500</v>
      </c>
      <c r="N189" s="10">
        <f t="shared" si="10"/>
        <v>99225</v>
      </c>
      <c r="O189" s="10">
        <f t="shared" si="11"/>
        <v>3815532.0000000005</v>
      </c>
      <c r="P189" s="29">
        <v>161417</v>
      </c>
      <c r="Q189" s="30">
        <v>46.95</v>
      </c>
      <c r="R189" s="31">
        <v>343814</v>
      </c>
      <c r="S189" s="31"/>
      <c r="T189" s="30"/>
      <c r="U189" s="30"/>
    </row>
    <row r="190" spans="1:21" x14ac:dyDescent="0.2">
      <c r="A190" s="1" t="s">
        <v>25</v>
      </c>
      <c r="B190" s="4" t="s">
        <v>26</v>
      </c>
      <c r="C190" s="12" t="s">
        <v>58</v>
      </c>
      <c r="D190" s="12" t="s">
        <v>96</v>
      </c>
      <c r="E190" s="7">
        <v>1</v>
      </c>
      <c r="F190" s="8" t="s">
        <v>81</v>
      </c>
      <c r="G190" s="8" t="s">
        <v>76</v>
      </c>
      <c r="H190" s="7" t="s">
        <v>24</v>
      </c>
      <c r="I190" s="9" t="s">
        <v>59</v>
      </c>
      <c r="J190" s="9">
        <v>1</v>
      </c>
      <c r="K190" s="7"/>
      <c r="L190" s="10">
        <v>0</v>
      </c>
      <c r="M190" s="11">
        <v>3307500</v>
      </c>
      <c r="N190" s="10">
        <f t="shared" si="10"/>
        <v>99225</v>
      </c>
      <c r="O190" s="10">
        <f t="shared" si="11"/>
        <v>3815532.0000000005</v>
      </c>
      <c r="P190" s="29">
        <v>95206</v>
      </c>
      <c r="Q190" s="30">
        <v>27.69</v>
      </c>
      <c r="R190" s="31">
        <v>343814</v>
      </c>
      <c r="S190" s="31"/>
      <c r="T190" s="30"/>
      <c r="U190" s="30"/>
    </row>
    <row r="191" spans="1:21" x14ac:dyDescent="0.2">
      <c r="A191" s="1" t="s">
        <v>25</v>
      </c>
      <c r="B191" s="4" t="s">
        <v>26</v>
      </c>
      <c r="C191" s="12" t="s">
        <v>58</v>
      </c>
      <c r="D191" s="12" t="s">
        <v>97</v>
      </c>
      <c r="E191" s="7">
        <v>1</v>
      </c>
      <c r="F191" s="8" t="s">
        <v>81</v>
      </c>
      <c r="G191" s="8" t="s">
        <v>76</v>
      </c>
      <c r="H191" s="7" t="s">
        <v>24</v>
      </c>
      <c r="I191" s="9" t="s">
        <v>59</v>
      </c>
      <c r="J191" s="9">
        <v>1</v>
      </c>
      <c r="K191" s="7"/>
      <c r="L191" s="10">
        <v>0</v>
      </c>
      <c r="M191" s="11">
        <v>3307500</v>
      </c>
      <c r="N191" s="10">
        <f t="shared" si="10"/>
        <v>99225</v>
      </c>
      <c r="O191" s="10">
        <f t="shared" si="11"/>
        <v>3815532.0000000005</v>
      </c>
      <c r="P191" s="29">
        <v>108589</v>
      </c>
      <c r="Q191" s="30">
        <v>31.58</v>
      </c>
      <c r="R191" s="31">
        <v>343814</v>
      </c>
      <c r="S191" s="31"/>
      <c r="T191" s="30"/>
      <c r="U191" s="30"/>
    </row>
    <row r="192" spans="1:21" x14ac:dyDescent="0.2">
      <c r="A192" s="1" t="s">
        <v>25</v>
      </c>
      <c r="B192" s="4" t="s">
        <v>26</v>
      </c>
      <c r="C192" s="12" t="s">
        <v>98</v>
      </c>
      <c r="D192" s="12" t="s">
        <v>99</v>
      </c>
      <c r="E192" s="7">
        <v>1</v>
      </c>
      <c r="F192" s="8" t="s">
        <v>81</v>
      </c>
      <c r="G192" s="8" t="s">
        <v>76</v>
      </c>
      <c r="H192" s="7" t="s">
        <v>24</v>
      </c>
      <c r="I192" s="9" t="s">
        <v>59</v>
      </c>
      <c r="J192" s="9">
        <v>1</v>
      </c>
      <c r="K192" s="7"/>
      <c r="L192" s="10">
        <v>0</v>
      </c>
      <c r="M192" s="11">
        <v>3307500</v>
      </c>
      <c r="N192" s="10">
        <f t="shared" si="10"/>
        <v>99225</v>
      </c>
      <c r="O192" s="10">
        <f t="shared" si="11"/>
        <v>3815532.0000000005</v>
      </c>
      <c r="P192" s="29">
        <v>32188</v>
      </c>
      <c r="Q192" s="30">
        <v>23.1</v>
      </c>
      <c r="R192" s="31">
        <v>139360</v>
      </c>
      <c r="S192" s="31"/>
      <c r="T192" s="30"/>
      <c r="U192" s="30"/>
    </row>
    <row r="193" spans="1:21" x14ac:dyDescent="0.2">
      <c r="A193" s="1" t="s">
        <v>25</v>
      </c>
      <c r="B193" s="4" t="s">
        <v>26</v>
      </c>
      <c r="C193" s="12" t="s">
        <v>98</v>
      </c>
      <c r="D193" s="12" t="s">
        <v>100</v>
      </c>
      <c r="E193" s="7">
        <v>1</v>
      </c>
      <c r="F193" s="8" t="s">
        <v>81</v>
      </c>
      <c r="G193" s="8" t="s">
        <v>76</v>
      </c>
      <c r="H193" s="7" t="s">
        <v>24</v>
      </c>
      <c r="I193" s="9" t="s">
        <v>59</v>
      </c>
      <c r="J193" s="9">
        <v>1</v>
      </c>
      <c r="K193" s="7"/>
      <c r="L193" s="10">
        <v>0</v>
      </c>
      <c r="M193" s="11">
        <v>3307500</v>
      </c>
      <c r="N193" s="10">
        <f t="shared" si="10"/>
        <v>99225</v>
      </c>
      <c r="O193" s="10">
        <f t="shared" si="11"/>
        <v>3815532.0000000005</v>
      </c>
      <c r="P193" s="29">
        <v>48765</v>
      </c>
      <c r="Q193" s="30">
        <v>34.99</v>
      </c>
      <c r="R193" s="31">
        <v>139360</v>
      </c>
      <c r="S193" s="31"/>
      <c r="T193" s="30"/>
      <c r="U193" s="30"/>
    </row>
    <row r="194" spans="1:21" x14ac:dyDescent="0.2">
      <c r="A194" s="1" t="s">
        <v>25</v>
      </c>
      <c r="B194" s="4" t="s">
        <v>26</v>
      </c>
      <c r="C194" s="12" t="s">
        <v>98</v>
      </c>
      <c r="D194" s="12" t="s">
        <v>101</v>
      </c>
      <c r="E194" s="7">
        <v>1</v>
      </c>
      <c r="F194" s="8" t="s">
        <v>81</v>
      </c>
      <c r="G194" s="8" t="s">
        <v>76</v>
      </c>
      <c r="H194" s="7" t="s">
        <v>24</v>
      </c>
      <c r="I194" s="9" t="s">
        <v>59</v>
      </c>
      <c r="J194" s="9">
        <v>1</v>
      </c>
      <c r="K194" s="7"/>
      <c r="L194" s="10">
        <v>0</v>
      </c>
      <c r="M194" s="11">
        <v>3307500</v>
      </c>
      <c r="N194" s="10">
        <f t="shared" si="10"/>
        <v>99225</v>
      </c>
      <c r="O194" s="10">
        <f t="shared" si="11"/>
        <v>3815532.0000000005</v>
      </c>
      <c r="P194" s="29">
        <v>39855</v>
      </c>
      <c r="Q194" s="30">
        <v>28.6</v>
      </c>
      <c r="R194" s="31">
        <v>139360</v>
      </c>
      <c r="S194" s="31"/>
      <c r="T194" s="30"/>
      <c r="U194" s="30"/>
    </row>
    <row r="195" spans="1:21" x14ac:dyDescent="0.2">
      <c r="A195" s="1" t="s">
        <v>25</v>
      </c>
      <c r="B195" s="4" t="s">
        <v>26</v>
      </c>
      <c r="C195" s="12" t="s">
        <v>98</v>
      </c>
      <c r="D195" s="12" t="s">
        <v>102</v>
      </c>
      <c r="E195" s="7">
        <v>1</v>
      </c>
      <c r="F195" s="8" t="s">
        <v>81</v>
      </c>
      <c r="G195" s="8" t="s">
        <v>76</v>
      </c>
      <c r="H195" s="7" t="s">
        <v>24</v>
      </c>
      <c r="I195" s="9" t="s">
        <v>59</v>
      </c>
      <c r="J195" s="9">
        <v>1</v>
      </c>
      <c r="K195" s="7"/>
      <c r="L195" s="10">
        <v>0</v>
      </c>
      <c r="M195" s="11">
        <v>3307500</v>
      </c>
      <c r="N195" s="10">
        <f t="shared" si="10"/>
        <v>99225</v>
      </c>
      <c r="O195" s="10">
        <f t="shared" si="11"/>
        <v>3815532.0000000005</v>
      </c>
      <c r="P195" s="29">
        <v>45122</v>
      </c>
      <c r="Q195" s="30">
        <v>32.380000000000003</v>
      </c>
      <c r="R195" s="31">
        <v>139360</v>
      </c>
      <c r="S195" s="31"/>
      <c r="T195" s="30"/>
      <c r="U195" s="30"/>
    </row>
    <row r="196" spans="1:21" x14ac:dyDescent="0.2">
      <c r="A196" s="1" t="s">
        <v>25</v>
      </c>
      <c r="B196" s="4" t="s">
        <v>26</v>
      </c>
      <c r="C196" s="12" t="s">
        <v>103</v>
      </c>
      <c r="D196" s="12" t="s">
        <v>104</v>
      </c>
      <c r="E196" s="7">
        <v>1</v>
      </c>
      <c r="F196" s="8" t="s">
        <v>81</v>
      </c>
      <c r="G196" s="8" t="s">
        <v>76</v>
      </c>
      <c r="H196" s="7" t="s">
        <v>24</v>
      </c>
      <c r="I196" s="9" t="s">
        <v>64</v>
      </c>
      <c r="J196" s="9">
        <v>1</v>
      </c>
      <c r="K196" s="7"/>
      <c r="L196" s="10">
        <v>0</v>
      </c>
      <c r="M196" s="11">
        <v>3307500</v>
      </c>
      <c r="N196" s="10">
        <f t="shared" si="10"/>
        <v>99225</v>
      </c>
      <c r="O196" s="10">
        <f t="shared" si="11"/>
        <v>3815532.0000000005</v>
      </c>
      <c r="P196" s="29">
        <v>43148</v>
      </c>
      <c r="Q196" s="30">
        <v>30.34</v>
      </c>
      <c r="R196" s="31">
        <v>142197</v>
      </c>
      <c r="S196" s="31"/>
      <c r="T196" s="30"/>
      <c r="U196" s="30"/>
    </row>
    <row r="197" spans="1:21" x14ac:dyDescent="0.2">
      <c r="A197" s="1" t="s">
        <v>25</v>
      </c>
      <c r="B197" s="4" t="s">
        <v>26</v>
      </c>
      <c r="C197" s="12" t="s">
        <v>103</v>
      </c>
      <c r="D197" s="12" t="s">
        <v>105</v>
      </c>
      <c r="E197" s="7">
        <v>1</v>
      </c>
      <c r="F197" s="8" t="s">
        <v>81</v>
      </c>
      <c r="G197" s="8" t="s">
        <v>76</v>
      </c>
      <c r="H197" s="7" t="s">
        <v>24</v>
      </c>
      <c r="I197" s="9" t="s">
        <v>64</v>
      </c>
      <c r="J197" s="9">
        <v>1</v>
      </c>
      <c r="K197" s="7"/>
      <c r="L197" s="10">
        <v>0</v>
      </c>
      <c r="M197" s="11">
        <v>3307500</v>
      </c>
      <c r="N197" s="10">
        <f t="shared" si="10"/>
        <v>99225</v>
      </c>
      <c r="O197" s="10">
        <f t="shared" si="11"/>
        <v>3815532.0000000005</v>
      </c>
      <c r="P197" s="29">
        <v>52263</v>
      </c>
      <c r="Q197" s="30">
        <v>36.75</v>
      </c>
      <c r="R197" s="31">
        <v>142197</v>
      </c>
      <c r="S197" s="31"/>
      <c r="T197" s="30"/>
      <c r="U197" s="30"/>
    </row>
    <row r="198" spans="1:21" x14ac:dyDescent="0.2">
      <c r="A198" s="1" t="s">
        <v>25</v>
      </c>
      <c r="B198" s="4" t="s">
        <v>26</v>
      </c>
      <c r="C198" s="12" t="s">
        <v>103</v>
      </c>
      <c r="D198" s="12" t="s">
        <v>106</v>
      </c>
      <c r="E198" s="7">
        <v>1</v>
      </c>
      <c r="F198" s="8" t="s">
        <v>81</v>
      </c>
      <c r="G198" s="8" t="s">
        <v>76</v>
      </c>
      <c r="H198" s="7" t="s">
        <v>24</v>
      </c>
      <c r="I198" s="9" t="s">
        <v>64</v>
      </c>
      <c r="J198" s="9">
        <v>1</v>
      </c>
      <c r="K198" s="7"/>
      <c r="L198" s="10">
        <v>0</v>
      </c>
      <c r="M198" s="11">
        <v>3307500</v>
      </c>
      <c r="N198" s="10">
        <f t="shared" si="10"/>
        <v>99225</v>
      </c>
      <c r="O198" s="10">
        <f t="shared" si="11"/>
        <v>3815532.0000000005</v>
      </c>
      <c r="P198" s="29">
        <v>60572</v>
      </c>
      <c r="Q198" s="30">
        <v>42.6</v>
      </c>
      <c r="R198" s="31">
        <v>142197</v>
      </c>
      <c r="S198" s="31"/>
      <c r="T198" s="30"/>
      <c r="U198" s="30"/>
    </row>
    <row r="199" spans="1:21" x14ac:dyDescent="0.2">
      <c r="A199" s="1" t="s">
        <v>25</v>
      </c>
      <c r="B199" s="4" t="s">
        <v>26</v>
      </c>
      <c r="C199" s="12" t="s">
        <v>103</v>
      </c>
      <c r="D199" s="12" t="s">
        <v>107</v>
      </c>
      <c r="E199" s="7">
        <v>1</v>
      </c>
      <c r="F199" s="8" t="s">
        <v>81</v>
      </c>
      <c r="G199" s="8" t="s">
        <v>76</v>
      </c>
      <c r="H199" s="7" t="s">
        <v>24</v>
      </c>
      <c r="I199" s="9" t="s">
        <v>64</v>
      </c>
      <c r="J199" s="9">
        <v>1</v>
      </c>
      <c r="K199" s="7"/>
      <c r="L199" s="10">
        <v>0</v>
      </c>
      <c r="M199" s="11">
        <v>3307500</v>
      </c>
      <c r="N199" s="10">
        <f t="shared" si="10"/>
        <v>99225</v>
      </c>
      <c r="O199" s="10">
        <f t="shared" si="11"/>
        <v>3815532.0000000005</v>
      </c>
      <c r="P199" s="29">
        <v>35096</v>
      </c>
      <c r="Q199" s="30">
        <v>24.68</v>
      </c>
      <c r="R199" s="31">
        <v>142197</v>
      </c>
      <c r="S199" s="31"/>
      <c r="T199" s="30"/>
      <c r="U199" s="30"/>
    </row>
    <row r="200" spans="1:21" x14ac:dyDescent="0.2">
      <c r="A200" s="1" t="s">
        <v>25</v>
      </c>
      <c r="B200" s="4" t="s">
        <v>26</v>
      </c>
      <c r="C200" s="12" t="s">
        <v>108</v>
      </c>
      <c r="D200" s="12" t="s">
        <v>109</v>
      </c>
      <c r="E200" s="7">
        <v>1</v>
      </c>
      <c r="F200" s="8" t="s">
        <v>81</v>
      </c>
      <c r="G200" s="8" t="s">
        <v>76</v>
      </c>
      <c r="H200" s="7" t="s">
        <v>24</v>
      </c>
      <c r="I200" s="9" t="s">
        <v>59</v>
      </c>
      <c r="J200" s="9">
        <v>1</v>
      </c>
      <c r="K200" s="7"/>
      <c r="L200" s="10">
        <v>0</v>
      </c>
      <c r="M200" s="11">
        <v>3307500</v>
      </c>
      <c r="N200" s="10">
        <f t="shared" si="10"/>
        <v>99225</v>
      </c>
      <c r="O200" s="10">
        <f t="shared" si="11"/>
        <v>3815532.0000000005</v>
      </c>
      <c r="P200" s="29">
        <v>39211</v>
      </c>
      <c r="Q200" s="30">
        <v>40.92</v>
      </c>
      <c r="R200" s="31">
        <v>95816</v>
      </c>
      <c r="S200" s="31"/>
      <c r="T200" s="30"/>
      <c r="U200" s="30"/>
    </row>
    <row r="201" spans="1:21" x14ac:dyDescent="0.2">
      <c r="A201" s="1" t="s">
        <v>25</v>
      </c>
      <c r="B201" s="4" t="s">
        <v>26</v>
      </c>
      <c r="C201" s="12" t="s">
        <v>108</v>
      </c>
      <c r="D201" s="12" t="s">
        <v>110</v>
      </c>
      <c r="E201" s="7">
        <v>1</v>
      </c>
      <c r="F201" s="8" t="s">
        <v>81</v>
      </c>
      <c r="G201" s="8" t="s">
        <v>76</v>
      </c>
      <c r="H201" s="7" t="s">
        <v>24</v>
      </c>
      <c r="I201" s="9" t="s">
        <v>72</v>
      </c>
      <c r="J201" s="9">
        <v>1</v>
      </c>
      <c r="K201" s="7"/>
      <c r="L201" s="10">
        <v>0</v>
      </c>
      <c r="M201" s="11">
        <v>3307500</v>
      </c>
      <c r="N201" s="10">
        <f t="shared" si="10"/>
        <v>99225</v>
      </c>
      <c r="O201" s="10">
        <f t="shared" si="11"/>
        <v>3815532.0000000005</v>
      </c>
      <c r="P201" s="29">
        <v>28634</v>
      </c>
      <c r="Q201" s="30">
        <v>29.88</v>
      </c>
      <c r="R201" s="31">
        <v>95816</v>
      </c>
      <c r="S201" s="31"/>
      <c r="T201" s="30"/>
      <c r="U201" s="30"/>
    </row>
    <row r="202" spans="1:21" x14ac:dyDescent="0.2">
      <c r="A202" s="1" t="s">
        <v>25</v>
      </c>
      <c r="B202" s="4" t="s">
        <v>26</v>
      </c>
      <c r="C202" s="12" t="s">
        <v>108</v>
      </c>
      <c r="D202" s="12" t="s">
        <v>111</v>
      </c>
      <c r="E202" s="7">
        <v>1</v>
      </c>
      <c r="F202" s="8" t="s">
        <v>81</v>
      </c>
      <c r="G202" s="8" t="s">
        <v>76</v>
      </c>
      <c r="H202" s="7" t="s">
        <v>24</v>
      </c>
      <c r="I202" s="9" t="s">
        <v>73</v>
      </c>
      <c r="J202" s="9">
        <v>1</v>
      </c>
      <c r="K202" s="7"/>
      <c r="L202" s="10">
        <v>0</v>
      </c>
      <c r="M202" s="11">
        <v>3307500</v>
      </c>
      <c r="N202" s="10">
        <f t="shared" si="10"/>
        <v>99225</v>
      </c>
      <c r="O202" s="10">
        <f t="shared" si="11"/>
        <v>3815532.0000000005</v>
      </c>
      <c r="P202" s="29">
        <v>61706</v>
      </c>
      <c r="Q202" s="30">
        <v>64.400000000000006</v>
      </c>
      <c r="R202" s="31">
        <v>95816</v>
      </c>
      <c r="S202" s="31"/>
      <c r="T202" s="30"/>
      <c r="U202" s="30"/>
    </row>
    <row r="203" spans="1:21" x14ac:dyDescent="0.2">
      <c r="A203" s="1" t="s">
        <v>25</v>
      </c>
      <c r="B203" s="4" t="s">
        <v>26</v>
      </c>
      <c r="C203" s="12" t="s">
        <v>108</v>
      </c>
      <c r="D203" s="12" t="s">
        <v>112</v>
      </c>
      <c r="E203" s="7">
        <v>1</v>
      </c>
      <c r="F203" s="8" t="s">
        <v>81</v>
      </c>
      <c r="G203" s="8" t="s">
        <v>76</v>
      </c>
      <c r="H203" s="7" t="s">
        <v>24</v>
      </c>
      <c r="I203" s="9" t="s">
        <v>74</v>
      </c>
      <c r="J203" s="9">
        <v>1</v>
      </c>
      <c r="K203" s="7"/>
      <c r="L203" s="10">
        <v>0</v>
      </c>
      <c r="M203" s="11">
        <v>3307500</v>
      </c>
      <c r="N203" s="10">
        <f t="shared" si="10"/>
        <v>99225</v>
      </c>
      <c r="O203" s="10">
        <f t="shared" si="11"/>
        <v>3815532.0000000005</v>
      </c>
      <c r="P203" s="29">
        <v>41734</v>
      </c>
      <c r="Q203" s="30">
        <v>43.56</v>
      </c>
      <c r="R203" s="31">
        <v>95816</v>
      </c>
      <c r="S203" s="31"/>
      <c r="T203" s="30"/>
      <c r="U203" s="30"/>
    </row>
    <row r="204" spans="1:21" x14ac:dyDescent="0.2">
      <c r="A204" s="1" t="s">
        <v>25</v>
      </c>
      <c r="B204" s="4" t="s">
        <v>26</v>
      </c>
      <c r="C204" s="12" t="s">
        <v>17</v>
      </c>
      <c r="D204" s="12" t="s">
        <v>113</v>
      </c>
      <c r="E204" s="7">
        <v>1</v>
      </c>
      <c r="F204" s="8" t="s">
        <v>81</v>
      </c>
      <c r="G204" s="8" t="s">
        <v>76</v>
      </c>
      <c r="H204" s="7" t="s">
        <v>24</v>
      </c>
      <c r="I204" s="9" t="s">
        <v>63</v>
      </c>
      <c r="J204" s="9">
        <v>1</v>
      </c>
      <c r="K204" s="7"/>
      <c r="L204" s="10">
        <v>0</v>
      </c>
      <c r="M204" s="11">
        <v>3307500</v>
      </c>
      <c r="N204" s="10">
        <f t="shared" si="10"/>
        <v>99225</v>
      </c>
      <c r="O204" s="10">
        <f t="shared" si="11"/>
        <v>3815532.0000000005</v>
      </c>
      <c r="P204" s="29">
        <v>103938</v>
      </c>
      <c r="Q204" s="30">
        <v>49.5</v>
      </c>
      <c r="R204" s="31">
        <v>209957</v>
      </c>
      <c r="S204" s="31"/>
      <c r="T204" s="30"/>
      <c r="U204" s="30"/>
    </row>
    <row r="205" spans="1:21" x14ac:dyDescent="0.2">
      <c r="A205" s="1" t="s">
        <v>25</v>
      </c>
      <c r="B205" s="4" t="s">
        <v>26</v>
      </c>
      <c r="C205" s="12" t="s">
        <v>17</v>
      </c>
      <c r="D205" s="12" t="s">
        <v>114</v>
      </c>
      <c r="E205" s="7">
        <v>1</v>
      </c>
      <c r="F205" s="8" t="s">
        <v>81</v>
      </c>
      <c r="G205" s="8" t="s">
        <v>76</v>
      </c>
      <c r="H205" s="7" t="s">
        <v>24</v>
      </c>
      <c r="I205" s="9" t="s">
        <v>63</v>
      </c>
      <c r="J205" s="9">
        <v>1</v>
      </c>
      <c r="K205" s="7"/>
      <c r="L205" s="10">
        <v>0</v>
      </c>
      <c r="M205" s="11">
        <v>3307500</v>
      </c>
      <c r="N205" s="10">
        <f t="shared" si="10"/>
        <v>99225</v>
      </c>
      <c r="O205" s="10">
        <f t="shared" si="11"/>
        <v>3815532.0000000005</v>
      </c>
      <c r="P205" s="29">
        <v>80536</v>
      </c>
      <c r="Q205" s="30">
        <v>38.36</v>
      </c>
      <c r="R205" s="31">
        <v>209957</v>
      </c>
      <c r="S205" s="31"/>
      <c r="T205" s="30"/>
      <c r="U205" s="30"/>
    </row>
    <row r="206" spans="1:21" x14ac:dyDescent="0.2">
      <c r="A206" s="1" t="s">
        <v>25</v>
      </c>
      <c r="B206" s="4" t="s">
        <v>26</v>
      </c>
      <c r="C206" s="12" t="s">
        <v>17</v>
      </c>
      <c r="D206" s="12" t="s">
        <v>115</v>
      </c>
      <c r="E206" s="7">
        <v>1</v>
      </c>
      <c r="F206" s="8" t="s">
        <v>81</v>
      </c>
      <c r="G206" s="8" t="s">
        <v>76</v>
      </c>
      <c r="H206" s="7" t="s">
        <v>24</v>
      </c>
      <c r="I206" s="9" t="s">
        <v>63</v>
      </c>
      <c r="J206" s="9">
        <v>1</v>
      </c>
      <c r="K206" s="7"/>
      <c r="L206" s="10">
        <v>0</v>
      </c>
      <c r="M206" s="11">
        <v>3307500</v>
      </c>
      <c r="N206" s="10">
        <f t="shared" si="10"/>
        <v>99225</v>
      </c>
      <c r="O206" s="10">
        <f t="shared" si="11"/>
        <v>3815532.0000000005</v>
      </c>
      <c r="P206" s="29">
        <v>57777</v>
      </c>
      <c r="Q206" s="30">
        <v>27.52</v>
      </c>
      <c r="R206" s="31">
        <v>209957</v>
      </c>
      <c r="S206" s="31"/>
      <c r="T206" s="30"/>
      <c r="U206" s="30"/>
    </row>
    <row r="207" spans="1:21" x14ac:dyDescent="0.2">
      <c r="A207" s="1" t="s">
        <v>25</v>
      </c>
      <c r="B207" s="4" t="s">
        <v>26</v>
      </c>
      <c r="C207" s="12" t="s">
        <v>17</v>
      </c>
      <c r="D207" s="12" t="s">
        <v>116</v>
      </c>
      <c r="E207" s="7">
        <v>1</v>
      </c>
      <c r="F207" s="8" t="s">
        <v>81</v>
      </c>
      <c r="G207" s="8" t="s">
        <v>76</v>
      </c>
      <c r="H207" s="7" t="s">
        <v>24</v>
      </c>
      <c r="I207" s="9" t="s">
        <v>63</v>
      </c>
      <c r="J207" s="9">
        <v>1</v>
      </c>
      <c r="K207" s="7"/>
      <c r="L207" s="10">
        <v>0</v>
      </c>
      <c r="M207" s="11">
        <v>3307500</v>
      </c>
      <c r="N207" s="10">
        <f t="shared" si="10"/>
        <v>99225</v>
      </c>
      <c r="O207" s="10">
        <f t="shared" si="11"/>
        <v>3815532.0000000005</v>
      </c>
      <c r="P207" s="29">
        <v>61012</v>
      </c>
      <c r="Q207" s="30">
        <v>29.06</v>
      </c>
      <c r="R207" s="31">
        <v>209957</v>
      </c>
      <c r="S207" s="31"/>
      <c r="T207" s="30"/>
      <c r="U207" s="30"/>
    </row>
    <row r="208" spans="1:21" x14ac:dyDescent="0.2">
      <c r="A208" s="1" t="s">
        <v>25</v>
      </c>
      <c r="B208" s="4" t="s">
        <v>26</v>
      </c>
      <c r="C208" s="12" t="s">
        <v>17</v>
      </c>
      <c r="D208" s="12" t="s">
        <v>117</v>
      </c>
      <c r="E208" s="7">
        <v>1</v>
      </c>
      <c r="F208" s="8" t="s">
        <v>81</v>
      </c>
      <c r="G208" s="8" t="s">
        <v>76</v>
      </c>
      <c r="H208" s="7" t="s">
        <v>24</v>
      </c>
      <c r="I208" s="9" t="s">
        <v>63</v>
      </c>
      <c r="J208" s="9">
        <v>1</v>
      </c>
      <c r="K208" s="7"/>
      <c r="L208" s="10">
        <v>0</v>
      </c>
      <c r="M208" s="11">
        <v>3307500</v>
      </c>
      <c r="N208" s="10">
        <f t="shared" si="10"/>
        <v>99225</v>
      </c>
      <c r="O208" s="10">
        <f t="shared" si="11"/>
        <v>3815532.0000000005</v>
      </c>
      <c r="P208" s="29">
        <v>120011</v>
      </c>
      <c r="Q208" s="30">
        <v>57.16</v>
      </c>
      <c r="R208" s="31">
        <v>209957</v>
      </c>
      <c r="S208" s="31"/>
      <c r="T208" s="30"/>
      <c r="U208" s="30"/>
    </row>
    <row r="209" spans="1:21" x14ac:dyDescent="0.2">
      <c r="A209" s="1" t="s">
        <v>25</v>
      </c>
      <c r="B209" s="4" t="s">
        <v>26</v>
      </c>
      <c r="C209" s="12" t="s">
        <v>18</v>
      </c>
      <c r="D209" s="12" t="s">
        <v>118</v>
      </c>
      <c r="E209" s="7">
        <v>1</v>
      </c>
      <c r="F209" s="8" t="s">
        <v>81</v>
      </c>
      <c r="G209" s="8" t="s">
        <v>76</v>
      </c>
      <c r="H209" s="7" t="s">
        <v>24</v>
      </c>
      <c r="I209" s="9" t="s">
        <v>64</v>
      </c>
      <c r="J209" s="9">
        <v>1</v>
      </c>
      <c r="K209" s="7"/>
      <c r="L209" s="10">
        <v>0</v>
      </c>
      <c r="M209" s="11">
        <v>3307500</v>
      </c>
      <c r="N209" s="10">
        <f t="shared" si="10"/>
        <v>99225</v>
      </c>
      <c r="O209" s="10">
        <f t="shared" si="11"/>
        <v>3815532.0000000005</v>
      </c>
      <c r="P209" s="29">
        <v>83833</v>
      </c>
      <c r="Q209" s="30">
        <v>27.51</v>
      </c>
      <c r="R209" s="31">
        <v>304698</v>
      </c>
      <c r="S209" s="31"/>
      <c r="T209" s="30"/>
      <c r="U209" s="30"/>
    </row>
    <row r="210" spans="1:21" x14ac:dyDescent="0.2">
      <c r="A210" s="1" t="s">
        <v>25</v>
      </c>
      <c r="B210" s="4" t="s">
        <v>26</v>
      </c>
      <c r="C210" s="12" t="s">
        <v>18</v>
      </c>
      <c r="D210" s="12" t="s">
        <v>119</v>
      </c>
      <c r="E210" s="7">
        <v>1</v>
      </c>
      <c r="F210" s="8" t="s">
        <v>81</v>
      </c>
      <c r="G210" s="8" t="s">
        <v>76</v>
      </c>
      <c r="H210" s="7" t="s">
        <v>24</v>
      </c>
      <c r="I210" s="9" t="s">
        <v>75</v>
      </c>
      <c r="J210" s="9">
        <v>1</v>
      </c>
      <c r="K210" s="7"/>
      <c r="L210" s="10">
        <v>0</v>
      </c>
      <c r="M210" s="11">
        <v>3307500</v>
      </c>
      <c r="N210" s="10">
        <f t="shared" ref="N210:N215" si="12">M210*3%</f>
        <v>99225</v>
      </c>
      <c r="O210" s="10">
        <f t="shared" ref="O210:O213" si="13">(M210+N210)*1.12</f>
        <v>3815532.0000000005</v>
      </c>
      <c r="P210" s="29">
        <v>112871</v>
      </c>
      <c r="Q210" s="30">
        <v>37.04</v>
      </c>
      <c r="R210" s="31">
        <v>304698</v>
      </c>
      <c r="S210" s="31"/>
      <c r="T210" s="30"/>
      <c r="U210" s="30"/>
    </row>
    <row r="211" spans="1:21" x14ac:dyDescent="0.2">
      <c r="A211" s="1" t="s">
        <v>25</v>
      </c>
      <c r="B211" s="4" t="s">
        <v>26</v>
      </c>
      <c r="C211" s="12" t="s">
        <v>18</v>
      </c>
      <c r="D211" s="12" t="s">
        <v>120</v>
      </c>
      <c r="E211" s="7">
        <v>1</v>
      </c>
      <c r="F211" s="8" t="s">
        <v>81</v>
      </c>
      <c r="G211" s="8" t="s">
        <v>76</v>
      </c>
      <c r="H211" s="7" t="s">
        <v>24</v>
      </c>
      <c r="I211" s="9" t="s">
        <v>64</v>
      </c>
      <c r="J211" s="9">
        <v>1</v>
      </c>
      <c r="K211" s="7"/>
      <c r="L211" s="10">
        <v>0</v>
      </c>
      <c r="M211" s="11">
        <v>3307500</v>
      </c>
      <c r="N211" s="10">
        <f t="shared" si="12"/>
        <v>99225</v>
      </c>
      <c r="O211" s="10">
        <f t="shared" si="13"/>
        <v>3815532.0000000005</v>
      </c>
      <c r="P211" s="29">
        <v>70317</v>
      </c>
      <c r="Q211" s="30">
        <v>23.08</v>
      </c>
      <c r="R211" s="31">
        <v>304698</v>
      </c>
      <c r="S211" s="31"/>
      <c r="T211" s="30"/>
      <c r="U211" s="30"/>
    </row>
    <row r="212" spans="1:21" x14ac:dyDescent="0.2">
      <c r="A212" s="1" t="s">
        <v>25</v>
      </c>
      <c r="B212" s="4" t="s">
        <v>26</v>
      </c>
      <c r="C212" s="12" t="s">
        <v>18</v>
      </c>
      <c r="D212" s="12" t="s">
        <v>121</v>
      </c>
      <c r="E212" s="7">
        <v>1</v>
      </c>
      <c r="F212" s="8" t="s">
        <v>81</v>
      </c>
      <c r="G212" s="8" t="s">
        <v>76</v>
      </c>
      <c r="H212" s="7" t="s">
        <v>24</v>
      </c>
      <c r="I212" s="9" t="s">
        <v>75</v>
      </c>
      <c r="J212" s="9">
        <v>1</v>
      </c>
      <c r="K212" s="7"/>
      <c r="L212" s="10">
        <v>0</v>
      </c>
      <c r="M212" s="11">
        <v>3307500</v>
      </c>
      <c r="N212" s="10">
        <f t="shared" si="12"/>
        <v>99225</v>
      </c>
      <c r="O212" s="10">
        <f t="shared" si="13"/>
        <v>3815532.0000000005</v>
      </c>
      <c r="P212" s="29">
        <v>48472</v>
      </c>
      <c r="Q212" s="30">
        <v>15.91</v>
      </c>
      <c r="R212" s="31">
        <v>304698</v>
      </c>
      <c r="S212" s="31"/>
      <c r="T212" s="30"/>
      <c r="U212" s="30"/>
    </row>
    <row r="213" spans="1:21" x14ac:dyDescent="0.2">
      <c r="A213" s="1" t="s">
        <v>25</v>
      </c>
      <c r="B213" s="4" t="s">
        <v>26</v>
      </c>
      <c r="C213" s="12" t="s">
        <v>18</v>
      </c>
      <c r="D213" s="12" t="s">
        <v>122</v>
      </c>
      <c r="E213" s="7">
        <v>1</v>
      </c>
      <c r="F213" s="8" t="s">
        <v>81</v>
      </c>
      <c r="G213" s="8" t="s">
        <v>76</v>
      </c>
      <c r="H213" s="7" t="s">
        <v>24</v>
      </c>
      <c r="I213" s="9" t="s">
        <v>59</v>
      </c>
      <c r="J213" s="9">
        <v>1</v>
      </c>
      <c r="K213" s="7"/>
      <c r="L213" s="10">
        <v>0</v>
      </c>
      <c r="M213" s="11">
        <v>3307500</v>
      </c>
      <c r="N213" s="10">
        <f t="shared" si="12"/>
        <v>99225</v>
      </c>
      <c r="O213" s="10">
        <f t="shared" si="13"/>
        <v>3815532.0000000005</v>
      </c>
      <c r="P213" s="29">
        <v>181858</v>
      </c>
      <c r="Q213" s="30">
        <v>59.68</v>
      </c>
      <c r="R213" s="31">
        <v>304698</v>
      </c>
      <c r="S213" s="31"/>
      <c r="T213" s="30"/>
      <c r="U213" s="30"/>
    </row>
    <row r="214" spans="1:21" x14ac:dyDescent="0.2">
      <c r="A214" s="1" t="s">
        <v>25</v>
      </c>
      <c r="B214" s="4" t="s">
        <v>26</v>
      </c>
      <c r="C214" s="12" t="s">
        <v>18</v>
      </c>
      <c r="D214" s="12" t="s">
        <v>123</v>
      </c>
      <c r="E214" s="7">
        <v>1</v>
      </c>
      <c r="F214" s="8" t="s">
        <v>81</v>
      </c>
      <c r="G214" s="8" t="s">
        <v>76</v>
      </c>
      <c r="H214" s="7" t="s">
        <v>24</v>
      </c>
      <c r="I214" s="9" t="s">
        <v>59</v>
      </c>
      <c r="J214" s="9">
        <v>1</v>
      </c>
      <c r="K214" s="7"/>
      <c r="L214" s="10">
        <v>0</v>
      </c>
      <c r="M214" s="11">
        <v>3307500</v>
      </c>
      <c r="N214" s="10">
        <f t="shared" si="12"/>
        <v>99225</v>
      </c>
      <c r="O214" s="10">
        <f>(M214+N214+L214)*1.12</f>
        <v>3815532.0000000005</v>
      </c>
      <c r="P214" s="29">
        <v>263079</v>
      </c>
      <c r="Q214" s="30">
        <v>86.34</v>
      </c>
      <c r="R214" s="31">
        <v>304698</v>
      </c>
      <c r="S214" s="31"/>
      <c r="T214" s="30"/>
      <c r="U214" s="30"/>
    </row>
    <row r="215" spans="1:21" x14ac:dyDescent="0.2">
      <c r="A215" s="1" t="s">
        <v>25</v>
      </c>
      <c r="B215" s="4" t="s">
        <v>26</v>
      </c>
      <c r="C215" s="12" t="s">
        <v>18</v>
      </c>
      <c r="D215" s="12" t="s">
        <v>124</v>
      </c>
      <c r="E215" s="7">
        <v>1</v>
      </c>
      <c r="F215" s="8" t="s">
        <v>81</v>
      </c>
      <c r="G215" s="8" t="s">
        <v>76</v>
      </c>
      <c r="H215" s="7" t="s">
        <v>24</v>
      </c>
      <c r="I215" s="9" t="s">
        <v>59</v>
      </c>
      <c r="J215" s="9">
        <v>1</v>
      </c>
      <c r="K215" s="7"/>
      <c r="L215" s="10">
        <v>0</v>
      </c>
      <c r="M215" s="11">
        <v>3307500</v>
      </c>
      <c r="N215" s="10">
        <f t="shared" si="12"/>
        <v>99225</v>
      </c>
      <c r="O215" s="10">
        <f t="shared" ref="O215" si="14">(M215+N215+L215)*1.12</f>
        <v>3815532.0000000005</v>
      </c>
      <c r="P215" s="29">
        <v>52539</v>
      </c>
      <c r="Q215" s="30">
        <v>17.239999999999998</v>
      </c>
      <c r="R215" s="31">
        <v>304698</v>
      </c>
      <c r="S215" s="31"/>
      <c r="T215" s="30"/>
      <c r="U215" s="30"/>
    </row>
    <row r="216" spans="1:21" x14ac:dyDescent="0.2">
      <c r="P216" s="31"/>
      <c r="Q216" s="31"/>
      <c r="R216" s="31"/>
      <c r="S216" s="31"/>
      <c r="T216" s="31"/>
      <c r="U216" s="31"/>
    </row>
    <row r="217" spans="1:21" x14ac:dyDescent="0.2">
      <c r="P217" s="31"/>
      <c r="Q217" s="31"/>
      <c r="R217" s="31"/>
      <c r="S217" s="31"/>
      <c r="T217" s="31"/>
      <c r="U217" s="31"/>
    </row>
    <row r="218" spans="1:21" x14ac:dyDescent="0.2">
      <c r="P218" s="31"/>
      <c r="Q218" s="31"/>
      <c r="R218" s="31"/>
      <c r="S218" s="31"/>
      <c r="T218" s="31"/>
      <c r="U218" s="31"/>
    </row>
    <row r="219" spans="1:21" x14ac:dyDescent="0.2">
      <c r="P219" s="31"/>
      <c r="Q219" s="31"/>
      <c r="R219" s="31"/>
      <c r="S219" s="31"/>
      <c r="T219" s="31"/>
      <c r="U219" s="31"/>
    </row>
    <row r="220" spans="1:21" x14ac:dyDescent="0.2">
      <c r="P220" s="31"/>
      <c r="Q220" s="31"/>
      <c r="R220" s="31"/>
      <c r="S220" s="31"/>
      <c r="T220" s="31"/>
      <c r="U220" s="31"/>
    </row>
    <row r="221" spans="1:21" x14ac:dyDescent="0.2">
      <c r="P221" s="31"/>
      <c r="Q221" s="31"/>
      <c r="R221" s="31"/>
      <c r="S221" s="31"/>
      <c r="T221" s="31"/>
      <c r="U221" s="31"/>
    </row>
    <row r="222" spans="1:21" x14ac:dyDescent="0.2">
      <c r="P222" s="31"/>
      <c r="Q222" s="31"/>
      <c r="R222" s="31"/>
      <c r="S222" s="31"/>
      <c r="T222" s="31"/>
      <c r="U222" s="31"/>
    </row>
    <row r="223" spans="1:21" x14ac:dyDescent="0.2">
      <c r="P223" s="31"/>
      <c r="Q223" s="31"/>
      <c r="R223" s="31"/>
      <c r="S223" s="31"/>
      <c r="T223" s="31"/>
      <c r="U223" s="31"/>
    </row>
    <row r="224" spans="1:21" x14ac:dyDescent="0.2">
      <c r="P224" s="31"/>
      <c r="Q224" s="31"/>
      <c r="R224" s="31"/>
      <c r="S224" s="31"/>
      <c r="T224" s="31"/>
      <c r="U224" s="31"/>
    </row>
    <row r="225" spans="16:21" x14ac:dyDescent="0.2">
      <c r="P225" s="31"/>
      <c r="Q225" s="31"/>
      <c r="R225" s="31"/>
      <c r="S225" s="31"/>
      <c r="T225" s="31"/>
      <c r="U225" s="31"/>
    </row>
    <row r="226" spans="16:21" x14ac:dyDescent="0.2">
      <c r="P226" s="31"/>
      <c r="Q226" s="31"/>
      <c r="R226" s="31"/>
      <c r="S226" s="31"/>
      <c r="T226" s="31"/>
      <c r="U226" s="31"/>
    </row>
    <row r="227" spans="16:21" x14ac:dyDescent="0.2">
      <c r="P227" s="31"/>
      <c r="Q227" s="31"/>
      <c r="R227" s="31"/>
      <c r="S227" s="31"/>
      <c r="T227" s="31"/>
      <c r="U227" s="31"/>
    </row>
    <row r="228" spans="16:21" x14ac:dyDescent="0.2">
      <c r="P228" s="31"/>
      <c r="Q228" s="31"/>
      <c r="R228" s="31"/>
      <c r="S228" s="31"/>
      <c r="T228" s="31"/>
      <c r="U228" s="31"/>
    </row>
    <row r="229" spans="16:21" x14ac:dyDescent="0.2">
      <c r="P229" s="31"/>
      <c r="Q229" s="31"/>
      <c r="R229" s="31"/>
      <c r="S229" s="31"/>
      <c r="T229" s="31"/>
      <c r="U229" s="31"/>
    </row>
    <row r="230" spans="16:21" x14ac:dyDescent="0.2">
      <c r="P230" s="31"/>
      <c r="Q230" s="31"/>
      <c r="R230" s="31"/>
      <c r="S230" s="31"/>
      <c r="T230" s="31"/>
      <c r="U230" s="31"/>
    </row>
    <row r="231" spans="16:21" x14ac:dyDescent="0.2">
      <c r="P231" s="31"/>
      <c r="Q231" s="31"/>
      <c r="R231" s="31"/>
      <c r="S231" s="31"/>
      <c r="T231" s="31"/>
      <c r="U231" s="31"/>
    </row>
    <row r="232" spans="16:21" x14ac:dyDescent="0.2">
      <c r="P232" s="31"/>
      <c r="Q232" s="31"/>
      <c r="R232" s="31"/>
      <c r="S232" s="31"/>
      <c r="T232" s="31"/>
      <c r="U232" s="31"/>
    </row>
    <row r="233" spans="16:21" x14ac:dyDescent="0.2">
      <c r="P233" s="31"/>
      <c r="Q233" s="31"/>
      <c r="R233" s="31"/>
      <c r="S233" s="31"/>
      <c r="T233" s="31"/>
      <c r="U233" s="31"/>
    </row>
    <row r="234" spans="16:21" x14ac:dyDescent="0.2">
      <c r="P234" s="31"/>
      <c r="Q234" s="31"/>
      <c r="R234" s="31"/>
      <c r="S234" s="31"/>
      <c r="T234" s="31"/>
      <c r="U234" s="31"/>
    </row>
    <row r="235" spans="16:21" x14ac:dyDescent="0.2">
      <c r="P235" s="31"/>
      <c r="Q235" s="31"/>
      <c r="R235" s="31"/>
      <c r="S235" s="31"/>
      <c r="T235" s="31"/>
      <c r="U235" s="31"/>
    </row>
    <row r="236" spans="16:21" x14ac:dyDescent="0.2">
      <c r="P236" s="31"/>
      <c r="Q236" s="31"/>
      <c r="R236" s="31"/>
      <c r="S236" s="31"/>
      <c r="T236" s="31"/>
      <c r="U236" s="31"/>
    </row>
    <row r="237" spans="16:21" x14ac:dyDescent="0.2">
      <c r="P237" s="31"/>
      <c r="Q237" s="31"/>
      <c r="R237" s="31"/>
      <c r="S237" s="31"/>
      <c r="T237" s="31"/>
      <c r="U237" s="31"/>
    </row>
    <row r="238" spans="16:21" x14ac:dyDescent="0.2">
      <c r="P238" s="31"/>
      <c r="Q238" s="31"/>
      <c r="R238" s="31"/>
      <c r="S238" s="31"/>
      <c r="T238" s="31"/>
      <c r="U238" s="31"/>
    </row>
    <row r="239" spans="16:21" x14ac:dyDescent="0.2">
      <c r="P239" s="31"/>
      <c r="Q239" s="31"/>
      <c r="R239" s="31"/>
      <c r="S239" s="31"/>
      <c r="T239" s="31"/>
      <c r="U239" s="31"/>
    </row>
    <row r="240" spans="16:21" x14ac:dyDescent="0.2">
      <c r="P240" s="31"/>
      <c r="Q240" s="31"/>
      <c r="R240" s="31"/>
      <c r="S240" s="31"/>
      <c r="T240" s="31"/>
      <c r="U240" s="31"/>
    </row>
    <row r="241" spans="16:21" x14ac:dyDescent="0.2">
      <c r="P241" s="31"/>
      <c r="Q241" s="31"/>
      <c r="R241" s="31"/>
      <c r="S241" s="31"/>
      <c r="T241" s="31"/>
      <c r="U241" s="31"/>
    </row>
    <row r="242" spans="16:21" x14ac:dyDescent="0.2">
      <c r="P242" s="31"/>
      <c r="Q242" s="31"/>
      <c r="R242" s="31"/>
      <c r="S242" s="31"/>
      <c r="T242" s="31"/>
      <c r="U242" s="31"/>
    </row>
    <row r="243" spans="16:21" x14ac:dyDescent="0.2">
      <c r="P243" s="31"/>
      <c r="Q243" s="31"/>
      <c r="R243" s="31"/>
      <c r="S243" s="31"/>
      <c r="T243" s="31"/>
      <c r="U243" s="31"/>
    </row>
    <row r="244" spans="16:21" x14ac:dyDescent="0.2">
      <c r="P244" s="31"/>
      <c r="Q244" s="31"/>
      <c r="R244" s="31"/>
      <c r="S244" s="31"/>
      <c r="T244" s="31"/>
      <c r="U244" s="31"/>
    </row>
    <row r="245" spans="16:21" x14ac:dyDescent="0.2">
      <c r="P245" s="31"/>
      <c r="Q245" s="31"/>
      <c r="R245" s="31"/>
      <c r="S245" s="31"/>
      <c r="T245" s="31"/>
      <c r="U245" s="31"/>
    </row>
    <row r="246" spans="16:21" x14ac:dyDescent="0.2">
      <c r="P246" s="31"/>
      <c r="Q246" s="31"/>
      <c r="R246" s="31"/>
      <c r="S246" s="31"/>
      <c r="T246" s="31"/>
      <c r="U246" s="31"/>
    </row>
    <row r="247" spans="16:21" x14ac:dyDescent="0.2">
      <c r="P247" s="31"/>
      <c r="Q247" s="31"/>
      <c r="R247" s="31"/>
      <c r="S247" s="31"/>
      <c r="T247" s="31"/>
      <c r="U247" s="31"/>
    </row>
    <row r="248" spans="16:21" x14ac:dyDescent="0.2">
      <c r="P248" s="31"/>
      <c r="Q248" s="31"/>
      <c r="R248" s="31"/>
      <c r="S248" s="31"/>
      <c r="T248" s="31"/>
      <c r="U248" s="31"/>
    </row>
    <row r="249" spans="16:21" x14ac:dyDescent="0.2">
      <c r="P249" s="31"/>
      <c r="Q249" s="31"/>
      <c r="R249" s="31"/>
      <c r="S249" s="31"/>
      <c r="T249" s="31"/>
      <c r="U249" s="31"/>
    </row>
    <row r="250" spans="16:21" x14ac:dyDescent="0.2">
      <c r="P250" s="31"/>
      <c r="Q250" s="31"/>
      <c r="R250" s="31"/>
      <c r="S250" s="31"/>
      <c r="T250" s="31"/>
      <c r="U250" s="31"/>
    </row>
    <row r="251" spans="16:21" x14ac:dyDescent="0.2">
      <c r="P251" s="31"/>
      <c r="Q251" s="31"/>
      <c r="R251" s="31"/>
      <c r="S251" s="31"/>
      <c r="T251" s="31"/>
      <c r="U251" s="31"/>
    </row>
    <row r="252" spans="16:21" x14ac:dyDescent="0.2">
      <c r="P252" s="31"/>
      <c r="Q252" s="31"/>
      <c r="R252" s="31"/>
      <c r="S252" s="31"/>
      <c r="T252" s="31"/>
      <c r="U252" s="31"/>
    </row>
    <row r="253" spans="16:21" x14ac:dyDescent="0.2">
      <c r="P253" s="31"/>
      <c r="Q253" s="31"/>
      <c r="R253" s="31"/>
      <c r="S253" s="31"/>
      <c r="T253" s="31"/>
      <c r="U253" s="31"/>
    </row>
    <row r="254" spans="16:21" x14ac:dyDescent="0.2">
      <c r="P254" s="31"/>
      <c r="Q254" s="31"/>
      <c r="R254" s="31"/>
      <c r="S254" s="31"/>
      <c r="T254" s="31"/>
      <c r="U254" s="31"/>
    </row>
    <row r="255" spans="16:21" x14ac:dyDescent="0.2">
      <c r="P255" s="31"/>
      <c r="Q255" s="31"/>
      <c r="R255" s="31"/>
      <c r="S255" s="31"/>
      <c r="T255" s="31"/>
      <c r="U255" s="31"/>
    </row>
    <row r="256" spans="16:21" x14ac:dyDescent="0.2">
      <c r="P256" s="31"/>
      <c r="Q256" s="31"/>
      <c r="R256" s="31"/>
      <c r="S256" s="31"/>
      <c r="T256" s="31"/>
      <c r="U256" s="31"/>
    </row>
    <row r="257" spans="16:21" x14ac:dyDescent="0.2">
      <c r="P257" s="31"/>
      <c r="Q257" s="31"/>
      <c r="R257" s="31"/>
      <c r="S257" s="31"/>
      <c r="T257" s="31"/>
      <c r="U257" s="31"/>
    </row>
    <row r="258" spans="16:21" x14ac:dyDescent="0.2">
      <c r="P258" s="31"/>
      <c r="Q258" s="31"/>
      <c r="R258" s="31"/>
      <c r="S258" s="31"/>
      <c r="T258" s="31"/>
      <c r="U258" s="31"/>
    </row>
    <row r="259" spans="16:21" x14ac:dyDescent="0.2">
      <c r="P259" s="31"/>
      <c r="Q259" s="31"/>
      <c r="R259" s="31"/>
      <c r="S259" s="31"/>
      <c r="T259" s="31"/>
      <c r="U259" s="31"/>
    </row>
    <row r="260" spans="16:21" x14ac:dyDescent="0.2">
      <c r="P260" s="31"/>
      <c r="Q260" s="31"/>
      <c r="R260" s="31"/>
      <c r="S260" s="31"/>
      <c r="T260" s="31"/>
      <c r="U260" s="31"/>
    </row>
    <row r="261" spans="16:21" x14ac:dyDescent="0.2">
      <c r="P261" s="31"/>
      <c r="Q261" s="31"/>
      <c r="R261" s="31"/>
      <c r="S261" s="31"/>
      <c r="T261" s="31"/>
      <c r="U261" s="31"/>
    </row>
    <row r="262" spans="16:21" x14ac:dyDescent="0.2">
      <c r="P262" s="31"/>
      <c r="Q262" s="31"/>
      <c r="R262" s="31"/>
      <c r="S262" s="31"/>
      <c r="T262" s="31"/>
      <c r="U262" s="31"/>
    </row>
    <row r="263" spans="16:21" x14ac:dyDescent="0.2">
      <c r="P263" s="31"/>
      <c r="Q263" s="31"/>
      <c r="R263" s="31"/>
      <c r="S263" s="31"/>
      <c r="T263" s="31"/>
      <c r="U263" s="31"/>
    </row>
    <row r="264" spans="16:21" x14ac:dyDescent="0.2">
      <c r="P264" s="31"/>
      <c r="Q264" s="31"/>
      <c r="R264" s="31"/>
      <c r="S264" s="31"/>
      <c r="T264" s="31"/>
      <c r="U264" s="31"/>
    </row>
    <row r="265" spans="16:21" x14ac:dyDescent="0.2">
      <c r="P265" s="31"/>
      <c r="Q265" s="31"/>
      <c r="R265" s="31"/>
      <c r="S265" s="31"/>
      <c r="T265" s="31"/>
      <c r="U265" s="31"/>
    </row>
    <row r="266" spans="16:21" x14ac:dyDescent="0.2">
      <c r="P266" s="31"/>
      <c r="Q266" s="31"/>
      <c r="R266" s="31"/>
      <c r="S266" s="31"/>
      <c r="T266" s="31"/>
      <c r="U266" s="31"/>
    </row>
    <row r="267" spans="16:21" x14ac:dyDescent="0.2">
      <c r="P267" s="31"/>
      <c r="Q267" s="31"/>
      <c r="R267" s="31"/>
      <c r="S267" s="31"/>
      <c r="T267" s="31"/>
      <c r="U267" s="31"/>
    </row>
    <row r="268" spans="16:21" x14ac:dyDescent="0.2">
      <c r="P268" s="31"/>
      <c r="Q268" s="31"/>
      <c r="R268" s="31"/>
      <c r="S268" s="31"/>
      <c r="T268" s="31"/>
      <c r="U268" s="31"/>
    </row>
    <row r="269" spans="16:21" x14ac:dyDescent="0.2">
      <c r="P269" s="31"/>
      <c r="Q269" s="31"/>
      <c r="R269" s="31"/>
      <c r="S269" s="31"/>
      <c r="T269" s="31"/>
      <c r="U269" s="31"/>
    </row>
    <row r="270" spans="16:21" x14ac:dyDescent="0.2">
      <c r="P270" s="31"/>
      <c r="Q270" s="31"/>
      <c r="R270" s="31"/>
      <c r="S270" s="31"/>
      <c r="T270" s="31"/>
      <c r="U270" s="31"/>
    </row>
    <row r="271" spans="16:21" x14ac:dyDescent="0.2">
      <c r="P271" s="31"/>
      <c r="Q271" s="31"/>
      <c r="R271" s="31"/>
      <c r="S271" s="31"/>
      <c r="T271" s="31"/>
      <c r="U271" s="31"/>
    </row>
    <row r="272" spans="16:21" x14ac:dyDescent="0.2">
      <c r="P272" s="31"/>
      <c r="Q272" s="31"/>
      <c r="R272" s="31"/>
      <c r="S272" s="31"/>
      <c r="T272" s="31"/>
      <c r="U272" s="31"/>
    </row>
    <row r="273" spans="16:21" x14ac:dyDescent="0.2">
      <c r="P273" s="31"/>
      <c r="Q273" s="31"/>
      <c r="R273" s="31"/>
      <c r="S273" s="31"/>
      <c r="T273" s="31"/>
      <c r="U273" s="31"/>
    </row>
    <row r="274" spans="16:21" x14ac:dyDescent="0.2">
      <c r="P274" s="31"/>
      <c r="Q274" s="31"/>
      <c r="R274" s="31"/>
      <c r="S274" s="31"/>
      <c r="T274" s="31"/>
      <c r="U274" s="31"/>
    </row>
    <row r="275" spans="16:21" x14ac:dyDescent="0.2">
      <c r="P275" s="31"/>
      <c r="Q275" s="31"/>
      <c r="R275" s="31"/>
      <c r="S275" s="31"/>
      <c r="T275" s="31"/>
      <c r="U275" s="31"/>
    </row>
    <row r="276" spans="16:21" x14ac:dyDescent="0.2">
      <c r="P276" s="31"/>
      <c r="Q276" s="31"/>
      <c r="R276" s="31"/>
      <c r="S276" s="31"/>
      <c r="T276" s="31"/>
      <c r="U276" s="31"/>
    </row>
    <row r="277" spans="16:21" x14ac:dyDescent="0.2">
      <c r="P277" s="31"/>
      <c r="Q277" s="31"/>
      <c r="R277" s="31"/>
      <c r="S277" s="31"/>
      <c r="T277" s="31"/>
      <c r="U277" s="31"/>
    </row>
    <row r="278" spans="16:21" x14ac:dyDescent="0.2">
      <c r="P278" s="31"/>
      <c r="Q278" s="31"/>
      <c r="R278" s="31"/>
      <c r="S278" s="31"/>
      <c r="T278" s="31"/>
      <c r="U278" s="31"/>
    </row>
    <row r="279" spans="16:21" x14ac:dyDescent="0.2">
      <c r="P279" s="31"/>
      <c r="Q279" s="31"/>
      <c r="R279" s="31"/>
      <c r="S279" s="31"/>
      <c r="T279" s="31"/>
      <c r="U279" s="31"/>
    </row>
    <row r="280" spans="16:21" x14ac:dyDescent="0.2">
      <c r="P280" s="31"/>
      <c r="Q280" s="31"/>
      <c r="R280" s="31"/>
      <c r="S280" s="31"/>
      <c r="T280" s="31"/>
      <c r="U280" s="31"/>
    </row>
    <row r="281" spans="16:21" x14ac:dyDescent="0.2">
      <c r="P281" s="31"/>
      <c r="Q281" s="31"/>
      <c r="R281" s="31"/>
      <c r="S281" s="31"/>
      <c r="T281" s="31"/>
      <c r="U281" s="31"/>
    </row>
    <row r="282" spans="16:21" x14ac:dyDescent="0.2">
      <c r="P282" s="31"/>
      <c r="Q282" s="31"/>
      <c r="R282" s="31"/>
      <c r="S282" s="31"/>
      <c r="T282" s="31"/>
      <c r="U282" s="31"/>
    </row>
    <row r="283" spans="16:21" x14ac:dyDescent="0.2">
      <c r="P283" s="31"/>
      <c r="Q283" s="31"/>
      <c r="R283" s="31"/>
      <c r="S283" s="31"/>
      <c r="T283" s="31"/>
      <c r="U283" s="31"/>
    </row>
    <row r="284" spans="16:21" x14ac:dyDescent="0.2">
      <c r="P284" s="31"/>
      <c r="Q284" s="31"/>
      <c r="R284" s="31"/>
      <c r="S284" s="31"/>
      <c r="T284" s="31"/>
      <c r="U284" s="31"/>
    </row>
    <row r="285" spans="16:21" x14ac:dyDescent="0.2">
      <c r="P285" s="31"/>
      <c r="Q285" s="31"/>
      <c r="R285" s="31"/>
      <c r="S285" s="31"/>
      <c r="T285" s="31"/>
      <c r="U285" s="31"/>
    </row>
    <row r="286" spans="16:21" x14ac:dyDescent="0.2">
      <c r="P286" s="31"/>
      <c r="Q286" s="31"/>
      <c r="R286" s="31"/>
      <c r="S286" s="31"/>
      <c r="T286" s="31"/>
      <c r="U286" s="31"/>
    </row>
    <row r="287" spans="16:21" x14ac:dyDescent="0.2">
      <c r="P287" s="31"/>
      <c r="Q287" s="31"/>
      <c r="R287" s="31"/>
      <c r="S287" s="31"/>
      <c r="T287" s="31"/>
      <c r="U287" s="31"/>
    </row>
    <row r="288" spans="16:21" x14ac:dyDescent="0.2">
      <c r="P288" s="31"/>
      <c r="Q288" s="31"/>
      <c r="R288" s="31"/>
      <c r="S288" s="31"/>
      <c r="T288" s="31"/>
      <c r="U288" s="31"/>
    </row>
    <row r="289" spans="16:21" x14ac:dyDescent="0.2">
      <c r="P289" s="31"/>
      <c r="Q289" s="31"/>
      <c r="R289" s="31"/>
      <c r="S289" s="31"/>
      <c r="T289" s="31"/>
      <c r="U289" s="31"/>
    </row>
    <row r="290" spans="16:21" x14ac:dyDescent="0.2">
      <c r="P290" s="31"/>
      <c r="Q290" s="31"/>
      <c r="R290" s="31"/>
      <c r="S290" s="31"/>
      <c r="T290" s="31"/>
      <c r="U290" s="31"/>
    </row>
    <row r="291" spans="16:21" x14ac:dyDescent="0.2">
      <c r="P291" s="31"/>
      <c r="Q291" s="31"/>
      <c r="R291" s="31"/>
      <c r="S291" s="31"/>
      <c r="T291" s="31"/>
      <c r="U291" s="31"/>
    </row>
    <row r="292" spans="16:21" x14ac:dyDescent="0.2">
      <c r="P292" s="31"/>
      <c r="Q292" s="31"/>
      <c r="R292" s="31"/>
      <c r="S292" s="31"/>
      <c r="T292" s="31"/>
      <c r="U292" s="31"/>
    </row>
    <row r="293" spans="16:21" x14ac:dyDescent="0.2">
      <c r="P293" s="31"/>
      <c r="Q293" s="31"/>
      <c r="R293" s="31"/>
      <c r="S293" s="31"/>
      <c r="T293" s="31"/>
      <c r="U293" s="31"/>
    </row>
    <row r="294" spans="16:21" x14ac:dyDescent="0.2">
      <c r="P294" s="31"/>
      <c r="Q294" s="31"/>
      <c r="R294" s="31"/>
      <c r="S294" s="31"/>
      <c r="T294" s="31"/>
      <c r="U294" s="31"/>
    </row>
    <row r="295" spans="16:21" x14ac:dyDescent="0.2">
      <c r="P295" s="31"/>
      <c r="Q295" s="31"/>
      <c r="R295" s="31"/>
      <c r="S295" s="31"/>
      <c r="T295" s="31"/>
      <c r="U295" s="31"/>
    </row>
    <row r="296" spans="16:21" x14ac:dyDescent="0.2">
      <c r="P296" s="31"/>
      <c r="Q296" s="31"/>
      <c r="R296" s="31"/>
      <c r="S296" s="31"/>
      <c r="T296" s="31"/>
      <c r="U296" s="31"/>
    </row>
    <row r="297" spans="16:21" x14ac:dyDescent="0.2">
      <c r="P297" s="31"/>
      <c r="Q297" s="31"/>
      <c r="R297" s="31"/>
      <c r="S297" s="31"/>
      <c r="T297" s="31"/>
      <c r="U297" s="31"/>
    </row>
    <row r="298" spans="16:21" x14ac:dyDescent="0.2">
      <c r="P298" s="31"/>
      <c r="Q298" s="31"/>
      <c r="R298" s="31"/>
      <c r="S298" s="31"/>
      <c r="T298" s="31"/>
      <c r="U298" s="31"/>
    </row>
    <row r="299" spans="16:21" x14ac:dyDescent="0.2">
      <c r="P299" s="31"/>
      <c r="Q299" s="31"/>
      <c r="R299" s="31"/>
      <c r="S299" s="31"/>
      <c r="T299" s="31"/>
      <c r="U299" s="31"/>
    </row>
    <row r="300" spans="16:21" x14ac:dyDescent="0.2">
      <c r="P300" s="31"/>
      <c r="Q300" s="31"/>
      <c r="R300" s="31"/>
      <c r="S300" s="31"/>
      <c r="T300" s="31"/>
      <c r="U300" s="31"/>
    </row>
    <row r="301" spans="16:21" x14ac:dyDescent="0.2">
      <c r="P301" s="31"/>
      <c r="Q301" s="31"/>
      <c r="R301" s="31"/>
      <c r="S301" s="31"/>
      <c r="T301" s="31"/>
      <c r="U301" s="31"/>
    </row>
    <row r="302" spans="16:21" x14ac:dyDescent="0.2">
      <c r="P302" s="31"/>
      <c r="Q302" s="31"/>
      <c r="R302" s="31"/>
      <c r="S302" s="31"/>
      <c r="T302" s="31"/>
      <c r="U302" s="31"/>
    </row>
    <row r="303" spans="16:21" x14ac:dyDescent="0.2">
      <c r="P303" s="31"/>
      <c r="Q303" s="31"/>
      <c r="R303" s="31"/>
      <c r="S303" s="31"/>
      <c r="T303" s="31"/>
      <c r="U303" s="31"/>
    </row>
    <row r="304" spans="16:21" x14ac:dyDescent="0.2">
      <c r="P304" s="31"/>
      <c r="Q304" s="31"/>
      <c r="R304" s="31"/>
      <c r="S304" s="31"/>
      <c r="T304" s="31"/>
      <c r="U304" s="31"/>
    </row>
    <row r="305" spans="16:21" x14ac:dyDescent="0.2">
      <c r="P305" s="31"/>
      <c r="Q305" s="31"/>
      <c r="R305" s="31"/>
      <c r="S305" s="31"/>
      <c r="T305" s="31"/>
      <c r="U305" s="31"/>
    </row>
    <row r="306" spans="16:21" x14ac:dyDescent="0.2">
      <c r="P306" s="31"/>
      <c r="Q306" s="31"/>
      <c r="R306" s="31"/>
      <c r="S306" s="31"/>
      <c r="T306" s="31"/>
      <c r="U306" s="31"/>
    </row>
    <row r="307" spans="16:21" x14ac:dyDescent="0.2">
      <c r="P307" s="31"/>
      <c r="Q307" s="31"/>
      <c r="R307" s="31"/>
      <c r="S307" s="31"/>
      <c r="T307" s="31"/>
      <c r="U307" s="31"/>
    </row>
    <row r="308" spans="16:21" x14ac:dyDescent="0.2">
      <c r="P308" s="31"/>
      <c r="Q308" s="31"/>
      <c r="R308" s="31"/>
      <c r="S308" s="31"/>
      <c r="T308" s="31"/>
      <c r="U308" s="31"/>
    </row>
    <row r="309" spans="16:21" x14ac:dyDescent="0.2">
      <c r="P309" s="31"/>
      <c r="Q309" s="31"/>
      <c r="R309" s="31"/>
      <c r="S309" s="31"/>
      <c r="T309" s="31"/>
      <c r="U309" s="31"/>
    </row>
    <row r="310" spans="16:21" x14ac:dyDescent="0.2">
      <c r="P310" s="31"/>
      <c r="Q310" s="31"/>
      <c r="R310" s="31"/>
      <c r="S310" s="31"/>
      <c r="T310" s="31"/>
      <c r="U310" s="31"/>
    </row>
    <row r="311" spans="16:21" x14ac:dyDescent="0.2">
      <c r="P311" s="31"/>
      <c r="Q311" s="31"/>
      <c r="R311" s="31"/>
      <c r="S311" s="31"/>
      <c r="T311" s="31"/>
      <c r="U311" s="31"/>
    </row>
    <row r="312" spans="16:21" x14ac:dyDescent="0.2">
      <c r="P312" s="31"/>
      <c r="Q312" s="31"/>
      <c r="R312" s="31"/>
      <c r="S312" s="31"/>
      <c r="T312" s="31"/>
      <c r="U312" s="31"/>
    </row>
    <row r="313" spans="16:21" x14ac:dyDescent="0.2">
      <c r="P313" s="31"/>
      <c r="Q313" s="31"/>
      <c r="R313" s="31"/>
      <c r="S313" s="31"/>
      <c r="T313" s="31"/>
      <c r="U313" s="31"/>
    </row>
    <row r="314" spans="16:21" x14ac:dyDescent="0.2">
      <c r="P314" s="31"/>
      <c r="Q314" s="31"/>
      <c r="R314" s="31"/>
      <c r="S314" s="31"/>
      <c r="T314" s="31"/>
      <c r="U314" s="31"/>
    </row>
    <row r="315" spans="16:21" x14ac:dyDescent="0.2">
      <c r="P315" s="31"/>
      <c r="Q315" s="31"/>
      <c r="R315" s="31"/>
      <c r="S315" s="31"/>
      <c r="T315" s="31"/>
      <c r="U315" s="31"/>
    </row>
    <row r="316" spans="16:21" x14ac:dyDescent="0.2">
      <c r="P316" s="31"/>
      <c r="Q316" s="31"/>
      <c r="R316" s="31"/>
      <c r="S316" s="31"/>
      <c r="T316" s="31"/>
      <c r="U316" s="31"/>
    </row>
    <row r="317" spans="16:21" x14ac:dyDescent="0.2">
      <c r="P317" s="31"/>
      <c r="Q317" s="31"/>
      <c r="R317" s="31"/>
      <c r="S317" s="31"/>
      <c r="T317" s="31"/>
      <c r="U317" s="31"/>
    </row>
    <row r="318" spans="16:21" x14ac:dyDescent="0.2">
      <c r="P318" s="31"/>
      <c r="Q318" s="31"/>
      <c r="R318" s="31"/>
      <c r="S318" s="31"/>
      <c r="T318" s="31"/>
      <c r="U318" s="31"/>
    </row>
    <row r="319" spans="16:21" x14ac:dyDescent="0.2">
      <c r="P319" s="31"/>
      <c r="Q319" s="31"/>
      <c r="R319" s="31"/>
      <c r="S319" s="31"/>
      <c r="T319" s="31"/>
      <c r="U319" s="31"/>
    </row>
    <row r="320" spans="16:21" x14ac:dyDescent="0.2">
      <c r="P320" s="31"/>
      <c r="Q320" s="31"/>
      <c r="R320" s="31"/>
      <c r="S320" s="31"/>
      <c r="T320" s="31"/>
      <c r="U320" s="31"/>
    </row>
    <row r="321" spans="16:21" x14ac:dyDescent="0.2">
      <c r="P321" s="31"/>
      <c r="Q321" s="31"/>
      <c r="R321" s="31"/>
      <c r="S321" s="31"/>
      <c r="T321" s="31"/>
      <c r="U321" s="31"/>
    </row>
    <row r="322" spans="16:21" x14ac:dyDescent="0.2">
      <c r="P322" s="31"/>
      <c r="Q322" s="31"/>
      <c r="R322" s="31"/>
      <c r="S322" s="31"/>
      <c r="T322" s="31"/>
      <c r="U322" s="31"/>
    </row>
    <row r="323" spans="16:21" x14ac:dyDescent="0.2">
      <c r="P323" s="31"/>
      <c r="Q323" s="31"/>
      <c r="R323" s="31"/>
      <c r="S323" s="31"/>
      <c r="T323" s="31"/>
      <c r="U323" s="31"/>
    </row>
    <row r="324" spans="16:21" x14ac:dyDescent="0.2">
      <c r="P324" s="31"/>
      <c r="Q324" s="31"/>
      <c r="R324" s="31"/>
      <c r="S324" s="31"/>
      <c r="T324" s="31"/>
      <c r="U324" s="31"/>
    </row>
    <row r="325" spans="16:21" x14ac:dyDescent="0.2">
      <c r="P325" s="31"/>
      <c r="Q325" s="31"/>
      <c r="R325" s="31"/>
      <c r="S325" s="31"/>
      <c r="T325" s="31"/>
      <c r="U325" s="31"/>
    </row>
    <row r="326" spans="16:21" x14ac:dyDescent="0.2">
      <c r="P326" s="31"/>
      <c r="Q326" s="31"/>
      <c r="R326" s="31"/>
      <c r="S326" s="31"/>
      <c r="T326" s="31"/>
      <c r="U326" s="31"/>
    </row>
    <row r="327" spans="16:21" x14ac:dyDescent="0.2">
      <c r="P327" s="31"/>
      <c r="Q327" s="31"/>
      <c r="R327" s="31"/>
      <c r="S327" s="31"/>
      <c r="T327" s="31"/>
      <c r="U327" s="31"/>
    </row>
    <row r="328" spans="16:21" x14ac:dyDescent="0.2">
      <c r="P328" s="31"/>
      <c r="Q328" s="31"/>
      <c r="R328" s="31"/>
      <c r="S328" s="31"/>
      <c r="T328" s="31"/>
      <c r="U328" s="31"/>
    </row>
    <row r="329" spans="16:21" x14ac:dyDescent="0.2">
      <c r="P329" s="31"/>
      <c r="Q329" s="31"/>
      <c r="R329" s="31"/>
      <c r="S329" s="31"/>
      <c r="T329" s="31"/>
      <c r="U329" s="31"/>
    </row>
    <row r="330" spans="16:21" x14ac:dyDescent="0.2">
      <c r="P330" s="31"/>
      <c r="Q330" s="31"/>
      <c r="R330" s="31"/>
      <c r="S330" s="31"/>
      <c r="T330" s="31"/>
      <c r="U330" s="31"/>
    </row>
    <row r="331" spans="16:21" x14ac:dyDescent="0.2">
      <c r="P331" s="31"/>
      <c r="Q331" s="31"/>
      <c r="R331" s="31"/>
      <c r="S331" s="31"/>
      <c r="T331" s="31"/>
      <c r="U331" s="31"/>
    </row>
    <row r="332" spans="16:21" x14ac:dyDescent="0.2">
      <c r="P332" s="31"/>
      <c r="Q332" s="31"/>
      <c r="R332" s="31"/>
      <c r="S332" s="31"/>
      <c r="T332" s="31"/>
      <c r="U332" s="31"/>
    </row>
    <row r="333" spans="16:21" x14ac:dyDescent="0.2">
      <c r="P333" s="31"/>
      <c r="Q333" s="31"/>
      <c r="R333" s="31"/>
      <c r="S333" s="31"/>
      <c r="T333" s="31"/>
      <c r="U333" s="31"/>
    </row>
    <row r="334" spans="16:21" x14ac:dyDescent="0.2">
      <c r="P334" s="31"/>
      <c r="Q334" s="31"/>
      <c r="R334" s="31"/>
      <c r="S334" s="31"/>
      <c r="T334" s="31"/>
      <c r="U334" s="31"/>
    </row>
    <row r="335" spans="16:21" x14ac:dyDescent="0.2">
      <c r="P335" s="31"/>
      <c r="Q335" s="31"/>
      <c r="R335" s="31"/>
      <c r="S335" s="31"/>
      <c r="T335" s="31"/>
      <c r="U335" s="31"/>
    </row>
    <row r="336" spans="16:21" x14ac:dyDescent="0.2">
      <c r="P336" s="31"/>
      <c r="Q336" s="31"/>
      <c r="R336" s="31"/>
      <c r="S336" s="31"/>
      <c r="T336" s="31"/>
      <c r="U336" s="31"/>
    </row>
    <row r="337" spans="16:21" x14ac:dyDescent="0.2">
      <c r="P337" s="31"/>
      <c r="Q337" s="31"/>
      <c r="R337" s="31"/>
      <c r="S337" s="31"/>
      <c r="T337" s="31"/>
      <c r="U337" s="31"/>
    </row>
    <row r="338" spans="16:21" x14ac:dyDescent="0.2">
      <c r="P338" s="31"/>
      <c r="Q338" s="31"/>
      <c r="R338" s="31"/>
      <c r="S338" s="31"/>
      <c r="T338" s="31"/>
      <c r="U338" s="31"/>
    </row>
    <row r="339" spans="16:21" x14ac:dyDescent="0.2">
      <c r="P339" s="31"/>
      <c r="Q339" s="31"/>
      <c r="R339" s="31"/>
      <c r="S339" s="31"/>
      <c r="T339" s="31"/>
      <c r="U339" s="31"/>
    </row>
    <row r="340" spans="16:21" x14ac:dyDescent="0.2">
      <c r="P340" s="31"/>
      <c r="Q340" s="31"/>
      <c r="R340" s="31"/>
      <c r="S340" s="31"/>
      <c r="T340" s="31"/>
      <c r="U340" s="31"/>
    </row>
    <row r="341" spans="16:21" x14ac:dyDescent="0.2">
      <c r="P341" s="31"/>
      <c r="Q341" s="31"/>
      <c r="R341" s="31"/>
      <c r="S341" s="31"/>
      <c r="T341" s="31"/>
      <c r="U341" s="31"/>
    </row>
    <row r="342" spans="16:21" x14ac:dyDescent="0.2">
      <c r="P342" s="31"/>
      <c r="Q342" s="31"/>
      <c r="R342" s="31"/>
      <c r="S342" s="31"/>
      <c r="T342" s="31"/>
      <c r="U342" s="31"/>
    </row>
    <row r="343" spans="16:21" x14ac:dyDescent="0.2">
      <c r="P343" s="31"/>
      <c r="Q343" s="31"/>
      <c r="R343" s="31"/>
      <c r="S343" s="31"/>
      <c r="T343" s="31"/>
      <c r="U343" s="31"/>
    </row>
    <row r="344" spans="16:21" x14ac:dyDescent="0.2">
      <c r="P344" s="31"/>
      <c r="Q344" s="31"/>
      <c r="R344" s="31"/>
      <c r="S344" s="31"/>
      <c r="T344" s="31"/>
      <c r="U344" s="31"/>
    </row>
    <row r="345" spans="16:21" x14ac:dyDescent="0.2">
      <c r="P345" s="31"/>
      <c r="Q345" s="31"/>
      <c r="R345" s="31"/>
      <c r="S345" s="31"/>
      <c r="T345" s="31"/>
      <c r="U345" s="31"/>
    </row>
    <row r="346" spans="16:21" x14ac:dyDescent="0.2">
      <c r="P346" s="31"/>
      <c r="Q346" s="31"/>
      <c r="R346" s="31"/>
      <c r="S346" s="31"/>
      <c r="T346" s="31"/>
      <c r="U346" s="31"/>
    </row>
    <row r="347" spans="16:21" x14ac:dyDescent="0.2">
      <c r="P347" s="31"/>
      <c r="Q347" s="31"/>
      <c r="R347" s="31"/>
      <c r="S347" s="31"/>
      <c r="T347" s="31"/>
      <c r="U347" s="31"/>
    </row>
    <row r="348" spans="16:21" x14ac:dyDescent="0.2">
      <c r="P348" s="31"/>
      <c r="Q348" s="31"/>
      <c r="R348" s="31"/>
      <c r="S348" s="31"/>
      <c r="T348" s="31"/>
      <c r="U348" s="31"/>
    </row>
    <row r="349" spans="16:21" x14ac:dyDescent="0.2">
      <c r="P349" s="31"/>
      <c r="Q349" s="31"/>
      <c r="R349" s="31"/>
      <c r="S349" s="31"/>
      <c r="T349" s="31"/>
      <c r="U349" s="31"/>
    </row>
    <row r="350" spans="16:21" x14ac:dyDescent="0.2">
      <c r="P350" s="31"/>
      <c r="Q350" s="31"/>
      <c r="R350" s="31"/>
      <c r="S350" s="31"/>
      <c r="T350" s="31"/>
      <c r="U350" s="31"/>
    </row>
    <row r="351" spans="16:21" x14ac:dyDescent="0.2">
      <c r="P351" s="31"/>
      <c r="Q351" s="31"/>
      <c r="R351" s="31"/>
      <c r="S351" s="31"/>
      <c r="T351" s="31"/>
      <c r="U351" s="31"/>
    </row>
    <row r="352" spans="16:21" x14ac:dyDescent="0.2">
      <c r="P352" s="31"/>
      <c r="Q352" s="31"/>
      <c r="R352" s="31"/>
      <c r="S352" s="31"/>
      <c r="T352" s="31"/>
      <c r="U352" s="31"/>
    </row>
    <row r="353" spans="16:21" x14ac:dyDescent="0.2">
      <c r="P353" s="31"/>
      <c r="Q353" s="31"/>
      <c r="R353" s="31"/>
      <c r="S353" s="31"/>
      <c r="T353" s="31"/>
      <c r="U353" s="31"/>
    </row>
    <row r="354" spans="16:21" x14ac:dyDescent="0.2">
      <c r="P354" s="31"/>
      <c r="Q354" s="31"/>
      <c r="R354" s="31"/>
      <c r="S354" s="31"/>
      <c r="T354" s="31"/>
      <c r="U354" s="31"/>
    </row>
    <row r="355" spans="16:21" x14ac:dyDescent="0.2">
      <c r="P355" s="31"/>
      <c r="Q355" s="31"/>
      <c r="R355" s="31"/>
      <c r="S355" s="31"/>
      <c r="T355" s="31"/>
      <c r="U355" s="31"/>
    </row>
    <row r="356" spans="16:21" x14ac:dyDescent="0.2">
      <c r="P356" s="31"/>
      <c r="Q356" s="31"/>
      <c r="R356" s="31"/>
      <c r="S356" s="31"/>
      <c r="T356" s="31"/>
      <c r="U356" s="31"/>
    </row>
    <row r="357" spans="16:21" x14ac:dyDescent="0.2">
      <c r="P357" s="31"/>
      <c r="Q357" s="31"/>
      <c r="R357" s="31"/>
      <c r="S357" s="31"/>
      <c r="T357" s="31"/>
      <c r="U357" s="31"/>
    </row>
    <row r="358" spans="16:21" x14ac:dyDescent="0.2">
      <c r="P358" s="31"/>
      <c r="Q358" s="31"/>
      <c r="R358" s="31"/>
      <c r="S358" s="31"/>
      <c r="T358" s="31"/>
      <c r="U358" s="31"/>
    </row>
    <row r="359" spans="16:21" x14ac:dyDescent="0.2">
      <c r="P359" s="31"/>
      <c r="Q359" s="31"/>
      <c r="R359" s="31"/>
      <c r="S359" s="31"/>
      <c r="T359" s="31"/>
      <c r="U359" s="31"/>
    </row>
    <row r="360" spans="16:21" x14ac:dyDescent="0.2">
      <c r="P360" s="31"/>
      <c r="Q360" s="31"/>
      <c r="R360" s="31"/>
      <c r="S360" s="31"/>
      <c r="T360" s="31"/>
      <c r="U360" s="31"/>
    </row>
    <row r="361" spans="16:21" x14ac:dyDescent="0.2">
      <c r="P361" s="31"/>
      <c r="Q361" s="31"/>
      <c r="R361" s="31"/>
      <c r="S361" s="31"/>
      <c r="T361" s="31"/>
      <c r="U361" s="31"/>
    </row>
    <row r="362" spans="16:21" x14ac:dyDescent="0.2">
      <c r="P362" s="31"/>
      <c r="Q362" s="31"/>
      <c r="R362" s="31"/>
      <c r="S362" s="31"/>
      <c r="T362" s="31"/>
      <c r="U362" s="31"/>
    </row>
    <row r="363" spans="16:21" x14ac:dyDescent="0.2">
      <c r="P363" s="31"/>
      <c r="Q363" s="31"/>
      <c r="R363" s="31"/>
      <c r="S363" s="31"/>
      <c r="T363" s="31"/>
      <c r="U363" s="31"/>
    </row>
    <row r="364" spans="16:21" x14ac:dyDescent="0.2">
      <c r="P364" s="31"/>
      <c r="Q364" s="31"/>
      <c r="R364" s="31"/>
      <c r="S364" s="31"/>
      <c r="T364" s="31"/>
      <c r="U364" s="31"/>
    </row>
    <row r="365" spans="16:21" x14ac:dyDescent="0.2">
      <c r="P365" s="31"/>
      <c r="Q365" s="31"/>
      <c r="R365" s="31"/>
      <c r="S365" s="31"/>
      <c r="T365" s="31"/>
      <c r="U365" s="31"/>
    </row>
    <row r="366" spans="16:21" x14ac:dyDescent="0.2">
      <c r="P366" s="31"/>
      <c r="Q366" s="31"/>
      <c r="R366" s="31"/>
      <c r="S366" s="31"/>
      <c r="T366" s="31"/>
      <c r="U366" s="31"/>
    </row>
    <row r="367" spans="16:21" x14ac:dyDescent="0.2">
      <c r="P367" s="31"/>
      <c r="Q367" s="31"/>
      <c r="R367" s="31"/>
      <c r="S367" s="31"/>
      <c r="T367" s="31"/>
      <c r="U367" s="31"/>
    </row>
    <row r="368" spans="16:21" x14ac:dyDescent="0.2">
      <c r="P368" s="31"/>
      <c r="Q368" s="31"/>
      <c r="R368" s="31"/>
      <c r="S368" s="31"/>
      <c r="T368" s="31"/>
      <c r="U368" s="31"/>
    </row>
    <row r="369" spans="16:21" x14ac:dyDescent="0.2">
      <c r="P369" s="31"/>
      <c r="Q369" s="31"/>
      <c r="R369" s="31"/>
      <c r="S369" s="31"/>
      <c r="T369" s="31"/>
      <c r="U369" s="31"/>
    </row>
    <row r="370" spans="16:21" x14ac:dyDescent="0.2">
      <c r="P370" s="31"/>
      <c r="Q370" s="31"/>
      <c r="R370" s="31"/>
      <c r="S370" s="31"/>
      <c r="T370" s="31"/>
      <c r="U370" s="31"/>
    </row>
    <row r="371" spans="16:21" x14ac:dyDescent="0.2">
      <c r="P371" s="31"/>
      <c r="Q371" s="31"/>
      <c r="R371" s="31"/>
      <c r="S371" s="31"/>
      <c r="T371" s="31"/>
      <c r="U371" s="31"/>
    </row>
    <row r="372" spans="16:21" x14ac:dyDescent="0.2">
      <c r="P372" s="31"/>
      <c r="Q372" s="31"/>
      <c r="R372" s="31"/>
      <c r="S372" s="31"/>
      <c r="T372" s="31"/>
      <c r="U372" s="31"/>
    </row>
    <row r="373" spans="16:21" x14ac:dyDescent="0.2">
      <c r="P373" s="31"/>
      <c r="Q373" s="31"/>
      <c r="R373" s="31"/>
      <c r="S373" s="31"/>
      <c r="T373" s="31"/>
      <c r="U373" s="31"/>
    </row>
    <row r="374" spans="16:21" x14ac:dyDescent="0.2">
      <c r="P374" s="31"/>
      <c r="Q374" s="31"/>
      <c r="R374" s="31"/>
      <c r="S374" s="31"/>
      <c r="T374" s="31"/>
      <c r="U374" s="31"/>
    </row>
    <row r="375" spans="16:21" x14ac:dyDescent="0.2">
      <c r="P375" s="31"/>
      <c r="Q375" s="31"/>
      <c r="R375" s="31"/>
      <c r="S375" s="31"/>
      <c r="T375" s="31"/>
      <c r="U375" s="31"/>
    </row>
    <row r="376" spans="16:21" x14ac:dyDescent="0.2">
      <c r="P376" s="31"/>
      <c r="Q376" s="31"/>
      <c r="R376" s="31"/>
      <c r="S376" s="31"/>
      <c r="T376" s="31"/>
      <c r="U376" s="31"/>
    </row>
    <row r="377" spans="16:21" x14ac:dyDescent="0.2">
      <c r="P377" s="31"/>
      <c r="Q377" s="31"/>
      <c r="R377" s="31"/>
      <c r="S377" s="31"/>
      <c r="T377" s="31"/>
      <c r="U377" s="31"/>
    </row>
    <row r="378" spans="16:21" x14ac:dyDescent="0.2">
      <c r="P378" s="31"/>
      <c r="Q378" s="31"/>
      <c r="R378" s="31"/>
      <c r="S378" s="31"/>
      <c r="T378" s="31"/>
      <c r="U378" s="31"/>
    </row>
    <row r="379" spans="16:21" x14ac:dyDescent="0.2">
      <c r="P379" s="31"/>
      <c r="Q379" s="31"/>
      <c r="R379" s="31"/>
      <c r="S379" s="31"/>
      <c r="T379" s="31"/>
      <c r="U379" s="31"/>
    </row>
    <row r="380" spans="16:21" x14ac:dyDescent="0.2">
      <c r="P380" s="31"/>
      <c r="Q380" s="31"/>
      <c r="R380" s="31"/>
      <c r="S380" s="31"/>
      <c r="T380" s="31"/>
      <c r="U380" s="31"/>
    </row>
    <row r="381" spans="16:21" x14ac:dyDescent="0.2">
      <c r="P381" s="31"/>
      <c r="Q381" s="31"/>
      <c r="R381" s="31"/>
      <c r="S381" s="31"/>
      <c r="T381" s="31"/>
      <c r="U381" s="31"/>
    </row>
    <row r="382" spans="16:21" x14ac:dyDescent="0.2">
      <c r="P382" s="31"/>
      <c r="Q382" s="31"/>
      <c r="R382" s="31"/>
      <c r="S382" s="31"/>
      <c r="T382" s="31"/>
      <c r="U382" s="31"/>
    </row>
    <row r="383" spans="16:21" x14ac:dyDescent="0.2">
      <c r="P383" s="31"/>
      <c r="Q383" s="31"/>
      <c r="R383" s="31"/>
      <c r="S383" s="31"/>
      <c r="T383" s="31"/>
      <c r="U383" s="31"/>
    </row>
    <row r="384" spans="16:21" x14ac:dyDescent="0.2">
      <c r="P384" s="31"/>
      <c r="Q384" s="31"/>
      <c r="R384" s="31"/>
      <c r="S384" s="31"/>
      <c r="T384" s="31"/>
      <c r="U384" s="31"/>
    </row>
    <row r="385" spans="16:21" x14ac:dyDescent="0.2">
      <c r="P385" s="31"/>
      <c r="Q385" s="31"/>
      <c r="R385" s="31"/>
      <c r="S385" s="31"/>
      <c r="T385" s="31"/>
      <c r="U385" s="31"/>
    </row>
    <row r="386" spans="16:21" x14ac:dyDescent="0.2">
      <c r="P386" s="31"/>
      <c r="Q386" s="31"/>
      <c r="R386" s="31"/>
      <c r="S386" s="31"/>
      <c r="T386" s="31"/>
      <c r="U386" s="31"/>
    </row>
    <row r="387" spans="16:21" x14ac:dyDescent="0.2">
      <c r="P387" s="31"/>
      <c r="Q387" s="31"/>
      <c r="R387" s="31"/>
      <c r="S387" s="31"/>
      <c r="T387" s="31"/>
      <c r="U387" s="31"/>
    </row>
    <row r="388" spans="16:21" x14ac:dyDescent="0.2">
      <c r="P388" s="31"/>
      <c r="Q388" s="31"/>
      <c r="R388" s="31"/>
      <c r="S388" s="31"/>
      <c r="T388" s="31"/>
      <c r="U388" s="31"/>
    </row>
    <row r="389" spans="16:21" x14ac:dyDescent="0.2">
      <c r="P389" s="31"/>
      <c r="Q389" s="31"/>
      <c r="R389" s="31"/>
      <c r="S389" s="31"/>
      <c r="T389" s="31"/>
      <c r="U389" s="31"/>
    </row>
    <row r="390" spans="16:21" x14ac:dyDescent="0.2">
      <c r="P390" s="31"/>
      <c r="Q390" s="31"/>
      <c r="R390" s="31"/>
      <c r="S390" s="31"/>
      <c r="T390" s="31"/>
      <c r="U390" s="31"/>
    </row>
    <row r="391" spans="16:21" x14ac:dyDescent="0.2">
      <c r="P391" s="31"/>
      <c r="Q391" s="31"/>
      <c r="R391" s="31"/>
      <c r="S391" s="31"/>
      <c r="T391" s="31"/>
      <c r="U391" s="31"/>
    </row>
    <row r="392" spans="16:21" x14ac:dyDescent="0.2">
      <c r="P392" s="31"/>
      <c r="Q392" s="31"/>
      <c r="R392" s="31"/>
      <c r="S392" s="31"/>
      <c r="T392" s="31"/>
      <c r="U392" s="31"/>
    </row>
    <row r="393" spans="16:21" x14ac:dyDescent="0.2">
      <c r="P393" s="31"/>
      <c r="Q393" s="31"/>
      <c r="R393" s="31"/>
      <c r="S393" s="31"/>
      <c r="T393" s="31"/>
      <c r="U393" s="31"/>
    </row>
    <row r="394" spans="16:21" x14ac:dyDescent="0.2">
      <c r="P394" s="31"/>
      <c r="Q394" s="31"/>
      <c r="R394" s="31"/>
      <c r="S394" s="31"/>
      <c r="T394" s="31"/>
      <c r="U394" s="31"/>
    </row>
    <row r="395" spans="16:21" x14ac:dyDescent="0.2">
      <c r="P395" s="31"/>
      <c r="Q395" s="31"/>
      <c r="R395" s="31"/>
      <c r="S395" s="31"/>
      <c r="T395" s="31"/>
      <c r="U395" s="31"/>
    </row>
    <row r="396" spans="16:21" x14ac:dyDescent="0.2">
      <c r="P396" s="31"/>
      <c r="Q396" s="31"/>
      <c r="R396" s="31"/>
      <c r="S396" s="31"/>
      <c r="T396" s="31"/>
      <c r="U396" s="31"/>
    </row>
    <row r="397" spans="16:21" x14ac:dyDescent="0.2">
      <c r="P397" s="31"/>
      <c r="Q397" s="31"/>
      <c r="R397" s="31"/>
      <c r="S397" s="31"/>
      <c r="T397" s="31"/>
      <c r="U397" s="31"/>
    </row>
    <row r="398" spans="16:21" x14ac:dyDescent="0.2">
      <c r="P398" s="31"/>
      <c r="Q398" s="31"/>
      <c r="R398" s="31"/>
      <c r="S398" s="31"/>
      <c r="T398" s="31"/>
      <c r="U398" s="31"/>
    </row>
    <row r="399" spans="16:21" x14ac:dyDescent="0.2">
      <c r="P399" s="31"/>
      <c r="Q399" s="31"/>
      <c r="R399" s="31"/>
      <c r="S399" s="31"/>
      <c r="T399" s="31"/>
      <c r="U399" s="31"/>
    </row>
    <row r="400" spans="16:21" x14ac:dyDescent="0.2">
      <c r="P400" s="31"/>
      <c r="Q400" s="31"/>
      <c r="R400" s="31"/>
      <c r="S400" s="31"/>
      <c r="T400" s="31"/>
      <c r="U400" s="31"/>
    </row>
    <row r="401" spans="16:21" x14ac:dyDescent="0.2">
      <c r="P401" s="31"/>
      <c r="Q401" s="31"/>
      <c r="R401" s="31"/>
      <c r="S401" s="31"/>
      <c r="T401" s="31"/>
      <c r="U401" s="31"/>
    </row>
    <row r="402" spans="16:21" x14ac:dyDescent="0.2">
      <c r="P402" s="31"/>
      <c r="Q402" s="31"/>
      <c r="R402" s="31"/>
      <c r="S402" s="31"/>
      <c r="T402" s="31"/>
      <c r="U402" s="31"/>
    </row>
    <row r="403" spans="16:21" x14ac:dyDescent="0.2">
      <c r="P403" s="31"/>
      <c r="Q403" s="31"/>
      <c r="R403" s="31"/>
      <c r="S403" s="31"/>
      <c r="T403" s="31"/>
      <c r="U403" s="31"/>
    </row>
    <row r="404" spans="16:21" x14ac:dyDescent="0.2">
      <c r="P404" s="31"/>
      <c r="Q404" s="31"/>
      <c r="R404" s="31"/>
      <c r="S404" s="31"/>
      <c r="T404" s="31"/>
      <c r="U404" s="31"/>
    </row>
    <row r="405" spans="16:21" x14ac:dyDescent="0.2">
      <c r="P405" s="31"/>
      <c r="Q405" s="31"/>
      <c r="R405" s="31"/>
      <c r="S405" s="31"/>
      <c r="T405" s="31"/>
      <c r="U405" s="31"/>
    </row>
    <row r="406" spans="16:21" x14ac:dyDescent="0.2">
      <c r="P406" s="31"/>
      <c r="Q406" s="31"/>
      <c r="R406" s="31"/>
      <c r="S406" s="31"/>
      <c r="T406" s="31"/>
      <c r="U406" s="31"/>
    </row>
    <row r="407" spans="16:21" x14ac:dyDescent="0.2">
      <c r="P407" s="31"/>
      <c r="Q407" s="31"/>
      <c r="R407" s="31"/>
      <c r="S407" s="31"/>
      <c r="T407" s="31"/>
      <c r="U407" s="31"/>
    </row>
    <row r="408" spans="16:21" x14ac:dyDescent="0.2">
      <c r="P408" s="31"/>
      <c r="Q408" s="31"/>
      <c r="R408" s="31"/>
      <c r="S408" s="31"/>
      <c r="T408" s="31"/>
      <c r="U408" s="31"/>
    </row>
    <row r="409" spans="16:21" x14ac:dyDescent="0.2">
      <c r="P409" s="31"/>
      <c r="Q409" s="31"/>
      <c r="R409" s="31"/>
      <c r="S409" s="31"/>
      <c r="T409" s="31"/>
      <c r="U409" s="31"/>
    </row>
    <row r="410" spans="16:21" x14ac:dyDescent="0.2">
      <c r="P410" s="31"/>
      <c r="Q410" s="31"/>
      <c r="R410" s="31"/>
      <c r="S410" s="31"/>
      <c r="T410" s="31"/>
      <c r="U410" s="31"/>
    </row>
    <row r="411" spans="16:21" x14ac:dyDescent="0.2">
      <c r="P411" s="31"/>
      <c r="Q411" s="31"/>
      <c r="R411" s="31"/>
      <c r="S411" s="31"/>
      <c r="T411" s="31"/>
      <c r="U411" s="31"/>
    </row>
    <row r="412" spans="16:21" x14ac:dyDescent="0.2">
      <c r="P412" s="31"/>
      <c r="Q412" s="31"/>
      <c r="R412" s="31"/>
      <c r="S412" s="31"/>
      <c r="T412" s="31"/>
      <c r="U412" s="31"/>
    </row>
    <row r="413" spans="16:21" x14ac:dyDescent="0.2">
      <c r="P413" s="31"/>
      <c r="Q413" s="31"/>
      <c r="R413" s="31"/>
      <c r="S413" s="31"/>
      <c r="T413" s="31"/>
      <c r="U413" s="31"/>
    </row>
    <row r="414" spans="16:21" x14ac:dyDescent="0.2">
      <c r="P414" s="31"/>
      <c r="Q414" s="31"/>
      <c r="R414" s="31"/>
      <c r="S414" s="31"/>
      <c r="T414" s="31"/>
      <c r="U414" s="31"/>
    </row>
    <row r="415" spans="16:21" x14ac:dyDescent="0.2">
      <c r="P415" s="31"/>
      <c r="Q415" s="31"/>
      <c r="R415" s="31"/>
      <c r="S415" s="31"/>
      <c r="T415" s="31"/>
      <c r="U415" s="31"/>
    </row>
    <row r="416" spans="16:21" x14ac:dyDescent="0.2">
      <c r="P416" s="31"/>
      <c r="Q416" s="31"/>
      <c r="R416" s="31"/>
      <c r="S416" s="31"/>
      <c r="T416" s="31"/>
      <c r="U416" s="31"/>
    </row>
    <row r="417" spans="16:21" x14ac:dyDescent="0.2">
      <c r="P417" s="31"/>
      <c r="Q417" s="31"/>
      <c r="R417" s="31"/>
      <c r="S417" s="31"/>
      <c r="T417" s="31"/>
      <c r="U417" s="31"/>
    </row>
    <row r="418" spans="16:21" x14ac:dyDescent="0.2">
      <c r="P418" s="31"/>
      <c r="Q418" s="31"/>
      <c r="R418" s="31"/>
      <c r="S418" s="31"/>
      <c r="T418" s="31"/>
      <c r="U418" s="31"/>
    </row>
    <row r="419" spans="16:21" x14ac:dyDescent="0.2">
      <c r="P419" s="31"/>
      <c r="Q419" s="31"/>
      <c r="R419" s="31"/>
      <c r="S419" s="31"/>
      <c r="T419" s="31"/>
      <c r="U419" s="31"/>
    </row>
    <row r="420" spans="16:21" x14ac:dyDescent="0.2">
      <c r="P420" s="31"/>
      <c r="Q420" s="31"/>
      <c r="R420" s="31"/>
      <c r="S420" s="31"/>
      <c r="T420" s="31"/>
      <c r="U420" s="31"/>
    </row>
    <row r="421" spans="16:21" x14ac:dyDescent="0.2">
      <c r="P421" s="31"/>
      <c r="Q421" s="31"/>
      <c r="R421" s="31"/>
      <c r="S421" s="31"/>
      <c r="T421" s="31"/>
      <c r="U421" s="31"/>
    </row>
    <row r="422" spans="16:21" x14ac:dyDescent="0.2">
      <c r="P422" s="31"/>
      <c r="Q422" s="31"/>
      <c r="R422" s="31"/>
      <c r="S422" s="31"/>
      <c r="T422" s="31"/>
      <c r="U422" s="31"/>
    </row>
    <row r="423" spans="16:21" x14ac:dyDescent="0.2">
      <c r="P423" s="31"/>
      <c r="Q423" s="31"/>
      <c r="R423" s="31"/>
      <c r="S423" s="31"/>
      <c r="T423" s="31"/>
      <c r="U423" s="31"/>
    </row>
    <row r="424" spans="16:21" x14ac:dyDescent="0.2">
      <c r="P424" s="31"/>
      <c r="Q424" s="31"/>
      <c r="R424" s="31"/>
      <c r="S424" s="31"/>
      <c r="T424" s="31"/>
      <c r="U424" s="31"/>
    </row>
    <row r="425" spans="16:21" x14ac:dyDescent="0.2">
      <c r="P425" s="31"/>
      <c r="Q425" s="31"/>
      <c r="R425" s="31"/>
      <c r="S425" s="31"/>
      <c r="T425" s="31"/>
      <c r="U425" s="31"/>
    </row>
    <row r="426" spans="16:21" x14ac:dyDescent="0.2">
      <c r="P426" s="31"/>
      <c r="Q426" s="31"/>
      <c r="R426" s="31"/>
      <c r="S426" s="31"/>
      <c r="T426" s="31"/>
      <c r="U426" s="31"/>
    </row>
    <row r="427" spans="16:21" x14ac:dyDescent="0.2">
      <c r="P427" s="31"/>
      <c r="Q427" s="31"/>
      <c r="R427" s="31"/>
      <c r="S427" s="31"/>
      <c r="T427" s="31"/>
      <c r="U427" s="31"/>
    </row>
    <row r="428" spans="16:21" x14ac:dyDescent="0.2">
      <c r="P428" s="31"/>
      <c r="Q428" s="31"/>
      <c r="R428" s="31"/>
      <c r="S428" s="31"/>
      <c r="T428" s="31"/>
      <c r="U428" s="31"/>
    </row>
    <row r="429" spans="16:21" x14ac:dyDescent="0.2">
      <c r="P429" s="31"/>
      <c r="Q429" s="31"/>
      <c r="R429" s="31"/>
      <c r="S429" s="31"/>
      <c r="T429" s="31"/>
      <c r="U429" s="31"/>
    </row>
    <row r="430" spans="16:21" x14ac:dyDescent="0.2">
      <c r="P430" s="31"/>
      <c r="Q430" s="31"/>
      <c r="R430" s="31"/>
      <c r="S430" s="31"/>
      <c r="T430" s="31"/>
      <c r="U430" s="31"/>
    </row>
    <row r="431" spans="16:21" x14ac:dyDescent="0.2">
      <c r="P431" s="31"/>
      <c r="Q431" s="31"/>
      <c r="R431" s="31"/>
      <c r="S431" s="31"/>
      <c r="T431" s="31"/>
      <c r="U431" s="31"/>
    </row>
    <row r="432" spans="16:21" x14ac:dyDescent="0.2">
      <c r="P432" s="31"/>
      <c r="Q432" s="31"/>
      <c r="R432" s="31"/>
      <c r="S432" s="31"/>
      <c r="T432" s="31"/>
      <c r="U432" s="31"/>
    </row>
    <row r="433" spans="16:21" x14ac:dyDescent="0.2">
      <c r="P433" s="31"/>
      <c r="Q433" s="31"/>
      <c r="R433" s="31"/>
      <c r="S433" s="31"/>
      <c r="T433" s="31"/>
      <c r="U433" s="31"/>
    </row>
    <row r="434" spans="16:21" x14ac:dyDescent="0.2">
      <c r="P434" s="31"/>
      <c r="Q434" s="31"/>
      <c r="R434" s="31"/>
      <c r="S434" s="31"/>
      <c r="T434" s="31"/>
      <c r="U434" s="31"/>
    </row>
    <row r="435" spans="16:21" x14ac:dyDescent="0.2">
      <c r="P435" s="31"/>
      <c r="Q435" s="31"/>
      <c r="R435" s="31"/>
      <c r="S435" s="31"/>
      <c r="T435" s="31"/>
      <c r="U435" s="31"/>
    </row>
    <row r="436" spans="16:21" x14ac:dyDescent="0.2">
      <c r="P436" s="31"/>
      <c r="Q436" s="31"/>
      <c r="R436" s="31"/>
      <c r="S436" s="31"/>
      <c r="T436" s="31"/>
      <c r="U436" s="31"/>
    </row>
    <row r="437" spans="16:21" x14ac:dyDescent="0.2">
      <c r="P437" s="31"/>
      <c r="Q437" s="31"/>
      <c r="R437" s="31"/>
      <c r="S437" s="31"/>
      <c r="T437" s="31"/>
      <c r="U437" s="31"/>
    </row>
    <row r="438" spans="16:21" x14ac:dyDescent="0.2">
      <c r="P438" s="31"/>
      <c r="Q438" s="31"/>
      <c r="R438" s="31"/>
      <c r="S438" s="31"/>
      <c r="T438" s="31"/>
      <c r="U438" s="31"/>
    </row>
    <row r="439" spans="16:21" x14ac:dyDescent="0.2">
      <c r="P439" s="31"/>
      <c r="Q439" s="31"/>
      <c r="R439" s="31"/>
      <c r="S439" s="31"/>
      <c r="T439" s="31"/>
      <c r="U439" s="31"/>
    </row>
    <row r="440" spans="16:21" x14ac:dyDescent="0.2">
      <c r="P440" s="31"/>
      <c r="Q440" s="31"/>
      <c r="R440" s="31"/>
      <c r="S440" s="31"/>
      <c r="T440" s="31"/>
      <c r="U440" s="31"/>
    </row>
    <row r="441" spans="16:21" x14ac:dyDescent="0.2">
      <c r="P441" s="31"/>
      <c r="Q441" s="31"/>
      <c r="R441" s="31"/>
      <c r="S441" s="31"/>
      <c r="T441" s="31"/>
      <c r="U441" s="31"/>
    </row>
    <row r="442" spans="16:21" x14ac:dyDescent="0.2">
      <c r="P442" s="31"/>
      <c r="Q442" s="31"/>
      <c r="R442" s="31"/>
      <c r="S442" s="31"/>
      <c r="T442" s="31"/>
      <c r="U442" s="31"/>
    </row>
    <row r="443" spans="16:21" x14ac:dyDescent="0.2">
      <c r="P443" s="31"/>
      <c r="Q443" s="31"/>
      <c r="R443" s="31"/>
      <c r="S443" s="31"/>
      <c r="T443" s="31"/>
      <c r="U443" s="31"/>
    </row>
    <row r="444" spans="16:21" x14ac:dyDescent="0.2">
      <c r="P444" s="31"/>
      <c r="Q444" s="31"/>
      <c r="R444" s="31"/>
      <c r="S444" s="31"/>
      <c r="T444" s="31"/>
      <c r="U444" s="31"/>
    </row>
    <row r="445" spans="16:21" x14ac:dyDescent="0.2">
      <c r="P445" s="31"/>
      <c r="Q445" s="31"/>
      <c r="R445" s="31"/>
      <c r="S445" s="31"/>
      <c r="T445" s="31"/>
      <c r="U445" s="31"/>
    </row>
    <row r="446" spans="16:21" x14ac:dyDescent="0.2">
      <c r="P446" s="31"/>
      <c r="Q446" s="31"/>
      <c r="R446" s="31"/>
      <c r="S446" s="31"/>
      <c r="T446" s="31"/>
      <c r="U446" s="31"/>
    </row>
    <row r="447" spans="16:21" x14ac:dyDescent="0.2">
      <c r="P447" s="31"/>
      <c r="Q447" s="31"/>
      <c r="R447" s="31"/>
      <c r="S447" s="31"/>
      <c r="T447" s="31"/>
      <c r="U447" s="31"/>
    </row>
    <row r="448" spans="16:21" x14ac:dyDescent="0.2">
      <c r="P448" s="31"/>
      <c r="Q448" s="31"/>
      <c r="R448" s="31"/>
      <c r="S448" s="31"/>
      <c r="T448" s="31"/>
      <c r="U448" s="31"/>
    </row>
    <row r="449" spans="16:21" x14ac:dyDescent="0.2">
      <c r="P449" s="31"/>
      <c r="Q449" s="31"/>
      <c r="R449" s="31"/>
      <c r="S449" s="31"/>
      <c r="T449" s="31"/>
      <c r="U449" s="31"/>
    </row>
    <row r="450" spans="16:21" x14ac:dyDescent="0.2">
      <c r="P450" s="31"/>
      <c r="Q450" s="31"/>
      <c r="R450" s="31"/>
      <c r="S450" s="31"/>
      <c r="T450" s="31"/>
      <c r="U450" s="31"/>
    </row>
    <row r="451" spans="16:21" x14ac:dyDescent="0.2">
      <c r="P451" s="31"/>
      <c r="Q451" s="31"/>
      <c r="R451" s="31"/>
      <c r="S451" s="31"/>
      <c r="T451" s="31"/>
      <c r="U451" s="31"/>
    </row>
    <row r="452" spans="16:21" x14ac:dyDescent="0.2">
      <c r="P452" s="31"/>
      <c r="Q452" s="31"/>
      <c r="R452" s="31"/>
      <c r="S452" s="31"/>
      <c r="T452" s="31"/>
      <c r="U452" s="31"/>
    </row>
    <row r="453" spans="16:21" x14ac:dyDescent="0.2">
      <c r="P453" s="31"/>
      <c r="Q453" s="31"/>
      <c r="R453" s="31"/>
      <c r="S453" s="31"/>
      <c r="T453" s="31"/>
      <c r="U453" s="31"/>
    </row>
    <row r="454" spans="16:21" x14ac:dyDescent="0.2">
      <c r="P454" s="31"/>
      <c r="Q454" s="31"/>
      <c r="R454" s="31"/>
      <c r="S454" s="31"/>
      <c r="T454" s="31"/>
      <c r="U454" s="31"/>
    </row>
    <row r="455" spans="16:21" x14ac:dyDescent="0.2">
      <c r="P455" s="31"/>
      <c r="Q455" s="31"/>
      <c r="R455" s="31"/>
      <c r="S455" s="31"/>
      <c r="T455" s="31"/>
      <c r="U455" s="31"/>
    </row>
    <row r="456" spans="16:21" x14ac:dyDescent="0.2">
      <c r="P456" s="31"/>
      <c r="Q456" s="31"/>
      <c r="R456" s="31"/>
      <c r="S456" s="31"/>
      <c r="T456" s="31"/>
      <c r="U456" s="31"/>
    </row>
    <row r="457" spans="16:21" x14ac:dyDescent="0.2">
      <c r="P457" s="31"/>
      <c r="Q457" s="31"/>
      <c r="R457" s="31"/>
      <c r="S457" s="31"/>
      <c r="T457" s="31"/>
      <c r="U457" s="31"/>
    </row>
    <row r="458" spans="16:21" x14ac:dyDescent="0.2">
      <c r="P458" s="31"/>
      <c r="Q458" s="31"/>
      <c r="R458" s="31"/>
      <c r="S458" s="31"/>
      <c r="T458" s="31"/>
      <c r="U458" s="31"/>
    </row>
    <row r="459" spans="16:21" x14ac:dyDescent="0.2">
      <c r="P459" s="31"/>
      <c r="Q459" s="31"/>
      <c r="R459" s="31"/>
      <c r="S459" s="31"/>
      <c r="T459" s="31"/>
      <c r="U459" s="31"/>
    </row>
    <row r="460" spans="16:21" x14ac:dyDescent="0.2">
      <c r="P460" s="31"/>
      <c r="Q460" s="31"/>
      <c r="R460" s="31"/>
      <c r="S460" s="31"/>
      <c r="T460" s="31"/>
      <c r="U460" s="31"/>
    </row>
    <row r="461" spans="16:21" x14ac:dyDescent="0.2">
      <c r="P461" s="31"/>
      <c r="Q461" s="31"/>
      <c r="R461" s="31"/>
      <c r="S461" s="31"/>
      <c r="T461" s="31"/>
      <c r="U461" s="31"/>
    </row>
    <row r="462" spans="16:21" x14ac:dyDescent="0.2">
      <c r="P462" s="31"/>
      <c r="Q462" s="31"/>
      <c r="R462" s="31"/>
      <c r="S462" s="31"/>
      <c r="T462" s="31"/>
      <c r="U462" s="31"/>
    </row>
    <row r="463" spans="16:21" x14ac:dyDescent="0.2">
      <c r="P463" s="31"/>
      <c r="Q463" s="31"/>
      <c r="R463" s="31"/>
      <c r="S463" s="31"/>
      <c r="T463" s="31"/>
      <c r="U463" s="31"/>
    </row>
    <row r="464" spans="16:21" x14ac:dyDescent="0.2">
      <c r="P464" s="31"/>
      <c r="Q464" s="31"/>
      <c r="R464" s="31"/>
      <c r="S464" s="31"/>
      <c r="T464" s="31"/>
      <c r="U464" s="31"/>
    </row>
    <row r="465" spans="16:21" x14ac:dyDescent="0.2">
      <c r="P465" s="31"/>
      <c r="Q465" s="31"/>
      <c r="R465" s="31"/>
      <c r="S465" s="31"/>
      <c r="T465" s="31"/>
      <c r="U465" s="31"/>
    </row>
    <row r="466" spans="16:21" x14ac:dyDescent="0.2">
      <c r="P466" s="31"/>
      <c r="Q466" s="31"/>
      <c r="R466" s="31"/>
      <c r="S466" s="31"/>
      <c r="T466" s="31"/>
      <c r="U466" s="31"/>
    </row>
    <row r="467" spans="16:21" x14ac:dyDescent="0.2">
      <c r="P467" s="31"/>
      <c r="Q467" s="31"/>
      <c r="R467" s="31"/>
      <c r="S467" s="31"/>
      <c r="T467" s="31"/>
      <c r="U467" s="31"/>
    </row>
    <row r="468" spans="16:21" x14ac:dyDescent="0.2">
      <c r="P468" s="31"/>
      <c r="Q468" s="31"/>
      <c r="R468" s="31"/>
      <c r="S468" s="31"/>
      <c r="T468" s="31"/>
      <c r="U468" s="31"/>
    </row>
    <row r="469" spans="16:21" x14ac:dyDescent="0.2">
      <c r="P469" s="31"/>
      <c r="Q469" s="31"/>
      <c r="R469" s="31"/>
      <c r="S469" s="31"/>
      <c r="T469" s="31"/>
      <c r="U469" s="31"/>
    </row>
    <row r="470" spans="16:21" x14ac:dyDescent="0.2">
      <c r="P470" s="31"/>
      <c r="Q470" s="31"/>
      <c r="R470" s="31"/>
      <c r="S470" s="31"/>
      <c r="T470" s="31"/>
      <c r="U470" s="31"/>
    </row>
    <row r="471" spans="16:21" x14ac:dyDescent="0.2">
      <c r="P471" s="31"/>
      <c r="Q471" s="31"/>
      <c r="R471" s="31"/>
      <c r="S471" s="31"/>
      <c r="T471" s="31"/>
      <c r="U471" s="31"/>
    </row>
    <row r="472" spans="16:21" x14ac:dyDescent="0.2">
      <c r="P472" s="31"/>
      <c r="Q472" s="31"/>
      <c r="R472" s="31"/>
      <c r="S472" s="31"/>
      <c r="T472" s="31"/>
      <c r="U472" s="31"/>
    </row>
    <row r="473" spans="16:21" x14ac:dyDescent="0.2">
      <c r="P473" s="31"/>
      <c r="Q473" s="31"/>
      <c r="R473" s="31"/>
      <c r="S473" s="31"/>
      <c r="T473" s="31"/>
      <c r="U473" s="31"/>
    </row>
    <row r="474" spans="16:21" x14ac:dyDescent="0.2">
      <c r="P474" s="31"/>
      <c r="Q474" s="31"/>
      <c r="R474" s="31"/>
      <c r="S474" s="31"/>
      <c r="T474" s="31"/>
      <c r="U474" s="31"/>
    </row>
    <row r="475" spans="16:21" x14ac:dyDescent="0.2">
      <c r="P475" s="31"/>
      <c r="Q475" s="31"/>
      <c r="R475" s="31"/>
      <c r="S475" s="31"/>
      <c r="T475" s="31"/>
      <c r="U475" s="31"/>
    </row>
    <row r="476" spans="16:21" x14ac:dyDescent="0.2">
      <c r="P476" s="31"/>
      <c r="Q476" s="31"/>
      <c r="R476" s="31"/>
      <c r="S476" s="31"/>
      <c r="T476" s="31"/>
      <c r="U476" s="31"/>
    </row>
    <row r="477" spans="16:21" x14ac:dyDescent="0.2">
      <c r="P477" s="31"/>
      <c r="Q477" s="31"/>
      <c r="R477" s="31"/>
      <c r="S477" s="31"/>
      <c r="T477" s="31"/>
      <c r="U477" s="31"/>
    </row>
    <row r="478" spans="16:21" x14ac:dyDescent="0.2">
      <c r="P478" s="31"/>
      <c r="Q478" s="31"/>
      <c r="R478" s="31"/>
      <c r="S478" s="31"/>
      <c r="T478" s="31"/>
      <c r="U478" s="31"/>
    </row>
    <row r="479" spans="16:21" x14ac:dyDescent="0.2">
      <c r="P479" s="31"/>
      <c r="Q479" s="31"/>
      <c r="R479" s="31"/>
      <c r="S479" s="31"/>
      <c r="T479" s="31"/>
      <c r="U479" s="31"/>
    </row>
    <row r="480" spans="16:21" x14ac:dyDescent="0.2">
      <c r="P480" s="31"/>
      <c r="Q480" s="31"/>
      <c r="R480" s="31"/>
      <c r="S480" s="31"/>
      <c r="T480" s="31"/>
      <c r="U480" s="31"/>
    </row>
    <row r="481" spans="16:21" x14ac:dyDescent="0.2">
      <c r="P481" s="31"/>
      <c r="Q481" s="31"/>
      <c r="R481" s="31"/>
      <c r="S481" s="31"/>
      <c r="T481" s="31"/>
      <c r="U481" s="31"/>
    </row>
    <row r="482" spans="16:21" x14ac:dyDescent="0.2">
      <c r="P482" s="31"/>
      <c r="Q482" s="31"/>
      <c r="R482" s="31"/>
      <c r="S482" s="31"/>
      <c r="T482" s="31"/>
      <c r="U482" s="31"/>
    </row>
    <row r="483" spans="16:21" x14ac:dyDescent="0.2">
      <c r="P483" s="31"/>
      <c r="Q483" s="31"/>
      <c r="R483" s="31"/>
      <c r="S483" s="31"/>
      <c r="T483" s="31"/>
      <c r="U483" s="31"/>
    </row>
    <row r="484" spans="16:21" x14ac:dyDescent="0.2">
      <c r="P484" s="31"/>
      <c r="Q484" s="31"/>
      <c r="R484" s="31"/>
      <c r="S484" s="31"/>
      <c r="T484" s="31"/>
      <c r="U484" s="31"/>
    </row>
    <row r="485" spans="16:21" x14ac:dyDescent="0.2">
      <c r="P485" s="31"/>
      <c r="Q485" s="31"/>
      <c r="R485" s="31"/>
      <c r="S485" s="31"/>
      <c r="T485" s="31"/>
      <c r="U485" s="31"/>
    </row>
    <row r="486" spans="16:21" x14ac:dyDescent="0.2">
      <c r="P486" s="31"/>
      <c r="Q486" s="31"/>
      <c r="R486" s="31"/>
      <c r="S486" s="31"/>
      <c r="T486" s="31"/>
      <c r="U486" s="31"/>
    </row>
    <row r="487" spans="16:21" x14ac:dyDescent="0.2">
      <c r="P487" s="31"/>
      <c r="Q487" s="31"/>
      <c r="R487" s="31"/>
      <c r="S487" s="31"/>
      <c r="T487" s="31"/>
      <c r="U487" s="31"/>
    </row>
    <row r="488" spans="16:21" x14ac:dyDescent="0.2">
      <c r="P488" s="31"/>
      <c r="Q488" s="31"/>
      <c r="R488" s="31"/>
      <c r="S488" s="31"/>
      <c r="T488" s="31"/>
      <c r="U488" s="31"/>
    </row>
    <row r="489" spans="16:21" x14ac:dyDescent="0.2">
      <c r="P489" s="31"/>
      <c r="Q489" s="31"/>
      <c r="R489" s="31"/>
      <c r="S489" s="31"/>
      <c r="T489" s="31"/>
      <c r="U489" s="31"/>
    </row>
    <row r="490" spans="16:21" x14ac:dyDescent="0.2">
      <c r="P490" s="31"/>
      <c r="Q490" s="31"/>
      <c r="R490" s="31"/>
      <c r="S490" s="31"/>
      <c r="T490" s="31"/>
      <c r="U490" s="31"/>
    </row>
    <row r="491" spans="16:21" x14ac:dyDescent="0.2">
      <c r="P491" s="31"/>
      <c r="Q491" s="31"/>
      <c r="R491" s="31"/>
      <c r="S491" s="31"/>
      <c r="T491" s="31"/>
      <c r="U491" s="31"/>
    </row>
    <row r="492" spans="16:21" x14ac:dyDescent="0.2">
      <c r="P492" s="31"/>
      <c r="Q492" s="31"/>
      <c r="R492" s="31"/>
      <c r="S492" s="31"/>
      <c r="T492" s="31"/>
      <c r="U492" s="31"/>
    </row>
    <row r="493" spans="16:21" x14ac:dyDescent="0.2">
      <c r="P493" s="31"/>
      <c r="Q493" s="31"/>
      <c r="R493" s="31"/>
      <c r="S493" s="31"/>
      <c r="T493" s="31"/>
      <c r="U493" s="31"/>
    </row>
    <row r="494" spans="16:21" x14ac:dyDescent="0.2">
      <c r="P494" s="31"/>
      <c r="Q494" s="31"/>
      <c r="R494" s="31"/>
      <c r="S494" s="31"/>
      <c r="T494" s="31"/>
      <c r="U494" s="31"/>
    </row>
    <row r="495" spans="16:21" x14ac:dyDescent="0.2">
      <c r="P495" s="31"/>
      <c r="Q495" s="31"/>
      <c r="R495" s="31"/>
      <c r="S495" s="31"/>
      <c r="T495" s="31"/>
      <c r="U495" s="31"/>
    </row>
    <row r="496" spans="16:21" x14ac:dyDescent="0.2">
      <c r="P496" s="31"/>
      <c r="Q496" s="31"/>
      <c r="R496" s="31"/>
      <c r="S496" s="31"/>
      <c r="T496" s="31"/>
      <c r="U496" s="31"/>
    </row>
    <row r="497" spans="16:21" x14ac:dyDescent="0.2">
      <c r="P497" s="31"/>
      <c r="Q497" s="31"/>
      <c r="R497" s="31"/>
      <c r="S497" s="31"/>
      <c r="T497" s="31"/>
      <c r="U497" s="31"/>
    </row>
    <row r="498" spans="16:21" x14ac:dyDescent="0.2">
      <c r="P498" s="31"/>
      <c r="Q498" s="31"/>
      <c r="R498" s="31"/>
      <c r="S498" s="31"/>
      <c r="T498" s="31"/>
      <c r="U498" s="31"/>
    </row>
    <row r="499" spans="16:21" x14ac:dyDescent="0.2">
      <c r="P499" s="31"/>
      <c r="Q499" s="31"/>
      <c r="R499" s="31"/>
      <c r="S499" s="31"/>
      <c r="T499" s="31"/>
      <c r="U499" s="31"/>
    </row>
    <row r="500" spans="16:21" x14ac:dyDescent="0.2">
      <c r="P500" s="31"/>
      <c r="Q500" s="31"/>
      <c r="R500" s="31"/>
      <c r="S500" s="31"/>
      <c r="T500" s="31"/>
      <c r="U500" s="31"/>
    </row>
    <row r="501" spans="16:21" x14ac:dyDescent="0.2">
      <c r="P501" s="31"/>
      <c r="Q501" s="31"/>
      <c r="R501" s="31"/>
      <c r="S501" s="31"/>
      <c r="T501" s="31"/>
      <c r="U501" s="31"/>
    </row>
    <row r="502" spans="16:21" x14ac:dyDescent="0.2">
      <c r="P502" s="31"/>
      <c r="Q502" s="31"/>
      <c r="R502" s="31"/>
      <c r="S502" s="31"/>
      <c r="T502" s="31"/>
      <c r="U502" s="31"/>
    </row>
    <row r="503" spans="16:21" x14ac:dyDescent="0.2">
      <c r="P503" s="31"/>
      <c r="Q503" s="31"/>
      <c r="R503" s="31"/>
      <c r="S503" s="31"/>
      <c r="T503" s="31"/>
      <c r="U503" s="31"/>
    </row>
    <row r="504" spans="16:21" x14ac:dyDescent="0.2">
      <c r="P504" s="31"/>
      <c r="Q504" s="31"/>
      <c r="R504" s="31"/>
      <c r="S504" s="31"/>
      <c r="T504" s="31"/>
      <c r="U504" s="31"/>
    </row>
    <row r="505" spans="16:21" x14ac:dyDescent="0.2">
      <c r="P505" s="31"/>
      <c r="Q505" s="31"/>
      <c r="R505" s="31"/>
      <c r="S505" s="31"/>
      <c r="T505" s="31"/>
      <c r="U505" s="31"/>
    </row>
    <row r="506" spans="16:21" x14ac:dyDescent="0.2">
      <c r="P506" s="31"/>
      <c r="Q506" s="31"/>
      <c r="R506" s="31"/>
      <c r="S506" s="31"/>
      <c r="T506" s="31"/>
      <c r="U506" s="31"/>
    </row>
    <row r="507" spans="16:21" x14ac:dyDescent="0.2">
      <c r="P507" s="31"/>
      <c r="Q507" s="31"/>
      <c r="R507" s="31"/>
      <c r="S507" s="31"/>
      <c r="T507" s="31"/>
      <c r="U507" s="31"/>
    </row>
    <row r="508" spans="16:21" x14ac:dyDescent="0.2">
      <c r="P508" s="31"/>
      <c r="Q508" s="31"/>
      <c r="R508" s="31"/>
      <c r="S508" s="31"/>
      <c r="T508" s="31"/>
      <c r="U508" s="31"/>
    </row>
    <row r="509" spans="16:21" x14ac:dyDescent="0.2">
      <c r="P509" s="31"/>
      <c r="Q509" s="31"/>
      <c r="R509" s="31"/>
      <c r="S509" s="31"/>
      <c r="T509" s="31"/>
      <c r="U509" s="31"/>
    </row>
    <row r="510" spans="16:21" x14ac:dyDescent="0.2">
      <c r="P510" s="31"/>
      <c r="Q510" s="31"/>
      <c r="R510" s="31"/>
      <c r="S510" s="31"/>
      <c r="T510" s="31"/>
      <c r="U510" s="31"/>
    </row>
    <row r="511" spans="16:21" x14ac:dyDescent="0.2">
      <c r="P511" s="31"/>
      <c r="Q511" s="31"/>
      <c r="R511" s="31"/>
      <c r="S511" s="31"/>
      <c r="T511" s="31"/>
      <c r="U511" s="31"/>
    </row>
    <row r="512" spans="16:21" x14ac:dyDescent="0.2">
      <c r="P512" s="31"/>
      <c r="Q512" s="31"/>
      <c r="R512" s="31"/>
      <c r="S512" s="31"/>
      <c r="T512" s="31"/>
      <c r="U512" s="31"/>
    </row>
    <row r="513" spans="16:21" x14ac:dyDescent="0.2">
      <c r="P513" s="31"/>
      <c r="Q513" s="31"/>
      <c r="R513" s="31"/>
      <c r="S513" s="31"/>
      <c r="T513" s="31"/>
      <c r="U513" s="31"/>
    </row>
    <row r="514" spans="16:21" x14ac:dyDescent="0.2">
      <c r="P514" s="31"/>
      <c r="Q514" s="31"/>
      <c r="R514" s="31"/>
      <c r="S514" s="31"/>
      <c r="T514" s="31"/>
      <c r="U514" s="31"/>
    </row>
    <row r="515" spans="16:21" x14ac:dyDescent="0.2">
      <c r="P515" s="31"/>
      <c r="Q515" s="31"/>
      <c r="R515" s="31"/>
      <c r="S515" s="31"/>
      <c r="T515" s="31"/>
      <c r="U515" s="31"/>
    </row>
    <row r="516" spans="16:21" x14ac:dyDescent="0.2">
      <c r="P516" s="31"/>
      <c r="Q516" s="31"/>
      <c r="R516" s="31"/>
      <c r="S516" s="31"/>
      <c r="T516" s="31"/>
      <c r="U516" s="31"/>
    </row>
    <row r="517" spans="16:21" x14ac:dyDescent="0.2">
      <c r="P517" s="31"/>
      <c r="Q517" s="31"/>
      <c r="R517" s="31"/>
      <c r="S517" s="31"/>
      <c r="T517" s="31"/>
      <c r="U517" s="31"/>
    </row>
    <row r="518" spans="16:21" x14ac:dyDescent="0.2">
      <c r="P518" s="31"/>
      <c r="Q518" s="31"/>
      <c r="R518" s="31"/>
      <c r="S518" s="31"/>
      <c r="T518" s="31"/>
      <c r="U518" s="31"/>
    </row>
    <row r="519" spans="16:21" x14ac:dyDescent="0.2">
      <c r="P519" s="31"/>
      <c r="Q519" s="31"/>
      <c r="R519" s="31"/>
      <c r="S519" s="31"/>
      <c r="T519" s="31"/>
      <c r="U519" s="31"/>
    </row>
    <row r="520" spans="16:21" x14ac:dyDescent="0.2">
      <c r="P520" s="31"/>
      <c r="Q520" s="31"/>
      <c r="R520" s="31"/>
      <c r="S520" s="31"/>
      <c r="T520" s="31"/>
      <c r="U520" s="31"/>
    </row>
    <row r="521" spans="16:21" x14ac:dyDescent="0.2">
      <c r="P521" s="31"/>
      <c r="Q521" s="31"/>
      <c r="R521" s="31"/>
      <c r="S521" s="31"/>
      <c r="T521" s="31"/>
      <c r="U521" s="31"/>
    </row>
    <row r="522" spans="16:21" x14ac:dyDescent="0.2">
      <c r="P522" s="31"/>
      <c r="Q522" s="31"/>
      <c r="R522" s="31"/>
      <c r="S522" s="31"/>
      <c r="T522" s="31"/>
      <c r="U522" s="31"/>
    </row>
    <row r="523" spans="16:21" x14ac:dyDescent="0.2">
      <c r="P523" s="31"/>
      <c r="Q523" s="31"/>
      <c r="R523" s="31"/>
      <c r="S523" s="31"/>
      <c r="T523" s="31"/>
      <c r="U523" s="31"/>
    </row>
    <row r="524" spans="16:21" x14ac:dyDescent="0.2">
      <c r="P524" s="31"/>
      <c r="Q524" s="31"/>
      <c r="R524" s="31"/>
      <c r="S524" s="31"/>
      <c r="T524" s="31"/>
      <c r="U524" s="31"/>
    </row>
    <row r="525" spans="16:21" x14ac:dyDescent="0.2">
      <c r="P525" s="31"/>
      <c r="Q525" s="31"/>
      <c r="R525" s="31"/>
      <c r="S525" s="31"/>
      <c r="T525" s="31"/>
      <c r="U525" s="31"/>
    </row>
    <row r="526" spans="16:21" x14ac:dyDescent="0.2">
      <c r="P526" s="31"/>
      <c r="Q526" s="31"/>
      <c r="R526" s="31"/>
      <c r="S526" s="31"/>
      <c r="T526" s="31"/>
      <c r="U526" s="31"/>
    </row>
    <row r="527" spans="16:21" x14ac:dyDescent="0.2">
      <c r="P527" s="31"/>
      <c r="Q527" s="31"/>
      <c r="R527" s="31"/>
      <c r="S527" s="31"/>
      <c r="T527" s="31"/>
      <c r="U527" s="31"/>
    </row>
    <row r="528" spans="16:21" x14ac:dyDescent="0.2">
      <c r="P528" s="31"/>
      <c r="Q528" s="31"/>
      <c r="R528" s="31"/>
      <c r="S528" s="31"/>
      <c r="T528" s="31"/>
      <c r="U528" s="31"/>
    </row>
    <row r="529" spans="16:21" x14ac:dyDescent="0.2">
      <c r="P529" s="31"/>
      <c r="Q529" s="31"/>
      <c r="R529" s="31"/>
      <c r="S529" s="31"/>
      <c r="T529" s="31"/>
      <c r="U529" s="31"/>
    </row>
    <row r="530" spans="16:21" x14ac:dyDescent="0.2">
      <c r="P530" s="31"/>
      <c r="Q530" s="31"/>
      <c r="R530" s="31"/>
      <c r="S530" s="31"/>
      <c r="T530" s="31"/>
      <c r="U530" s="31"/>
    </row>
    <row r="531" spans="16:21" x14ac:dyDescent="0.2">
      <c r="P531" s="31"/>
      <c r="Q531" s="31"/>
      <c r="R531" s="31"/>
      <c r="S531" s="31"/>
      <c r="T531" s="31"/>
      <c r="U531" s="31"/>
    </row>
    <row r="532" spans="16:21" x14ac:dyDescent="0.2">
      <c r="P532" s="31"/>
      <c r="Q532" s="31"/>
      <c r="R532" s="31"/>
      <c r="S532" s="31"/>
      <c r="T532" s="31"/>
      <c r="U532" s="31"/>
    </row>
    <row r="533" spans="16:21" x14ac:dyDescent="0.2">
      <c r="P533" s="31"/>
      <c r="Q533" s="31"/>
      <c r="R533" s="31"/>
      <c r="S533" s="31"/>
      <c r="T533" s="31"/>
      <c r="U533" s="31"/>
    </row>
    <row r="534" spans="16:21" x14ac:dyDescent="0.2">
      <c r="P534" s="31"/>
      <c r="Q534" s="31"/>
      <c r="R534" s="31"/>
      <c r="S534" s="31"/>
      <c r="T534" s="31"/>
      <c r="U534" s="31"/>
    </row>
    <row r="535" spans="16:21" x14ac:dyDescent="0.2">
      <c r="P535" s="31"/>
      <c r="Q535" s="31"/>
      <c r="R535" s="31"/>
      <c r="S535" s="31"/>
      <c r="T535" s="31"/>
      <c r="U535" s="31"/>
    </row>
    <row r="536" spans="16:21" x14ac:dyDescent="0.2">
      <c r="P536" s="31"/>
      <c r="Q536" s="31"/>
      <c r="R536" s="31"/>
      <c r="S536" s="31"/>
      <c r="T536" s="31"/>
      <c r="U536" s="31"/>
    </row>
    <row r="537" spans="16:21" x14ac:dyDescent="0.2">
      <c r="P537" s="31"/>
      <c r="Q537" s="31"/>
      <c r="R537" s="31"/>
      <c r="S537" s="31"/>
      <c r="T537" s="31"/>
      <c r="U537" s="31"/>
    </row>
    <row r="538" spans="16:21" x14ac:dyDescent="0.2">
      <c r="P538" s="31"/>
      <c r="Q538" s="31"/>
      <c r="R538" s="31"/>
      <c r="S538" s="31"/>
      <c r="T538" s="31"/>
      <c r="U538" s="31"/>
    </row>
    <row r="539" spans="16:21" x14ac:dyDescent="0.2">
      <c r="P539" s="31"/>
      <c r="Q539" s="31"/>
      <c r="R539" s="31"/>
      <c r="S539" s="31"/>
      <c r="T539" s="31"/>
      <c r="U539" s="31"/>
    </row>
    <row r="540" spans="16:21" x14ac:dyDescent="0.2">
      <c r="P540" s="31"/>
      <c r="Q540" s="31"/>
      <c r="R540" s="31"/>
      <c r="S540" s="31"/>
      <c r="T540" s="31"/>
      <c r="U540" s="31"/>
    </row>
    <row r="541" spans="16:21" x14ac:dyDescent="0.2">
      <c r="P541" s="31"/>
      <c r="Q541" s="31"/>
      <c r="R541" s="31"/>
      <c r="S541" s="31"/>
      <c r="T541" s="31"/>
      <c r="U541" s="31"/>
    </row>
    <row r="542" spans="16:21" x14ac:dyDescent="0.2">
      <c r="P542" s="31"/>
      <c r="Q542" s="31"/>
      <c r="R542" s="31"/>
      <c r="S542" s="31"/>
      <c r="T542" s="31"/>
      <c r="U542" s="31"/>
    </row>
    <row r="543" spans="16:21" x14ac:dyDescent="0.2">
      <c r="P543" s="31"/>
      <c r="Q543" s="31"/>
      <c r="R543" s="31"/>
      <c r="S543" s="31"/>
      <c r="T543" s="31"/>
      <c r="U543" s="31"/>
    </row>
    <row r="544" spans="16:21" x14ac:dyDescent="0.2">
      <c r="P544" s="31"/>
      <c r="Q544" s="31"/>
      <c r="R544" s="31"/>
      <c r="S544" s="31"/>
      <c r="T544" s="31"/>
      <c r="U544" s="31"/>
    </row>
    <row r="545" spans="16:21" x14ac:dyDescent="0.2">
      <c r="P545" s="31"/>
      <c r="Q545" s="31"/>
      <c r="R545" s="31"/>
      <c r="S545" s="31"/>
      <c r="T545" s="31"/>
      <c r="U545" s="31"/>
    </row>
    <row r="546" spans="16:21" x14ac:dyDescent="0.2">
      <c r="P546" s="31"/>
      <c r="Q546" s="31"/>
      <c r="R546" s="31"/>
      <c r="S546" s="31"/>
      <c r="T546" s="31"/>
      <c r="U546" s="31"/>
    </row>
    <row r="547" spans="16:21" x14ac:dyDescent="0.2">
      <c r="P547" s="31"/>
      <c r="Q547" s="31"/>
      <c r="R547" s="31"/>
      <c r="S547" s="31"/>
      <c r="T547" s="31"/>
      <c r="U547" s="31"/>
    </row>
    <row r="548" spans="16:21" x14ac:dyDescent="0.2">
      <c r="P548" s="31"/>
      <c r="Q548" s="31"/>
      <c r="R548" s="31"/>
      <c r="S548" s="31"/>
      <c r="T548" s="31"/>
      <c r="U548" s="31"/>
    </row>
    <row r="549" spans="16:21" x14ac:dyDescent="0.2">
      <c r="P549" s="31"/>
      <c r="Q549" s="31"/>
      <c r="R549" s="31"/>
      <c r="S549" s="31"/>
      <c r="T549" s="31"/>
      <c r="U549" s="31"/>
    </row>
    <row r="550" spans="16:21" x14ac:dyDescent="0.2">
      <c r="P550" s="31"/>
      <c r="Q550" s="31"/>
      <c r="R550" s="31"/>
      <c r="S550" s="31"/>
      <c r="T550" s="31"/>
      <c r="U550" s="31"/>
    </row>
    <row r="551" spans="16:21" x14ac:dyDescent="0.2">
      <c r="P551" s="31"/>
      <c r="Q551" s="31"/>
      <c r="R551" s="31"/>
      <c r="S551" s="31"/>
      <c r="T551" s="31"/>
      <c r="U551" s="31"/>
    </row>
    <row r="552" spans="16:21" x14ac:dyDescent="0.2">
      <c r="P552" s="31"/>
      <c r="Q552" s="31"/>
      <c r="R552" s="31"/>
      <c r="S552" s="31"/>
      <c r="T552" s="31"/>
      <c r="U552" s="31"/>
    </row>
    <row r="553" spans="16:21" x14ac:dyDescent="0.2">
      <c r="P553" s="31"/>
      <c r="Q553" s="31"/>
      <c r="R553" s="31"/>
      <c r="S553" s="31"/>
      <c r="T553" s="31"/>
      <c r="U553" s="31"/>
    </row>
    <row r="554" spans="16:21" x14ac:dyDescent="0.2">
      <c r="P554" s="31"/>
      <c r="Q554" s="31"/>
      <c r="R554" s="31"/>
      <c r="S554" s="31"/>
      <c r="T554" s="31"/>
      <c r="U554" s="31"/>
    </row>
    <row r="555" spans="16:21" x14ac:dyDescent="0.2">
      <c r="P555" s="31"/>
      <c r="Q555" s="31"/>
      <c r="R555" s="31"/>
      <c r="S555" s="31"/>
      <c r="T555" s="31"/>
      <c r="U555" s="31"/>
    </row>
    <row r="556" spans="16:21" x14ac:dyDescent="0.2">
      <c r="P556" s="31"/>
      <c r="Q556" s="31"/>
      <c r="R556" s="31"/>
      <c r="S556" s="31"/>
      <c r="T556" s="31"/>
      <c r="U556" s="31"/>
    </row>
    <row r="557" spans="16:21" x14ac:dyDescent="0.2">
      <c r="P557" s="31"/>
      <c r="Q557" s="31"/>
      <c r="R557" s="31"/>
      <c r="S557" s="31"/>
      <c r="T557" s="31"/>
      <c r="U557" s="31"/>
    </row>
    <row r="558" spans="16:21" x14ac:dyDescent="0.2">
      <c r="P558" s="31"/>
      <c r="Q558" s="31"/>
      <c r="R558" s="31"/>
      <c r="S558" s="31"/>
      <c r="T558" s="31"/>
      <c r="U558" s="31"/>
    </row>
    <row r="559" spans="16:21" x14ac:dyDescent="0.2">
      <c r="P559" s="31"/>
      <c r="Q559" s="31"/>
      <c r="R559" s="31"/>
      <c r="S559" s="31"/>
      <c r="T559" s="31"/>
      <c r="U559" s="31"/>
    </row>
    <row r="560" spans="16:21" x14ac:dyDescent="0.2">
      <c r="P560" s="31"/>
      <c r="Q560" s="31"/>
      <c r="R560" s="31"/>
      <c r="S560" s="31"/>
      <c r="T560" s="31"/>
      <c r="U560" s="31"/>
    </row>
    <row r="561" spans="16:21" x14ac:dyDescent="0.2">
      <c r="P561" s="31"/>
      <c r="Q561" s="31"/>
      <c r="R561" s="31"/>
      <c r="S561" s="31"/>
      <c r="T561" s="31"/>
      <c r="U561" s="31"/>
    </row>
    <row r="562" spans="16:21" x14ac:dyDescent="0.2">
      <c r="P562" s="31"/>
      <c r="Q562" s="31"/>
      <c r="R562" s="31"/>
      <c r="S562" s="31"/>
      <c r="T562" s="31"/>
      <c r="U562" s="31"/>
    </row>
    <row r="563" spans="16:21" x14ac:dyDescent="0.2">
      <c r="P563" s="31"/>
      <c r="Q563" s="31"/>
      <c r="R563" s="31"/>
      <c r="S563" s="31"/>
      <c r="T563" s="31"/>
      <c r="U563" s="31"/>
    </row>
    <row r="564" spans="16:21" x14ac:dyDescent="0.2">
      <c r="P564" s="31"/>
      <c r="Q564" s="31"/>
      <c r="R564" s="31"/>
      <c r="S564" s="31"/>
      <c r="T564" s="31"/>
      <c r="U564" s="31"/>
    </row>
    <row r="565" spans="16:21" x14ac:dyDescent="0.2">
      <c r="P565" s="31"/>
      <c r="Q565" s="31"/>
      <c r="R565" s="31"/>
      <c r="S565" s="31"/>
      <c r="T565" s="31"/>
      <c r="U565" s="31"/>
    </row>
    <row r="566" spans="16:21" x14ac:dyDescent="0.2">
      <c r="P566" s="31"/>
      <c r="Q566" s="31"/>
      <c r="R566" s="31"/>
      <c r="S566" s="31"/>
      <c r="T566" s="31"/>
      <c r="U566" s="31"/>
    </row>
    <row r="567" spans="16:21" x14ac:dyDescent="0.2">
      <c r="P567" s="31"/>
      <c r="Q567" s="31"/>
      <c r="R567" s="31"/>
      <c r="S567" s="31"/>
      <c r="T567" s="31"/>
      <c r="U567" s="31"/>
    </row>
    <row r="568" spans="16:21" x14ac:dyDescent="0.2">
      <c r="P568" s="31"/>
      <c r="Q568" s="31"/>
      <c r="R568" s="31"/>
      <c r="S568" s="31"/>
      <c r="T568" s="31"/>
      <c r="U568" s="31"/>
    </row>
    <row r="569" spans="16:21" x14ac:dyDescent="0.2">
      <c r="P569" s="31"/>
      <c r="Q569" s="31"/>
      <c r="R569" s="31"/>
      <c r="S569" s="31"/>
      <c r="T569" s="31"/>
      <c r="U569" s="31"/>
    </row>
    <row r="570" spans="16:21" x14ac:dyDescent="0.2">
      <c r="P570" s="31"/>
      <c r="Q570" s="31"/>
      <c r="R570" s="31"/>
      <c r="S570" s="31"/>
      <c r="T570" s="31"/>
      <c r="U570" s="31"/>
    </row>
    <row r="571" spans="16:21" x14ac:dyDescent="0.2">
      <c r="P571" s="31"/>
      <c r="Q571" s="31"/>
      <c r="R571" s="31"/>
      <c r="S571" s="31"/>
      <c r="T571" s="31"/>
      <c r="U571" s="31"/>
    </row>
    <row r="572" spans="16:21" x14ac:dyDescent="0.2">
      <c r="P572" s="31"/>
      <c r="Q572" s="31"/>
      <c r="R572" s="31"/>
      <c r="S572" s="31"/>
      <c r="T572" s="31"/>
      <c r="U572" s="31"/>
    </row>
    <row r="573" spans="16:21" x14ac:dyDescent="0.2">
      <c r="P573" s="31"/>
      <c r="Q573" s="31"/>
      <c r="R573" s="31"/>
      <c r="S573" s="31"/>
      <c r="T573" s="31"/>
      <c r="U573" s="31"/>
    </row>
    <row r="574" spans="16:21" x14ac:dyDescent="0.2">
      <c r="P574" s="31"/>
      <c r="Q574" s="31"/>
      <c r="R574" s="31"/>
      <c r="S574" s="31"/>
      <c r="T574" s="31"/>
      <c r="U574" s="31"/>
    </row>
    <row r="575" spans="16:21" x14ac:dyDescent="0.2">
      <c r="P575" s="31"/>
      <c r="Q575" s="31"/>
      <c r="R575" s="31"/>
      <c r="S575" s="31"/>
      <c r="T575" s="31"/>
      <c r="U575" s="31"/>
    </row>
    <row r="576" spans="16:21" x14ac:dyDescent="0.2">
      <c r="P576" s="31"/>
      <c r="Q576" s="31"/>
      <c r="R576" s="31"/>
      <c r="S576" s="31"/>
      <c r="T576" s="31"/>
      <c r="U576" s="31"/>
    </row>
    <row r="577" spans="16:21" x14ac:dyDescent="0.2">
      <c r="P577" s="31"/>
      <c r="Q577" s="31"/>
      <c r="R577" s="31"/>
      <c r="S577" s="31"/>
      <c r="T577" s="31"/>
      <c r="U577" s="31"/>
    </row>
    <row r="578" spans="16:21" x14ac:dyDescent="0.2">
      <c r="P578" s="31"/>
      <c r="Q578" s="31"/>
      <c r="R578" s="31"/>
      <c r="S578" s="31"/>
      <c r="T578" s="31"/>
      <c r="U578" s="31"/>
    </row>
    <row r="579" spans="16:21" x14ac:dyDescent="0.2">
      <c r="P579" s="31"/>
      <c r="Q579" s="31"/>
      <c r="R579" s="31"/>
      <c r="S579" s="31"/>
      <c r="T579" s="31"/>
      <c r="U579" s="31"/>
    </row>
    <row r="580" spans="16:21" x14ac:dyDescent="0.2">
      <c r="P580" s="31"/>
      <c r="Q580" s="31"/>
      <c r="R580" s="31"/>
      <c r="S580" s="31"/>
      <c r="T580" s="31"/>
      <c r="U580" s="31"/>
    </row>
    <row r="581" spans="16:21" x14ac:dyDescent="0.2">
      <c r="P581" s="31"/>
      <c r="Q581" s="31"/>
      <c r="R581" s="31"/>
      <c r="S581" s="31"/>
      <c r="T581" s="31"/>
      <c r="U581" s="31"/>
    </row>
    <row r="582" spans="16:21" x14ac:dyDescent="0.2">
      <c r="P582" s="31"/>
      <c r="Q582" s="31"/>
      <c r="R582" s="31"/>
      <c r="S582" s="31"/>
      <c r="T582" s="31"/>
      <c r="U582" s="31"/>
    </row>
    <row r="583" spans="16:21" x14ac:dyDescent="0.2">
      <c r="P583" s="31"/>
      <c r="Q583" s="31"/>
      <c r="R583" s="31"/>
      <c r="S583" s="31"/>
      <c r="T583" s="31"/>
      <c r="U583" s="31"/>
    </row>
    <row r="584" spans="16:21" x14ac:dyDescent="0.2">
      <c r="P584" s="31"/>
      <c r="Q584" s="31"/>
      <c r="R584" s="31"/>
      <c r="S584" s="31"/>
      <c r="T584" s="31"/>
      <c r="U584" s="31"/>
    </row>
    <row r="585" spans="16:21" x14ac:dyDescent="0.2">
      <c r="P585" s="31"/>
      <c r="Q585" s="31"/>
      <c r="R585" s="31"/>
      <c r="S585" s="31"/>
      <c r="T585" s="31"/>
      <c r="U585" s="31"/>
    </row>
    <row r="586" spans="16:21" x14ac:dyDescent="0.2">
      <c r="P586" s="31"/>
      <c r="Q586" s="31"/>
      <c r="R586" s="31"/>
      <c r="S586" s="31"/>
      <c r="T586" s="31"/>
      <c r="U586" s="31"/>
    </row>
    <row r="587" spans="16:21" x14ac:dyDescent="0.2">
      <c r="P587" s="31"/>
      <c r="Q587" s="31"/>
      <c r="R587" s="31"/>
      <c r="S587" s="31"/>
      <c r="T587" s="31"/>
      <c r="U587" s="31"/>
    </row>
    <row r="588" spans="16:21" x14ac:dyDescent="0.2">
      <c r="P588" s="31"/>
      <c r="Q588" s="31"/>
      <c r="R588" s="31"/>
      <c r="S588" s="31"/>
      <c r="T588" s="31"/>
      <c r="U588" s="31"/>
    </row>
    <row r="589" spans="16:21" x14ac:dyDescent="0.2">
      <c r="P589" s="31"/>
      <c r="Q589" s="31"/>
      <c r="R589" s="31"/>
      <c r="S589" s="31"/>
      <c r="T589" s="31"/>
      <c r="U589" s="31"/>
    </row>
    <row r="590" spans="16:21" x14ac:dyDescent="0.2">
      <c r="P590" s="31"/>
      <c r="Q590" s="31"/>
      <c r="R590" s="31"/>
      <c r="S590" s="31"/>
      <c r="T590" s="31"/>
      <c r="U590" s="31"/>
    </row>
    <row r="591" spans="16:21" x14ac:dyDescent="0.2">
      <c r="P591" s="31"/>
      <c r="Q591" s="31"/>
      <c r="R591" s="31"/>
      <c r="S591" s="31"/>
      <c r="T591" s="31"/>
      <c r="U591" s="31"/>
    </row>
    <row r="592" spans="16:21" x14ac:dyDescent="0.2">
      <c r="P592" s="31"/>
      <c r="Q592" s="31"/>
      <c r="R592" s="31"/>
      <c r="S592" s="31"/>
      <c r="T592" s="31"/>
      <c r="U592" s="31"/>
    </row>
    <row r="593" spans="16:21" x14ac:dyDescent="0.2">
      <c r="P593" s="31"/>
      <c r="Q593" s="31"/>
      <c r="R593" s="31"/>
      <c r="S593" s="31"/>
      <c r="T593" s="31"/>
      <c r="U593" s="31"/>
    </row>
    <row r="594" spans="16:21" x14ac:dyDescent="0.2">
      <c r="P594" s="31"/>
      <c r="Q594" s="31"/>
      <c r="R594" s="31"/>
      <c r="S594" s="31"/>
      <c r="T594" s="31"/>
      <c r="U594" s="31"/>
    </row>
    <row r="595" spans="16:21" x14ac:dyDescent="0.2">
      <c r="P595" s="31"/>
      <c r="Q595" s="31"/>
      <c r="R595" s="31"/>
      <c r="S595" s="31"/>
      <c r="T595" s="31"/>
      <c r="U595" s="31"/>
    </row>
    <row r="596" spans="16:21" x14ac:dyDescent="0.2">
      <c r="P596" s="31"/>
      <c r="Q596" s="31"/>
      <c r="R596" s="31"/>
      <c r="S596" s="31"/>
      <c r="T596" s="31"/>
      <c r="U596" s="31"/>
    </row>
    <row r="597" spans="16:21" x14ac:dyDescent="0.2">
      <c r="P597" s="31"/>
      <c r="Q597" s="31"/>
      <c r="R597" s="31"/>
      <c r="S597" s="31"/>
      <c r="T597" s="31"/>
      <c r="U597" s="31"/>
    </row>
    <row r="598" spans="16:21" x14ac:dyDescent="0.2">
      <c r="P598" s="31"/>
      <c r="Q598" s="31"/>
      <c r="R598" s="31"/>
      <c r="S598" s="31"/>
      <c r="T598" s="31"/>
      <c r="U598" s="31"/>
    </row>
    <row r="599" spans="16:21" x14ac:dyDescent="0.2">
      <c r="P599" s="31"/>
      <c r="Q599" s="31"/>
      <c r="R599" s="31"/>
      <c r="S599" s="31"/>
      <c r="T599" s="31"/>
      <c r="U599" s="31"/>
    </row>
    <row r="600" spans="16:21" x14ac:dyDescent="0.2">
      <c r="P600" s="31"/>
      <c r="Q600" s="31"/>
      <c r="R600" s="31"/>
      <c r="S600" s="31"/>
      <c r="T600" s="31"/>
      <c r="U600" s="31"/>
    </row>
    <row r="601" spans="16:21" x14ac:dyDescent="0.2">
      <c r="P601" s="31"/>
      <c r="Q601" s="31"/>
      <c r="R601" s="31"/>
      <c r="S601" s="31"/>
      <c r="T601" s="31"/>
      <c r="U601" s="31"/>
    </row>
    <row r="602" spans="16:21" x14ac:dyDescent="0.2">
      <c r="P602" s="31"/>
      <c r="Q602" s="31"/>
      <c r="R602" s="31"/>
      <c r="S602" s="31"/>
      <c r="T602" s="31"/>
      <c r="U602" s="31"/>
    </row>
    <row r="603" spans="16:21" x14ac:dyDescent="0.2">
      <c r="P603" s="31"/>
      <c r="Q603" s="31"/>
      <c r="R603" s="31"/>
      <c r="S603" s="31"/>
      <c r="T603" s="31"/>
      <c r="U603" s="31"/>
    </row>
    <row r="604" spans="16:21" x14ac:dyDescent="0.2">
      <c r="P604" s="31"/>
      <c r="Q604" s="31"/>
      <c r="R604" s="31"/>
      <c r="S604" s="31"/>
      <c r="T604" s="31"/>
      <c r="U604" s="31"/>
    </row>
    <row r="605" spans="16:21" x14ac:dyDescent="0.2">
      <c r="P605" s="31"/>
      <c r="Q605" s="31"/>
      <c r="R605" s="31"/>
      <c r="S605" s="31"/>
      <c r="T605" s="31"/>
      <c r="U605" s="31"/>
    </row>
    <row r="606" spans="16:21" x14ac:dyDescent="0.2">
      <c r="P606" s="31"/>
      <c r="Q606" s="31"/>
      <c r="R606" s="31"/>
      <c r="S606" s="31"/>
      <c r="T606" s="31"/>
      <c r="U606" s="31"/>
    </row>
    <row r="607" spans="16:21" x14ac:dyDescent="0.2">
      <c r="P607" s="31"/>
      <c r="Q607" s="31"/>
      <c r="R607" s="31"/>
      <c r="S607" s="31"/>
      <c r="T607" s="31"/>
      <c r="U607" s="31"/>
    </row>
    <row r="608" spans="16:21" x14ac:dyDescent="0.2">
      <c r="P608" s="31"/>
      <c r="Q608" s="31"/>
      <c r="R608" s="31"/>
      <c r="S608" s="31"/>
      <c r="T608" s="31"/>
      <c r="U608" s="31"/>
    </row>
    <row r="609" spans="16:21" x14ac:dyDescent="0.2">
      <c r="P609" s="31"/>
      <c r="Q609" s="31"/>
      <c r="R609" s="31"/>
      <c r="S609" s="31"/>
      <c r="T609" s="31"/>
      <c r="U609" s="31"/>
    </row>
    <row r="610" spans="16:21" x14ac:dyDescent="0.2">
      <c r="P610" s="31"/>
      <c r="Q610" s="31"/>
      <c r="R610" s="31"/>
      <c r="S610" s="31"/>
      <c r="T610" s="31"/>
      <c r="U610" s="31"/>
    </row>
    <row r="611" spans="16:21" x14ac:dyDescent="0.2">
      <c r="P611" s="31"/>
      <c r="Q611" s="31"/>
      <c r="R611" s="31"/>
      <c r="S611" s="31"/>
      <c r="T611" s="31"/>
      <c r="U611" s="31"/>
    </row>
    <row r="612" spans="16:21" x14ac:dyDescent="0.2">
      <c r="P612" s="31"/>
      <c r="Q612" s="31"/>
      <c r="R612" s="31"/>
      <c r="S612" s="31"/>
      <c r="T612" s="31"/>
      <c r="U612" s="31"/>
    </row>
    <row r="613" spans="16:21" x14ac:dyDescent="0.2">
      <c r="P613" s="31"/>
      <c r="Q613" s="31"/>
      <c r="R613" s="31"/>
      <c r="S613" s="31"/>
      <c r="T613" s="31"/>
      <c r="U613" s="31"/>
    </row>
    <row r="614" spans="16:21" x14ac:dyDescent="0.2">
      <c r="P614" s="31"/>
      <c r="Q614" s="31"/>
      <c r="R614" s="31"/>
      <c r="S614" s="31"/>
      <c r="T614" s="31"/>
      <c r="U614" s="31"/>
    </row>
    <row r="615" spans="16:21" x14ac:dyDescent="0.2">
      <c r="P615" s="31"/>
      <c r="Q615" s="31"/>
      <c r="R615" s="31"/>
      <c r="S615" s="31"/>
      <c r="T615" s="31"/>
      <c r="U615" s="31"/>
    </row>
    <row r="616" spans="16:21" x14ac:dyDescent="0.2">
      <c r="P616" s="31"/>
      <c r="Q616" s="31"/>
      <c r="R616" s="31"/>
      <c r="S616" s="31"/>
      <c r="T616" s="31"/>
      <c r="U616" s="31"/>
    </row>
    <row r="617" spans="16:21" x14ac:dyDescent="0.2">
      <c r="P617" s="31"/>
      <c r="Q617" s="31"/>
      <c r="R617" s="31"/>
      <c r="S617" s="31"/>
      <c r="T617" s="31"/>
      <c r="U617" s="31"/>
    </row>
    <row r="618" spans="16:21" x14ac:dyDescent="0.2">
      <c r="P618" s="31"/>
      <c r="Q618" s="31"/>
      <c r="R618" s="31"/>
      <c r="S618" s="31"/>
      <c r="T618" s="31"/>
      <c r="U618" s="31"/>
    </row>
    <row r="619" spans="16:21" x14ac:dyDescent="0.2">
      <c r="P619" s="31"/>
      <c r="Q619" s="31"/>
      <c r="R619" s="31"/>
      <c r="S619" s="31"/>
      <c r="T619" s="31"/>
      <c r="U619" s="31"/>
    </row>
    <row r="620" spans="16:21" x14ac:dyDescent="0.2">
      <c r="P620" s="31"/>
      <c r="Q620" s="31"/>
      <c r="R620" s="31"/>
      <c r="S620" s="31"/>
      <c r="T620" s="31"/>
      <c r="U620" s="31"/>
    </row>
    <row r="621" spans="16:21" x14ac:dyDescent="0.2">
      <c r="P621" s="31"/>
      <c r="Q621" s="31"/>
      <c r="R621" s="31"/>
      <c r="S621" s="31"/>
      <c r="T621" s="31"/>
      <c r="U621" s="31"/>
    </row>
    <row r="622" spans="16:21" x14ac:dyDescent="0.2">
      <c r="P622" s="31"/>
      <c r="Q622" s="31"/>
      <c r="R622" s="31"/>
      <c r="S622" s="31"/>
      <c r="T622" s="31"/>
      <c r="U622" s="31"/>
    </row>
    <row r="623" spans="16:21" x14ac:dyDescent="0.2">
      <c r="P623" s="31"/>
      <c r="Q623" s="31"/>
      <c r="R623" s="31"/>
      <c r="S623" s="31"/>
      <c r="T623" s="31"/>
      <c r="U623" s="31"/>
    </row>
    <row r="624" spans="16:21" x14ac:dyDescent="0.2">
      <c r="P624" s="31"/>
      <c r="Q624" s="31"/>
      <c r="R624" s="31"/>
      <c r="S624" s="31"/>
      <c r="T624" s="31"/>
      <c r="U624" s="31"/>
    </row>
    <row r="625" spans="16:21" x14ac:dyDescent="0.2">
      <c r="P625" s="31"/>
      <c r="Q625" s="31"/>
      <c r="R625" s="31"/>
      <c r="S625" s="31"/>
      <c r="T625" s="31"/>
      <c r="U625" s="31"/>
    </row>
    <row r="626" spans="16:21" x14ac:dyDescent="0.2">
      <c r="P626" s="31"/>
      <c r="Q626" s="31"/>
      <c r="R626" s="31"/>
      <c r="S626" s="31"/>
      <c r="T626" s="31"/>
      <c r="U626" s="31"/>
    </row>
    <row r="627" spans="16:21" x14ac:dyDescent="0.2">
      <c r="P627" s="31"/>
      <c r="Q627" s="31"/>
      <c r="R627" s="31"/>
      <c r="S627" s="31"/>
      <c r="T627" s="31"/>
      <c r="U627" s="31"/>
    </row>
    <row r="628" spans="16:21" x14ac:dyDescent="0.2">
      <c r="P628" s="31"/>
      <c r="Q628" s="31"/>
      <c r="R628" s="31"/>
      <c r="S628" s="31"/>
      <c r="T628" s="31"/>
      <c r="U628" s="31"/>
    </row>
    <row r="629" spans="16:21" x14ac:dyDescent="0.2">
      <c r="P629" s="31"/>
      <c r="Q629" s="31"/>
      <c r="R629" s="31"/>
      <c r="S629" s="31"/>
      <c r="T629" s="31"/>
      <c r="U629" s="31"/>
    </row>
    <row r="630" spans="16:21" x14ac:dyDescent="0.2">
      <c r="P630" s="31"/>
      <c r="Q630" s="31"/>
      <c r="R630" s="31"/>
      <c r="S630" s="31"/>
      <c r="T630" s="31"/>
      <c r="U630" s="31"/>
    </row>
    <row r="631" spans="16:21" x14ac:dyDescent="0.2">
      <c r="P631" s="31"/>
      <c r="Q631" s="31"/>
      <c r="R631" s="31"/>
      <c r="S631" s="31"/>
      <c r="T631" s="31"/>
      <c r="U631" s="31"/>
    </row>
    <row r="632" spans="16:21" x14ac:dyDescent="0.2">
      <c r="P632" s="31"/>
      <c r="Q632" s="31"/>
      <c r="R632" s="31"/>
      <c r="S632" s="31"/>
      <c r="T632" s="31"/>
      <c r="U632" s="31"/>
    </row>
    <row r="633" spans="16:21" x14ac:dyDescent="0.2">
      <c r="P633" s="31"/>
      <c r="Q633" s="31"/>
      <c r="R633" s="31"/>
      <c r="S633" s="31"/>
      <c r="T633" s="31"/>
      <c r="U633" s="31"/>
    </row>
    <row r="634" spans="16:21" x14ac:dyDescent="0.2">
      <c r="P634" s="31"/>
      <c r="Q634" s="31"/>
      <c r="R634" s="31"/>
      <c r="S634" s="31"/>
      <c r="T634" s="31"/>
      <c r="U634" s="31"/>
    </row>
    <row r="635" spans="16:21" x14ac:dyDescent="0.2">
      <c r="P635" s="31"/>
      <c r="Q635" s="31"/>
      <c r="R635" s="31"/>
      <c r="S635" s="31"/>
      <c r="T635" s="31"/>
      <c r="U635" s="31"/>
    </row>
    <row r="636" spans="16:21" x14ac:dyDescent="0.2">
      <c r="P636" s="31"/>
      <c r="Q636" s="31"/>
      <c r="R636" s="31"/>
      <c r="S636" s="31"/>
      <c r="T636" s="31"/>
      <c r="U636" s="31"/>
    </row>
    <row r="637" spans="16:21" x14ac:dyDescent="0.2">
      <c r="P637" s="31"/>
      <c r="Q637" s="31"/>
      <c r="R637" s="31"/>
      <c r="S637" s="31"/>
      <c r="T637" s="31"/>
      <c r="U637" s="31"/>
    </row>
    <row r="638" spans="16:21" x14ac:dyDescent="0.2">
      <c r="P638" s="31"/>
      <c r="Q638" s="31"/>
      <c r="R638" s="31"/>
      <c r="S638" s="31"/>
      <c r="T638" s="31"/>
      <c r="U638" s="31"/>
    </row>
    <row r="639" spans="16:21" x14ac:dyDescent="0.2">
      <c r="P639" s="31"/>
      <c r="Q639" s="31"/>
      <c r="R639" s="31"/>
      <c r="S639" s="31"/>
      <c r="T639" s="31"/>
      <c r="U639" s="31"/>
    </row>
    <row r="640" spans="16:21" x14ac:dyDescent="0.2">
      <c r="P640" s="31"/>
      <c r="Q640" s="31"/>
      <c r="R640" s="31"/>
      <c r="S640" s="31"/>
      <c r="T640" s="31"/>
      <c r="U640" s="31"/>
    </row>
    <row r="641" spans="16:21" x14ac:dyDescent="0.2">
      <c r="P641" s="31"/>
      <c r="Q641" s="31"/>
      <c r="R641" s="31"/>
      <c r="S641" s="31"/>
      <c r="T641" s="31"/>
      <c r="U641" s="31"/>
    </row>
    <row r="642" spans="16:21" x14ac:dyDescent="0.2">
      <c r="P642" s="31"/>
      <c r="Q642" s="31"/>
      <c r="R642" s="31"/>
      <c r="S642" s="31"/>
      <c r="T642" s="31"/>
      <c r="U642" s="31"/>
    </row>
    <row r="643" spans="16:21" x14ac:dyDescent="0.2">
      <c r="P643" s="31"/>
      <c r="Q643" s="31"/>
      <c r="R643" s="31"/>
      <c r="S643" s="31"/>
      <c r="T643" s="31"/>
      <c r="U643" s="31"/>
    </row>
    <row r="644" spans="16:21" x14ac:dyDescent="0.2">
      <c r="P644" s="31"/>
      <c r="Q644" s="31"/>
      <c r="R644" s="31"/>
      <c r="S644" s="31"/>
      <c r="T644" s="31"/>
      <c r="U644" s="31"/>
    </row>
    <row r="645" spans="16:21" x14ac:dyDescent="0.2">
      <c r="P645" s="31"/>
      <c r="Q645" s="31"/>
      <c r="R645" s="31"/>
      <c r="S645" s="31"/>
      <c r="T645" s="31"/>
      <c r="U645" s="31"/>
    </row>
    <row r="646" spans="16:21" x14ac:dyDescent="0.2">
      <c r="P646" s="31"/>
      <c r="Q646" s="31"/>
      <c r="R646" s="31"/>
      <c r="S646" s="31"/>
      <c r="T646" s="31"/>
      <c r="U646" s="31"/>
    </row>
    <row r="647" spans="16:21" x14ac:dyDescent="0.2">
      <c r="P647" s="31"/>
      <c r="Q647" s="31"/>
      <c r="R647" s="31"/>
      <c r="S647" s="31"/>
      <c r="T647" s="31"/>
      <c r="U647" s="31"/>
    </row>
    <row r="648" spans="16:21" x14ac:dyDescent="0.2">
      <c r="P648" s="31"/>
      <c r="Q648" s="31"/>
      <c r="R648" s="31"/>
      <c r="S648" s="31"/>
      <c r="T648" s="31"/>
      <c r="U648" s="31"/>
    </row>
    <row r="649" spans="16:21" x14ac:dyDescent="0.2">
      <c r="P649" s="31"/>
      <c r="Q649" s="31"/>
      <c r="R649" s="31"/>
      <c r="S649" s="31"/>
      <c r="T649" s="31"/>
      <c r="U649" s="31"/>
    </row>
    <row r="650" spans="16:21" x14ac:dyDescent="0.2">
      <c r="P650" s="31"/>
      <c r="Q650" s="31"/>
      <c r="R650" s="31"/>
      <c r="S650" s="31"/>
      <c r="T650" s="31"/>
      <c r="U650" s="31"/>
    </row>
    <row r="651" spans="16:21" x14ac:dyDescent="0.2">
      <c r="P651" s="31"/>
      <c r="Q651" s="31"/>
      <c r="R651" s="31"/>
      <c r="S651" s="31"/>
      <c r="T651" s="31"/>
      <c r="U651" s="31"/>
    </row>
    <row r="652" spans="16:21" x14ac:dyDescent="0.2">
      <c r="P652" s="31"/>
      <c r="Q652" s="31"/>
      <c r="R652" s="31"/>
      <c r="S652" s="31"/>
      <c r="T652" s="31"/>
      <c r="U652" s="31"/>
    </row>
    <row r="653" spans="16:21" x14ac:dyDescent="0.2">
      <c r="P653" s="31"/>
      <c r="Q653" s="31"/>
      <c r="R653" s="31"/>
      <c r="S653" s="31"/>
      <c r="T653" s="31"/>
      <c r="U653" s="31"/>
    </row>
    <row r="654" spans="16:21" x14ac:dyDescent="0.2">
      <c r="P654" s="31"/>
      <c r="Q654" s="31"/>
      <c r="R654" s="31"/>
      <c r="S654" s="31"/>
      <c r="T654" s="31"/>
      <c r="U654" s="31"/>
    </row>
    <row r="655" spans="16:21" x14ac:dyDescent="0.2">
      <c r="P655" s="31"/>
      <c r="Q655" s="31"/>
      <c r="R655" s="31"/>
      <c r="S655" s="31"/>
      <c r="T655" s="31"/>
      <c r="U655" s="31"/>
    </row>
    <row r="656" spans="16:21" x14ac:dyDescent="0.2">
      <c r="P656" s="31"/>
      <c r="Q656" s="31"/>
      <c r="R656" s="31"/>
      <c r="S656" s="31"/>
      <c r="T656" s="31"/>
      <c r="U656" s="31"/>
    </row>
    <row r="657" spans="16:21" x14ac:dyDescent="0.2">
      <c r="P657" s="31"/>
      <c r="Q657" s="31"/>
      <c r="R657" s="31"/>
      <c r="S657" s="31"/>
      <c r="T657" s="31"/>
      <c r="U657" s="31"/>
    </row>
    <row r="658" spans="16:21" x14ac:dyDescent="0.2">
      <c r="P658" s="31"/>
      <c r="Q658" s="31"/>
      <c r="R658" s="31"/>
      <c r="S658" s="31"/>
      <c r="T658" s="31"/>
      <c r="U658" s="31"/>
    </row>
    <row r="659" spans="16:21" x14ac:dyDescent="0.2">
      <c r="P659" s="31"/>
      <c r="Q659" s="31"/>
      <c r="R659" s="31"/>
      <c r="S659" s="31"/>
      <c r="T659" s="31"/>
      <c r="U659" s="31"/>
    </row>
    <row r="660" spans="16:21" x14ac:dyDescent="0.2">
      <c r="P660" s="31"/>
      <c r="Q660" s="31"/>
      <c r="R660" s="31"/>
      <c r="S660" s="31"/>
      <c r="T660" s="31"/>
      <c r="U660" s="31"/>
    </row>
    <row r="661" spans="16:21" x14ac:dyDescent="0.2">
      <c r="P661" s="31"/>
      <c r="Q661" s="31"/>
      <c r="R661" s="31"/>
      <c r="S661" s="31"/>
      <c r="T661" s="31"/>
      <c r="U661" s="31"/>
    </row>
    <row r="662" spans="16:21" x14ac:dyDescent="0.2">
      <c r="P662" s="31"/>
      <c r="Q662" s="31"/>
      <c r="R662" s="31"/>
      <c r="S662" s="31"/>
      <c r="T662" s="31"/>
      <c r="U662" s="31"/>
    </row>
    <row r="663" spans="16:21" x14ac:dyDescent="0.2">
      <c r="P663" s="31"/>
      <c r="Q663" s="31"/>
      <c r="R663" s="31"/>
      <c r="S663" s="31"/>
      <c r="T663" s="31"/>
      <c r="U663" s="31"/>
    </row>
    <row r="664" spans="16:21" x14ac:dyDescent="0.2">
      <c r="P664" s="31"/>
      <c r="Q664" s="31"/>
      <c r="R664" s="31"/>
      <c r="S664" s="31"/>
      <c r="T664" s="31"/>
      <c r="U664" s="31"/>
    </row>
    <row r="665" spans="16:21" x14ac:dyDescent="0.2">
      <c r="P665" s="31"/>
      <c r="Q665" s="31"/>
      <c r="R665" s="31"/>
      <c r="S665" s="31"/>
      <c r="T665" s="31"/>
      <c r="U665" s="31"/>
    </row>
    <row r="666" spans="16:21" x14ac:dyDescent="0.2">
      <c r="P666" s="31"/>
      <c r="Q666" s="31"/>
      <c r="R666" s="31"/>
      <c r="S666" s="31"/>
      <c r="T666" s="31"/>
      <c r="U666" s="31"/>
    </row>
    <row r="667" spans="16:21" x14ac:dyDescent="0.2">
      <c r="P667" s="31"/>
      <c r="Q667" s="31"/>
      <c r="R667" s="31"/>
      <c r="S667" s="31"/>
      <c r="T667" s="31"/>
      <c r="U667" s="31"/>
    </row>
    <row r="668" spans="16:21" x14ac:dyDescent="0.2">
      <c r="P668" s="31"/>
      <c r="Q668" s="31"/>
      <c r="R668" s="31"/>
      <c r="S668" s="31"/>
      <c r="T668" s="31"/>
      <c r="U668" s="31"/>
    </row>
    <row r="669" spans="16:21" x14ac:dyDescent="0.2">
      <c r="P669" s="31"/>
      <c r="Q669" s="31"/>
      <c r="R669" s="31"/>
      <c r="S669" s="31"/>
      <c r="T669" s="31"/>
      <c r="U669" s="31"/>
    </row>
    <row r="670" spans="16:21" x14ac:dyDescent="0.2">
      <c r="P670" s="31"/>
      <c r="Q670" s="31"/>
      <c r="R670" s="31"/>
      <c r="S670" s="31"/>
      <c r="T670" s="31"/>
      <c r="U670" s="31"/>
    </row>
    <row r="671" spans="16:21" x14ac:dyDescent="0.2">
      <c r="P671" s="31"/>
      <c r="Q671" s="31"/>
      <c r="R671" s="31"/>
      <c r="S671" s="31"/>
      <c r="T671" s="31"/>
      <c r="U671" s="31"/>
    </row>
    <row r="672" spans="16:21" x14ac:dyDescent="0.2">
      <c r="P672" s="31"/>
      <c r="Q672" s="31"/>
      <c r="R672" s="31"/>
      <c r="S672" s="31"/>
      <c r="T672" s="31"/>
      <c r="U672" s="31"/>
    </row>
    <row r="673" spans="16:21" x14ac:dyDescent="0.2">
      <c r="P673" s="31"/>
      <c r="Q673" s="31"/>
      <c r="R673" s="31"/>
      <c r="S673" s="31"/>
      <c r="T673" s="31"/>
      <c r="U673" s="31"/>
    </row>
    <row r="674" spans="16:21" x14ac:dyDescent="0.2">
      <c r="P674" s="31"/>
      <c r="Q674" s="31"/>
      <c r="R674" s="31"/>
      <c r="S674" s="31"/>
      <c r="T674" s="31"/>
      <c r="U674" s="31"/>
    </row>
    <row r="675" spans="16:21" x14ac:dyDescent="0.2">
      <c r="P675" s="31"/>
      <c r="Q675" s="31"/>
      <c r="R675" s="31"/>
      <c r="S675" s="31"/>
      <c r="T675" s="31"/>
      <c r="U675" s="31"/>
    </row>
    <row r="676" spans="16:21" x14ac:dyDescent="0.2">
      <c r="P676" s="31"/>
      <c r="Q676" s="31"/>
      <c r="R676" s="31"/>
      <c r="S676" s="31"/>
      <c r="T676" s="31"/>
      <c r="U676" s="31"/>
    </row>
    <row r="677" spans="16:21" x14ac:dyDescent="0.2">
      <c r="P677" s="31"/>
      <c r="Q677" s="31"/>
      <c r="R677" s="31"/>
      <c r="S677" s="31"/>
      <c r="T677" s="31"/>
      <c r="U677" s="31"/>
    </row>
    <row r="678" spans="16:21" x14ac:dyDescent="0.2">
      <c r="P678" s="31"/>
      <c r="Q678" s="31"/>
      <c r="R678" s="31"/>
      <c r="S678" s="31"/>
      <c r="T678" s="31"/>
      <c r="U678" s="31"/>
    </row>
    <row r="679" spans="16:21" x14ac:dyDescent="0.2">
      <c r="P679" s="31"/>
      <c r="Q679" s="31"/>
      <c r="R679" s="31"/>
      <c r="S679" s="31"/>
      <c r="T679" s="31"/>
      <c r="U679" s="31"/>
    </row>
    <row r="680" spans="16:21" x14ac:dyDescent="0.2">
      <c r="P680" s="31"/>
      <c r="Q680" s="31"/>
      <c r="R680" s="31"/>
      <c r="S680" s="31"/>
      <c r="T680" s="31"/>
      <c r="U680" s="31"/>
    </row>
    <row r="681" spans="16:21" x14ac:dyDescent="0.2">
      <c r="P681" s="31"/>
      <c r="Q681" s="31"/>
      <c r="R681" s="31"/>
      <c r="S681" s="31"/>
      <c r="T681" s="31"/>
      <c r="U681" s="31"/>
    </row>
    <row r="682" spans="16:21" x14ac:dyDescent="0.2">
      <c r="P682" s="31"/>
      <c r="Q682" s="31"/>
      <c r="R682" s="31"/>
      <c r="S682" s="31"/>
      <c r="T682" s="31"/>
      <c r="U682" s="31"/>
    </row>
    <row r="683" spans="16:21" x14ac:dyDescent="0.2">
      <c r="P683" s="31"/>
      <c r="Q683" s="31"/>
      <c r="R683" s="31"/>
      <c r="S683" s="31"/>
      <c r="T683" s="31"/>
      <c r="U683" s="31"/>
    </row>
    <row r="684" spans="16:21" x14ac:dyDescent="0.2">
      <c r="P684" s="31"/>
      <c r="Q684" s="31"/>
      <c r="R684" s="31"/>
      <c r="S684" s="31"/>
      <c r="T684" s="31"/>
      <c r="U684" s="31"/>
    </row>
    <row r="685" spans="16:21" x14ac:dyDescent="0.2">
      <c r="P685" s="31"/>
      <c r="Q685" s="31"/>
      <c r="R685" s="31"/>
      <c r="S685" s="31"/>
      <c r="T685" s="31"/>
      <c r="U685" s="31"/>
    </row>
    <row r="686" spans="16:21" x14ac:dyDescent="0.2">
      <c r="P686" s="31"/>
      <c r="Q686" s="31"/>
      <c r="R686" s="31"/>
      <c r="S686" s="31"/>
      <c r="T686" s="31"/>
      <c r="U686" s="31"/>
    </row>
    <row r="687" spans="16:21" x14ac:dyDescent="0.2">
      <c r="P687" s="31"/>
      <c r="Q687" s="31"/>
      <c r="R687" s="31"/>
      <c r="S687" s="31"/>
      <c r="T687" s="31"/>
      <c r="U687" s="31"/>
    </row>
    <row r="688" spans="16:21" x14ac:dyDescent="0.2">
      <c r="P688" s="31"/>
      <c r="Q688" s="31"/>
      <c r="R688" s="31"/>
      <c r="S688" s="31"/>
      <c r="T688" s="31"/>
      <c r="U688" s="31"/>
    </row>
    <row r="689" spans="16:21" x14ac:dyDescent="0.2">
      <c r="P689" s="31"/>
      <c r="Q689" s="31"/>
      <c r="R689" s="31"/>
      <c r="S689" s="31"/>
      <c r="T689" s="31"/>
      <c r="U689" s="31"/>
    </row>
    <row r="690" spans="16:21" x14ac:dyDescent="0.2">
      <c r="P690" s="31"/>
      <c r="Q690" s="31"/>
      <c r="R690" s="31"/>
      <c r="S690" s="31"/>
      <c r="T690" s="31"/>
      <c r="U690" s="31"/>
    </row>
    <row r="691" spans="16:21" x14ac:dyDescent="0.2">
      <c r="P691" s="31"/>
      <c r="Q691" s="31"/>
      <c r="R691" s="31"/>
      <c r="S691" s="31"/>
      <c r="T691" s="31"/>
      <c r="U691" s="31"/>
    </row>
    <row r="692" spans="16:21" x14ac:dyDescent="0.2">
      <c r="P692" s="31"/>
      <c r="Q692" s="31"/>
      <c r="R692" s="31"/>
      <c r="S692" s="31"/>
      <c r="T692" s="31"/>
      <c r="U692" s="31"/>
    </row>
    <row r="693" spans="16:21" x14ac:dyDescent="0.2">
      <c r="P693" s="31"/>
      <c r="Q693" s="31"/>
      <c r="R693" s="31"/>
      <c r="S693" s="31"/>
      <c r="T693" s="31"/>
      <c r="U693" s="31"/>
    </row>
    <row r="694" spans="16:21" x14ac:dyDescent="0.2">
      <c r="P694" s="31"/>
      <c r="Q694" s="31"/>
      <c r="R694" s="31"/>
      <c r="S694" s="31"/>
      <c r="T694" s="31"/>
      <c r="U694" s="31"/>
    </row>
    <row r="695" spans="16:21" x14ac:dyDescent="0.2">
      <c r="P695" s="31"/>
      <c r="Q695" s="31"/>
      <c r="R695" s="31"/>
      <c r="S695" s="31"/>
      <c r="T695" s="31"/>
      <c r="U695" s="31"/>
    </row>
    <row r="696" spans="16:21" x14ac:dyDescent="0.2">
      <c r="P696" s="31"/>
      <c r="Q696" s="31"/>
      <c r="R696" s="31"/>
      <c r="S696" s="31"/>
      <c r="T696" s="31"/>
      <c r="U696" s="31"/>
    </row>
    <row r="697" spans="16:21" x14ac:dyDescent="0.2">
      <c r="P697" s="31"/>
      <c r="Q697" s="31"/>
      <c r="R697" s="31"/>
      <c r="S697" s="31"/>
      <c r="T697" s="31"/>
      <c r="U697" s="31"/>
    </row>
    <row r="698" spans="16:21" x14ac:dyDescent="0.2">
      <c r="P698" s="31"/>
      <c r="Q698" s="31"/>
      <c r="R698" s="31"/>
      <c r="S698" s="31"/>
      <c r="T698" s="31"/>
      <c r="U698" s="31"/>
    </row>
    <row r="699" spans="16:21" x14ac:dyDescent="0.2">
      <c r="P699" s="31"/>
      <c r="Q699" s="31"/>
      <c r="R699" s="31"/>
      <c r="S699" s="31"/>
      <c r="T699" s="31"/>
      <c r="U699" s="31"/>
    </row>
    <row r="700" spans="16:21" x14ac:dyDescent="0.2">
      <c r="P700" s="31"/>
      <c r="Q700" s="31"/>
      <c r="R700" s="31"/>
      <c r="S700" s="31"/>
      <c r="T700" s="31"/>
      <c r="U700" s="31"/>
    </row>
    <row r="701" spans="16:21" x14ac:dyDescent="0.2">
      <c r="P701" s="31"/>
      <c r="Q701" s="31"/>
      <c r="R701" s="31"/>
      <c r="S701" s="31"/>
      <c r="T701" s="31"/>
      <c r="U701" s="31"/>
    </row>
    <row r="702" spans="16:21" x14ac:dyDescent="0.2">
      <c r="P702" s="31"/>
      <c r="Q702" s="31"/>
      <c r="R702" s="31"/>
      <c r="S702" s="31"/>
      <c r="T702" s="31"/>
      <c r="U702" s="31"/>
    </row>
    <row r="703" spans="16:21" x14ac:dyDescent="0.2">
      <c r="P703" s="31"/>
      <c r="Q703" s="31"/>
      <c r="R703" s="31"/>
      <c r="S703" s="31"/>
      <c r="T703" s="31"/>
      <c r="U703" s="31"/>
    </row>
    <row r="704" spans="16:21" x14ac:dyDescent="0.2">
      <c r="P704" s="31"/>
      <c r="Q704" s="31"/>
      <c r="R704" s="31"/>
      <c r="S704" s="31"/>
      <c r="T704" s="31"/>
      <c r="U704" s="31"/>
    </row>
    <row r="705" spans="16:21" x14ac:dyDescent="0.2">
      <c r="P705" s="31"/>
      <c r="Q705" s="31"/>
      <c r="R705" s="31"/>
      <c r="S705" s="31"/>
      <c r="T705" s="31"/>
      <c r="U705" s="31"/>
    </row>
    <row r="706" spans="16:21" x14ac:dyDescent="0.2">
      <c r="P706" s="31"/>
      <c r="Q706" s="31"/>
      <c r="R706" s="31"/>
      <c r="S706" s="31"/>
      <c r="T706" s="31"/>
      <c r="U706" s="31"/>
    </row>
    <row r="707" spans="16:21" x14ac:dyDescent="0.2">
      <c r="P707" s="31"/>
      <c r="Q707" s="31"/>
      <c r="R707" s="31"/>
      <c r="S707" s="31"/>
      <c r="T707" s="31"/>
      <c r="U707" s="31"/>
    </row>
    <row r="708" spans="16:21" x14ac:dyDescent="0.2">
      <c r="P708" s="31"/>
      <c r="Q708" s="31"/>
      <c r="R708" s="31"/>
      <c r="S708" s="31"/>
      <c r="T708" s="31"/>
      <c r="U708" s="31"/>
    </row>
    <row r="709" spans="16:21" x14ac:dyDescent="0.2">
      <c r="P709" s="31"/>
      <c r="Q709" s="31"/>
      <c r="R709" s="31"/>
      <c r="S709" s="31"/>
      <c r="T709" s="31"/>
      <c r="U709" s="31"/>
    </row>
    <row r="710" spans="16:21" x14ac:dyDescent="0.2">
      <c r="P710" s="31"/>
      <c r="Q710" s="31"/>
      <c r="R710" s="31"/>
      <c r="S710" s="31"/>
      <c r="T710" s="31"/>
      <c r="U710" s="31"/>
    </row>
    <row r="711" spans="16:21" x14ac:dyDescent="0.2">
      <c r="P711" s="31"/>
      <c r="Q711" s="31"/>
      <c r="R711" s="31"/>
      <c r="S711" s="31"/>
      <c r="T711" s="31"/>
      <c r="U711" s="31"/>
    </row>
    <row r="712" spans="16:21" x14ac:dyDescent="0.2">
      <c r="P712" s="31"/>
      <c r="Q712" s="31"/>
      <c r="R712" s="31"/>
      <c r="S712" s="31"/>
      <c r="T712" s="31"/>
      <c r="U712" s="31"/>
    </row>
    <row r="713" spans="16:21" x14ac:dyDescent="0.2">
      <c r="P713" s="31"/>
      <c r="Q713" s="31"/>
      <c r="R713" s="31"/>
      <c r="S713" s="31"/>
      <c r="T713" s="31"/>
      <c r="U713" s="31"/>
    </row>
    <row r="714" spans="16:21" x14ac:dyDescent="0.2">
      <c r="P714" s="31"/>
      <c r="Q714" s="31"/>
      <c r="R714" s="31"/>
      <c r="S714" s="31"/>
      <c r="T714" s="31"/>
      <c r="U714" s="31"/>
    </row>
    <row r="715" spans="16:21" x14ac:dyDescent="0.2">
      <c r="P715" s="31"/>
      <c r="Q715" s="31"/>
      <c r="R715" s="31"/>
      <c r="S715" s="31"/>
      <c r="T715" s="31"/>
      <c r="U715" s="31"/>
    </row>
    <row r="716" spans="16:21" x14ac:dyDescent="0.2">
      <c r="P716" s="31"/>
      <c r="Q716" s="31"/>
      <c r="R716" s="31"/>
      <c r="S716" s="31"/>
      <c r="T716" s="31"/>
      <c r="U716" s="31"/>
    </row>
    <row r="717" spans="16:21" x14ac:dyDescent="0.2">
      <c r="P717" s="31"/>
      <c r="Q717" s="31"/>
      <c r="R717" s="31"/>
      <c r="S717" s="31"/>
      <c r="T717" s="31"/>
      <c r="U717" s="31"/>
    </row>
    <row r="718" spans="16:21" x14ac:dyDescent="0.2">
      <c r="P718" s="31"/>
      <c r="Q718" s="31"/>
      <c r="R718" s="31"/>
      <c r="S718" s="31"/>
      <c r="T718" s="31"/>
      <c r="U718" s="31"/>
    </row>
    <row r="719" spans="16:21" x14ac:dyDescent="0.2">
      <c r="P719" s="31"/>
      <c r="Q719" s="31"/>
      <c r="R719" s="31"/>
      <c r="S719" s="31"/>
      <c r="T719" s="31"/>
      <c r="U719" s="31"/>
    </row>
    <row r="720" spans="16:21" x14ac:dyDescent="0.2">
      <c r="P720" s="31"/>
      <c r="Q720" s="31"/>
      <c r="R720" s="31"/>
      <c r="S720" s="31"/>
      <c r="T720" s="31"/>
      <c r="U720" s="31"/>
    </row>
    <row r="721" spans="16:21" x14ac:dyDescent="0.2">
      <c r="P721" s="31"/>
      <c r="Q721" s="31"/>
      <c r="R721" s="31"/>
      <c r="S721" s="31"/>
      <c r="T721" s="31"/>
      <c r="U721" s="31"/>
    </row>
    <row r="722" spans="16:21" x14ac:dyDescent="0.2">
      <c r="P722" s="31"/>
      <c r="Q722" s="31"/>
      <c r="R722" s="31"/>
      <c r="S722" s="31"/>
      <c r="T722" s="31"/>
      <c r="U722" s="31"/>
    </row>
    <row r="723" spans="16:21" x14ac:dyDescent="0.2">
      <c r="P723" s="31"/>
      <c r="Q723" s="31"/>
      <c r="R723" s="31"/>
      <c r="S723" s="31"/>
      <c r="T723" s="31"/>
      <c r="U723" s="31"/>
    </row>
    <row r="724" spans="16:21" x14ac:dyDescent="0.2">
      <c r="P724" s="31"/>
      <c r="Q724" s="31"/>
      <c r="R724" s="31"/>
      <c r="S724" s="31"/>
      <c r="T724" s="31"/>
      <c r="U724" s="31"/>
    </row>
    <row r="725" spans="16:21" x14ac:dyDescent="0.2">
      <c r="P725" s="31"/>
      <c r="Q725" s="31"/>
      <c r="R725" s="31"/>
      <c r="S725" s="31"/>
      <c r="T725" s="31"/>
      <c r="U725" s="31"/>
    </row>
    <row r="726" spans="16:21" x14ac:dyDescent="0.2">
      <c r="P726" s="31"/>
      <c r="Q726" s="31"/>
      <c r="R726" s="31"/>
      <c r="S726" s="31"/>
      <c r="T726" s="31"/>
      <c r="U726" s="31"/>
    </row>
    <row r="727" spans="16:21" x14ac:dyDescent="0.2">
      <c r="P727" s="31"/>
      <c r="Q727" s="31"/>
      <c r="R727" s="31"/>
      <c r="S727" s="31"/>
      <c r="T727" s="31"/>
      <c r="U727" s="31"/>
    </row>
    <row r="728" spans="16:21" x14ac:dyDescent="0.2">
      <c r="P728" s="31"/>
      <c r="Q728" s="31"/>
      <c r="R728" s="31"/>
      <c r="S728" s="31"/>
      <c r="T728" s="31"/>
      <c r="U728" s="31"/>
    </row>
    <row r="729" spans="16:21" x14ac:dyDescent="0.2">
      <c r="P729" s="31"/>
      <c r="Q729" s="31"/>
      <c r="R729" s="31"/>
      <c r="S729" s="31"/>
      <c r="T729" s="31"/>
      <c r="U729" s="31"/>
    </row>
    <row r="730" spans="16:21" x14ac:dyDescent="0.2">
      <c r="P730" s="31"/>
      <c r="Q730" s="31"/>
      <c r="R730" s="31"/>
      <c r="S730" s="31"/>
      <c r="T730" s="31"/>
      <c r="U730" s="31"/>
    </row>
    <row r="731" spans="16:21" x14ac:dyDescent="0.2">
      <c r="P731" s="31"/>
      <c r="Q731" s="31"/>
      <c r="R731" s="31"/>
      <c r="S731" s="31"/>
      <c r="T731" s="31"/>
      <c r="U731" s="31"/>
    </row>
    <row r="732" spans="16:21" x14ac:dyDescent="0.2">
      <c r="P732" s="31"/>
      <c r="Q732" s="31"/>
      <c r="R732" s="31"/>
      <c r="S732" s="31"/>
      <c r="T732" s="31"/>
      <c r="U732" s="31"/>
    </row>
    <row r="733" spans="16:21" x14ac:dyDescent="0.2">
      <c r="P733" s="31"/>
      <c r="Q733" s="31"/>
      <c r="R733" s="31"/>
      <c r="S733" s="31"/>
      <c r="T733" s="31"/>
      <c r="U733" s="31"/>
    </row>
    <row r="734" spans="16:21" x14ac:dyDescent="0.2">
      <c r="P734" s="31"/>
      <c r="Q734" s="31"/>
      <c r="R734" s="31"/>
      <c r="S734" s="31"/>
      <c r="T734" s="31"/>
      <c r="U734" s="31"/>
    </row>
    <row r="735" spans="16:21" x14ac:dyDescent="0.2">
      <c r="P735" s="31"/>
      <c r="Q735" s="31"/>
      <c r="R735" s="31"/>
      <c r="S735" s="31"/>
      <c r="T735" s="31"/>
      <c r="U735" s="31"/>
    </row>
    <row r="736" spans="16:21" x14ac:dyDescent="0.2">
      <c r="P736" s="31"/>
      <c r="Q736" s="31"/>
      <c r="R736" s="31"/>
      <c r="S736" s="31"/>
      <c r="T736" s="31"/>
      <c r="U736" s="31"/>
    </row>
    <row r="737" spans="16:21" x14ac:dyDescent="0.2">
      <c r="P737" s="31"/>
      <c r="Q737" s="31"/>
      <c r="R737" s="31"/>
      <c r="S737" s="31"/>
      <c r="T737" s="31"/>
      <c r="U737" s="31"/>
    </row>
    <row r="738" spans="16:21" x14ac:dyDescent="0.2">
      <c r="P738" s="31"/>
      <c r="Q738" s="31"/>
      <c r="R738" s="31"/>
      <c r="S738" s="31"/>
      <c r="T738" s="31"/>
      <c r="U738" s="31"/>
    </row>
    <row r="739" spans="16:21" x14ac:dyDescent="0.2">
      <c r="P739" s="31"/>
      <c r="Q739" s="31"/>
      <c r="R739" s="31"/>
      <c r="S739" s="31"/>
      <c r="T739" s="31"/>
      <c r="U739" s="31"/>
    </row>
    <row r="740" spans="16:21" x14ac:dyDescent="0.2">
      <c r="P740" s="31"/>
      <c r="Q740" s="31"/>
      <c r="R740" s="31"/>
      <c r="S740" s="31"/>
      <c r="T740" s="31"/>
      <c r="U740" s="31"/>
    </row>
    <row r="741" spans="16:21" x14ac:dyDescent="0.2">
      <c r="P741" s="31"/>
      <c r="Q741" s="31"/>
      <c r="R741" s="31"/>
      <c r="S741" s="31"/>
      <c r="T741" s="31"/>
      <c r="U741" s="31"/>
    </row>
    <row r="742" spans="16:21" x14ac:dyDescent="0.2">
      <c r="P742" s="31"/>
      <c r="Q742" s="31"/>
      <c r="R742" s="31"/>
      <c r="S742" s="31"/>
      <c r="T742" s="31"/>
      <c r="U742" s="31"/>
    </row>
    <row r="743" spans="16:21" x14ac:dyDescent="0.2">
      <c r="P743" s="31"/>
      <c r="Q743" s="31"/>
      <c r="R743" s="31"/>
      <c r="S743" s="31"/>
      <c r="T743" s="31"/>
      <c r="U743" s="31"/>
    </row>
    <row r="744" spans="16:21" x14ac:dyDescent="0.2">
      <c r="P744" s="31"/>
      <c r="Q744" s="31"/>
      <c r="R744" s="31"/>
      <c r="S744" s="31"/>
      <c r="T744" s="31"/>
      <c r="U744" s="31"/>
    </row>
    <row r="745" spans="16:21" x14ac:dyDescent="0.2">
      <c r="P745" s="31"/>
      <c r="Q745" s="31"/>
      <c r="R745" s="31"/>
      <c r="S745" s="31"/>
      <c r="T745" s="31"/>
      <c r="U745" s="31"/>
    </row>
    <row r="746" spans="16:21" x14ac:dyDescent="0.2">
      <c r="P746" s="31"/>
      <c r="Q746" s="31"/>
      <c r="R746" s="31"/>
      <c r="S746" s="31"/>
      <c r="T746" s="31"/>
      <c r="U746" s="31"/>
    </row>
    <row r="747" spans="16:21" x14ac:dyDescent="0.2">
      <c r="P747" s="31"/>
      <c r="Q747" s="31"/>
      <c r="R747" s="31"/>
      <c r="S747" s="31"/>
      <c r="T747" s="31"/>
      <c r="U747" s="31"/>
    </row>
    <row r="748" spans="16:21" x14ac:dyDescent="0.2">
      <c r="P748" s="31"/>
      <c r="Q748" s="31"/>
      <c r="R748" s="31"/>
      <c r="S748" s="31"/>
      <c r="T748" s="31"/>
      <c r="U748" s="31"/>
    </row>
    <row r="749" spans="16:21" x14ac:dyDescent="0.2">
      <c r="P749" s="31"/>
      <c r="Q749" s="31"/>
      <c r="R749" s="31"/>
      <c r="S749" s="31"/>
      <c r="T749" s="31"/>
      <c r="U749" s="31"/>
    </row>
    <row r="750" spans="16:21" x14ac:dyDescent="0.2">
      <c r="P750" s="31"/>
      <c r="Q750" s="31"/>
      <c r="R750" s="31"/>
      <c r="S750" s="31"/>
      <c r="T750" s="31"/>
      <c r="U750" s="31"/>
    </row>
    <row r="751" spans="16:21" x14ac:dyDescent="0.2">
      <c r="P751" s="31"/>
      <c r="Q751" s="31"/>
      <c r="R751" s="31"/>
      <c r="S751" s="31"/>
      <c r="T751" s="31"/>
      <c r="U751" s="31"/>
    </row>
    <row r="752" spans="16:21" x14ac:dyDescent="0.2">
      <c r="P752" s="31"/>
      <c r="Q752" s="31"/>
      <c r="R752" s="31"/>
      <c r="S752" s="31"/>
      <c r="T752" s="31"/>
      <c r="U752" s="31"/>
    </row>
    <row r="753" spans="16:21" x14ac:dyDescent="0.2">
      <c r="P753" s="31"/>
      <c r="Q753" s="31"/>
      <c r="R753" s="31"/>
      <c r="S753" s="31"/>
      <c r="T753" s="31"/>
      <c r="U753" s="31"/>
    </row>
    <row r="754" spans="16:21" x14ac:dyDescent="0.2">
      <c r="P754" s="31"/>
      <c r="Q754" s="31"/>
      <c r="R754" s="31"/>
      <c r="S754" s="31"/>
      <c r="T754" s="31"/>
      <c r="U754" s="31"/>
    </row>
    <row r="755" spans="16:21" x14ac:dyDescent="0.2">
      <c r="P755" s="31"/>
      <c r="Q755" s="31"/>
      <c r="R755" s="31"/>
      <c r="S755" s="31"/>
      <c r="T755" s="31"/>
      <c r="U755" s="31"/>
    </row>
    <row r="756" spans="16:21" x14ac:dyDescent="0.2">
      <c r="P756" s="31"/>
      <c r="Q756" s="31"/>
      <c r="R756" s="31"/>
      <c r="S756" s="31"/>
      <c r="T756" s="31"/>
      <c r="U756" s="31"/>
    </row>
    <row r="757" spans="16:21" x14ac:dyDescent="0.2">
      <c r="P757" s="31"/>
      <c r="Q757" s="31"/>
      <c r="R757" s="31"/>
      <c r="S757" s="31"/>
      <c r="T757" s="31"/>
      <c r="U757" s="31"/>
    </row>
    <row r="758" spans="16:21" x14ac:dyDescent="0.2">
      <c r="P758" s="31"/>
      <c r="Q758" s="31"/>
      <c r="R758" s="31"/>
      <c r="S758" s="31"/>
      <c r="T758" s="31"/>
      <c r="U758" s="31"/>
    </row>
    <row r="759" spans="16:21" x14ac:dyDescent="0.2">
      <c r="P759" s="31"/>
      <c r="Q759" s="31"/>
      <c r="R759" s="31"/>
      <c r="S759" s="31"/>
      <c r="T759" s="31"/>
      <c r="U759" s="31"/>
    </row>
    <row r="760" spans="16:21" x14ac:dyDescent="0.2">
      <c r="P760" s="31"/>
      <c r="Q760" s="31"/>
      <c r="R760" s="31"/>
      <c r="S760" s="31"/>
      <c r="T760" s="31"/>
      <c r="U760" s="31"/>
    </row>
    <row r="761" spans="16:21" x14ac:dyDescent="0.2">
      <c r="P761" s="31"/>
      <c r="Q761" s="31"/>
      <c r="R761" s="31"/>
      <c r="S761" s="31"/>
      <c r="T761" s="31"/>
      <c r="U761" s="31"/>
    </row>
    <row r="762" spans="16:21" x14ac:dyDescent="0.2">
      <c r="P762" s="31"/>
      <c r="Q762" s="31"/>
      <c r="R762" s="31"/>
      <c r="S762" s="31"/>
      <c r="T762" s="31"/>
      <c r="U762" s="31"/>
    </row>
    <row r="763" spans="16:21" x14ac:dyDescent="0.2">
      <c r="P763" s="31"/>
      <c r="Q763" s="31"/>
      <c r="R763" s="31"/>
      <c r="S763" s="31"/>
      <c r="T763" s="31"/>
      <c r="U763" s="31"/>
    </row>
    <row r="764" spans="16:21" x14ac:dyDescent="0.2">
      <c r="P764" s="31"/>
      <c r="Q764" s="31"/>
      <c r="R764" s="31"/>
      <c r="S764" s="31"/>
      <c r="T764" s="31"/>
      <c r="U764" s="31"/>
    </row>
    <row r="765" spans="16:21" x14ac:dyDescent="0.2">
      <c r="P765" s="31"/>
      <c r="Q765" s="31"/>
      <c r="R765" s="31"/>
      <c r="S765" s="31"/>
      <c r="T765" s="31"/>
      <c r="U765" s="31"/>
    </row>
    <row r="766" spans="16:21" x14ac:dyDescent="0.2">
      <c r="P766" s="31"/>
      <c r="Q766" s="31"/>
      <c r="R766" s="31"/>
      <c r="S766" s="31"/>
      <c r="T766" s="31"/>
      <c r="U766" s="31"/>
    </row>
    <row r="767" spans="16:21" x14ac:dyDescent="0.2">
      <c r="P767" s="31"/>
      <c r="Q767" s="31"/>
      <c r="R767" s="31"/>
      <c r="S767" s="31"/>
      <c r="T767" s="31"/>
      <c r="U767" s="31"/>
    </row>
    <row r="768" spans="16:21" x14ac:dyDescent="0.2">
      <c r="P768" s="31"/>
      <c r="Q768" s="31"/>
      <c r="R768" s="31"/>
      <c r="S768" s="31"/>
      <c r="T768" s="31"/>
      <c r="U768" s="31"/>
    </row>
    <row r="769" spans="16:21" x14ac:dyDescent="0.2">
      <c r="P769" s="31"/>
      <c r="Q769" s="31"/>
      <c r="R769" s="31"/>
      <c r="S769" s="31"/>
      <c r="T769" s="31"/>
      <c r="U769" s="31"/>
    </row>
    <row r="770" spans="16:21" x14ac:dyDescent="0.2">
      <c r="P770" s="31"/>
      <c r="Q770" s="31"/>
      <c r="R770" s="31"/>
      <c r="S770" s="31"/>
      <c r="T770" s="31"/>
      <c r="U770" s="31"/>
    </row>
    <row r="771" spans="16:21" x14ac:dyDescent="0.2">
      <c r="P771" s="31"/>
      <c r="Q771" s="31"/>
      <c r="R771" s="31"/>
      <c r="S771" s="31"/>
      <c r="T771" s="31"/>
      <c r="U771" s="31"/>
    </row>
    <row r="772" spans="16:21" x14ac:dyDescent="0.2">
      <c r="P772" s="31"/>
      <c r="Q772" s="31"/>
      <c r="R772" s="31"/>
      <c r="S772" s="31"/>
      <c r="T772" s="31"/>
      <c r="U772" s="31"/>
    </row>
    <row r="773" spans="16:21" x14ac:dyDescent="0.2">
      <c r="P773" s="31"/>
      <c r="Q773" s="31"/>
      <c r="R773" s="31"/>
      <c r="S773" s="31"/>
      <c r="T773" s="31"/>
      <c r="U773" s="31"/>
    </row>
    <row r="774" spans="16:21" x14ac:dyDescent="0.2">
      <c r="P774" s="31"/>
      <c r="Q774" s="31"/>
      <c r="R774" s="31"/>
      <c r="S774" s="31"/>
      <c r="T774" s="31"/>
      <c r="U774" s="31"/>
    </row>
    <row r="775" spans="16:21" x14ac:dyDescent="0.2">
      <c r="P775" s="31"/>
      <c r="Q775" s="31"/>
      <c r="R775" s="31"/>
      <c r="S775" s="31"/>
      <c r="T775" s="31"/>
      <c r="U775" s="31"/>
    </row>
    <row r="776" spans="16:21" x14ac:dyDescent="0.2">
      <c r="P776" s="31"/>
      <c r="Q776" s="31"/>
      <c r="R776" s="31"/>
      <c r="S776" s="31"/>
      <c r="T776" s="31"/>
      <c r="U776" s="31"/>
    </row>
    <row r="777" spans="16:21" x14ac:dyDescent="0.2">
      <c r="P777" s="31"/>
      <c r="Q777" s="31"/>
      <c r="R777" s="31"/>
      <c r="S777" s="31"/>
      <c r="T777" s="31"/>
      <c r="U777" s="31"/>
    </row>
    <row r="778" spans="16:21" x14ac:dyDescent="0.2">
      <c r="P778" s="31"/>
      <c r="Q778" s="31"/>
      <c r="R778" s="31"/>
      <c r="S778" s="31"/>
      <c r="T778" s="31"/>
      <c r="U778" s="31"/>
    </row>
    <row r="779" spans="16:21" x14ac:dyDescent="0.2">
      <c r="P779" s="31"/>
      <c r="Q779" s="31"/>
      <c r="R779" s="31"/>
      <c r="S779" s="31"/>
      <c r="T779" s="31"/>
      <c r="U779" s="31"/>
    </row>
    <row r="780" spans="16:21" x14ac:dyDescent="0.2">
      <c r="P780" s="31"/>
      <c r="Q780" s="31"/>
      <c r="R780" s="31"/>
      <c r="S780" s="31"/>
      <c r="T780" s="31"/>
      <c r="U780" s="31"/>
    </row>
    <row r="781" spans="16:21" x14ac:dyDescent="0.2">
      <c r="P781" s="31"/>
      <c r="Q781" s="31"/>
      <c r="R781" s="31"/>
      <c r="S781" s="31"/>
      <c r="T781" s="31"/>
      <c r="U781" s="31"/>
    </row>
    <row r="782" spans="16:21" x14ac:dyDescent="0.2">
      <c r="P782" s="31"/>
      <c r="Q782" s="31"/>
      <c r="R782" s="31"/>
      <c r="S782" s="31"/>
      <c r="T782" s="31"/>
      <c r="U782" s="31"/>
    </row>
    <row r="783" spans="16:21" x14ac:dyDescent="0.2">
      <c r="P783" s="31"/>
      <c r="Q783" s="31"/>
      <c r="R783" s="31"/>
      <c r="S783" s="31"/>
      <c r="T783" s="31"/>
      <c r="U783" s="31"/>
    </row>
    <row r="784" spans="16:21" x14ac:dyDescent="0.2">
      <c r="P784" s="31"/>
      <c r="Q784" s="31"/>
      <c r="R784" s="31"/>
      <c r="S784" s="31"/>
      <c r="T784" s="31"/>
      <c r="U784" s="31"/>
    </row>
    <row r="785" spans="16:21" x14ac:dyDescent="0.2">
      <c r="P785" s="31"/>
      <c r="Q785" s="31"/>
      <c r="R785" s="31"/>
      <c r="S785" s="31"/>
      <c r="T785" s="31"/>
      <c r="U785" s="31"/>
    </row>
    <row r="786" spans="16:21" x14ac:dyDescent="0.2">
      <c r="P786" s="31"/>
      <c r="Q786" s="31"/>
      <c r="R786" s="31"/>
      <c r="S786" s="31"/>
      <c r="T786" s="31"/>
      <c r="U786" s="31"/>
    </row>
    <row r="787" spans="16:21" x14ac:dyDescent="0.2">
      <c r="P787" s="31"/>
      <c r="Q787" s="31"/>
      <c r="R787" s="31"/>
      <c r="S787" s="31"/>
      <c r="T787" s="31"/>
      <c r="U787" s="31"/>
    </row>
    <row r="788" spans="16:21" x14ac:dyDescent="0.2">
      <c r="P788" s="31"/>
      <c r="Q788" s="31"/>
      <c r="R788" s="31"/>
      <c r="S788" s="31"/>
      <c r="T788" s="31"/>
      <c r="U788" s="31"/>
    </row>
    <row r="789" spans="16:21" x14ac:dyDescent="0.2">
      <c r="P789" s="31"/>
      <c r="Q789" s="31"/>
      <c r="R789" s="31"/>
      <c r="S789" s="31"/>
      <c r="T789" s="31"/>
      <c r="U789" s="31"/>
    </row>
    <row r="790" spans="16:21" x14ac:dyDescent="0.2">
      <c r="P790" s="31"/>
      <c r="Q790" s="31"/>
      <c r="R790" s="31"/>
      <c r="S790" s="31"/>
      <c r="T790" s="31"/>
      <c r="U790" s="31"/>
    </row>
    <row r="791" spans="16:21" x14ac:dyDescent="0.2">
      <c r="P791" s="31"/>
      <c r="Q791" s="31"/>
      <c r="R791" s="31"/>
      <c r="S791" s="31"/>
      <c r="T791" s="31"/>
      <c r="U791" s="31"/>
    </row>
    <row r="792" spans="16:21" x14ac:dyDescent="0.2">
      <c r="P792" s="31"/>
      <c r="Q792" s="31"/>
      <c r="R792" s="31"/>
      <c r="S792" s="31"/>
      <c r="T792" s="31"/>
      <c r="U792" s="31"/>
    </row>
    <row r="793" spans="16:21" x14ac:dyDescent="0.2">
      <c r="P793" s="31"/>
      <c r="Q793" s="31"/>
      <c r="R793" s="31"/>
      <c r="S793" s="31"/>
      <c r="T793" s="31"/>
      <c r="U793" s="31"/>
    </row>
    <row r="794" spans="16:21" x14ac:dyDescent="0.2">
      <c r="P794" s="31"/>
      <c r="Q794" s="31"/>
      <c r="R794" s="31"/>
      <c r="S794" s="31"/>
      <c r="T794" s="31"/>
      <c r="U794" s="31"/>
    </row>
    <row r="795" spans="16:21" x14ac:dyDescent="0.2">
      <c r="P795" s="31"/>
      <c r="Q795" s="31"/>
      <c r="R795" s="31"/>
      <c r="S795" s="31"/>
      <c r="T795" s="31"/>
      <c r="U795" s="31"/>
    </row>
    <row r="796" spans="16:21" x14ac:dyDescent="0.2">
      <c r="P796" s="31"/>
      <c r="Q796" s="31"/>
      <c r="R796" s="31"/>
      <c r="S796" s="31"/>
      <c r="T796" s="31"/>
      <c r="U796" s="31"/>
    </row>
    <row r="797" spans="16:21" x14ac:dyDescent="0.2">
      <c r="P797" s="31"/>
      <c r="Q797" s="31"/>
      <c r="R797" s="31"/>
      <c r="S797" s="31"/>
      <c r="T797" s="31"/>
      <c r="U797" s="31"/>
    </row>
    <row r="798" spans="16:21" x14ac:dyDescent="0.2">
      <c r="P798" s="31"/>
      <c r="Q798" s="31"/>
      <c r="R798" s="31"/>
      <c r="S798" s="31"/>
      <c r="T798" s="31"/>
      <c r="U798" s="31"/>
    </row>
    <row r="799" spans="16:21" x14ac:dyDescent="0.2">
      <c r="P799" s="31"/>
      <c r="Q799" s="31"/>
      <c r="R799" s="31"/>
      <c r="S799" s="31"/>
      <c r="T799" s="31"/>
      <c r="U799" s="31"/>
    </row>
    <row r="800" spans="16:21" x14ac:dyDescent="0.2">
      <c r="P800" s="31"/>
      <c r="Q800" s="31"/>
      <c r="R800" s="31"/>
      <c r="S800" s="31"/>
      <c r="T800" s="31"/>
      <c r="U800" s="31"/>
    </row>
    <row r="801" spans="16:21" x14ac:dyDescent="0.2">
      <c r="P801" s="31"/>
      <c r="Q801" s="31"/>
      <c r="R801" s="31"/>
      <c r="S801" s="31"/>
      <c r="T801" s="31"/>
      <c r="U801" s="31"/>
    </row>
    <row r="802" spans="16:21" x14ac:dyDescent="0.2">
      <c r="P802" s="31"/>
      <c r="Q802" s="31"/>
      <c r="R802" s="31"/>
      <c r="S802" s="31"/>
      <c r="T802" s="31"/>
      <c r="U802" s="31"/>
    </row>
    <row r="803" spans="16:21" x14ac:dyDescent="0.2">
      <c r="P803" s="31"/>
      <c r="Q803" s="31"/>
      <c r="R803" s="31"/>
      <c r="S803" s="31"/>
      <c r="T803" s="31"/>
      <c r="U803" s="31"/>
    </row>
    <row r="804" spans="16:21" x14ac:dyDescent="0.2">
      <c r="P804" s="31"/>
      <c r="Q804" s="31"/>
      <c r="R804" s="31"/>
      <c r="S804" s="31"/>
      <c r="T804" s="31"/>
      <c r="U804" s="31"/>
    </row>
    <row r="805" spans="16:21" x14ac:dyDescent="0.2">
      <c r="P805" s="31"/>
      <c r="Q805" s="31"/>
      <c r="R805" s="31"/>
      <c r="S805" s="31"/>
      <c r="T805" s="31"/>
      <c r="U805" s="31"/>
    </row>
    <row r="806" spans="16:21" x14ac:dyDescent="0.2">
      <c r="P806" s="31"/>
      <c r="Q806" s="31"/>
      <c r="R806" s="31"/>
      <c r="S806" s="31"/>
      <c r="T806" s="31"/>
      <c r="U806" s="31"/>
    </row>
    <row r="807" spans="16:21" x14ac:dyDescent="0.2">
      <c r="P807" s="31"/>
      <c r="Q807" s="31"/>
      <c r="R807" s="31"/>
      <c r="S807" s="31"/>
      <c r="T807" s="31"/>
      <c r="U807" s="31"/>
    </row>
    <row r="808" spans="16:21" x14ac:dyDescent="0.2">
      <c r="P808" s="31"/>
      <c r="Q808" s="31"/>
      <c r="R808" s="31"/>
      <c r="S808" s="31"/>
      <c r="T808" s="31"/>
      <c r="U808" s="31"/>
    </row>
    <row r="809" spans="16:21" x14ac:dyDescent="0.2">
      <c r="P809" s="31"/>
      <c r="Q809" s="31"/>
      <c r="R809" s="31"/>
      <c r="S809" s="31"/>
      <c r="T809" s="31"/>
      <c r="U809" s="31"/>
    </row>
    <row r="810" spans="16:21" x14ac:dyDescent="0.2">
      <c r="P810" s="31"/>
      <c r="Q810" s="31"/>
      <c r="R810" s="31"/>
      <c r="S810" s="31"/>
      <c r="T810" s="31"/>
      <c r="U810" s="31"/>
    </row>
    <row r="811" spans="16:21" x14ac:dyDescent="0.2">
      <c r="P811" s="31"/>
      <c r="Q811" s="31"/>
      <c r="R811" s="31"/>
      <c r="S811" s="31"/>
      <c r="T811" s="31"/>
      <c r="U811" s="31"/>
    </row>
    <row r="812" spans="16:21" x14ac:dyDescent="0.2">
      <c r="P812" s="31"/>
      <c r="Q812" s="31"/>
      <c r="R812" s="31"/>
      <c r="S812" s="31"/>
      <c r="T812" s="31"/>
      <c r="U812" s="31"/>
    </row>
    <row r="813" spans="16:21" x14ac:dyDescent="0.2">
      <c r="P813" s="31"/>
      <c r="Q813" s="31"/>
      <c r="R813" s="31"/>
      <c r="S813" s="31"/>
      <c r="T813" s="31"/>
      <c r="U813" s="31"/>
    </row>
    <row r="814" spans="16:21" x14ac:dyDescent="0.2">
      <c r="P814" s="31"/>
      <c r="Q814" s="31"/>
      <c r="R814" s="31"/>
      <c r="S814" s="31"/>
      <c r="T814" s="31"/>
      <c r="U814" s="31"/>
    </row>
    <row r="815" spans="16:21" x14ac:dyDescent="0.2">
      <c r="P815" s="31"/>
      <c r="Q815" s="31"/>
      <c r="R815" s="31"/>
      <c r="S815" s="31"/>
      <c r="T815" s="31"/>
      <c r="U815" s="31"/>
    </row>
    <row r="816" spans="16:21" x14ac:dyDescent="0.2">
      <c r="P816" s="31"/>
      <c r="Q816" s="31"/>
      <c r="R816" s="31"/>
      <c r="S816" s="31"/>
      <c r="T816" s="31"/>
      <c r="U816" s="31"/>
    </row>
    <row r="817" spans="16:21" x14ac:dyDescent="0.2">
      <c r="P817" s="31"/>
      <c r="Q817" s="31"/>
      <c r="R817" s="31"/>
      <c r="S817" s="31"/>
      <c r="T817" s="31"/>
      <c r="U817" s="31"/>
    </row>
    <row r="818" spans="16:21" x14ac:dyDescent="0.2">
      <c r="P818" s="31"/>
      <c r="Q818" s="31"/>
      <c r="R818" s="31"/>
      <c r="S818" s="31"/>
      <c r="T818" s="31"/>
      <c r="U818" s="31"/>
    </row>
    <row r="819" spans="16:21" x14ac:dyDescent="0.2">
      <c r="P819" s="31"/>
      <c r="Q819" s="31"/>
      <c r="R819" s="31"/>
      <c r="S819" s="31"/>
      <c r="T819" s="31"/>
      <c r="U819" s="31"/>
    </row>
    <row r="820" spans="16:21" x14ac:dyDescent="0.2">
      <c r="P820" s="31"/>
      <c r="Q820" s="31"/>
      <c r="R820" s="31"/>
      <c r="S820" s="31"/>
      <c r="T820" s="31"/>
      <c r="U820" s="31"/>
    </row>
    <row r="821" spans="16:21" x14ac:dyDescent="0.2">
      <c r="P821" s="31"/>
      <c r="Q821" s="31"/>
      <c r="R821" s="31"/>
      <c r="S821" s="31"/>
      <c r="T821" s="31"/>
      <c r="U821" s="31"/>
    </row>
    <row r="822" spans="16:21" x14ac:dyDescent="0.2">
      <c r="P822" s="31"/>
      <c r="Q822" s="31"/>
      <c r="R822" s="31"/>
      <c r="S822" s="31"/>
      <c r="T822" s="31"/>
      <c r="U822" s="31"/>
    </row>
    <row r="823" spans="16:21" x14ac:dyDescent="0.2">
      <c r="P823" s="31"/>
      <c r="Q823" s="31"/>
      <c r="R823" s="31"/>
      <c r="S823" s="31"/>
      <c r="T823" s="31"/>
      <c r="U823" s="31"/>
    </row>
    <row r="824" spans="16:21" x14ac:dyDescent="0.2">
      <c r="P824" s="31"/>
      <c r="Q824" s="31"/>
      <c r="R824" s="31"/>
      <c r="S824" s="31"/>
      <c r="T824" s="31"/>
      <c r="U824" s="31"/>
    </row>
    <row r="825" spans="16:21" x14ac:dyDescent="0.2">
      <c r="P825" s="31"/>
      <c r="Q825" s="31"/>
      <c r="R825" s="31"/>
      <c r="S825" s="31"/>
      <c r="T825" s="31"/>
      <c r="U825" s="31"/>
    </row>
    <row r="826" spans="16:21" x14ac:dyDescent="0.2">
      <c r="P826" s="31"/>
      <c r="Q826" s="31"/>
      <c r="R826" s="31"/>
      <c r="S826" s="31"/>
      <c r="T826" s="31"/>
      <c r="U826" s="31"/>
    </row>
    <row r="827" spans="16:21" x14ac:dyDescent="0.2">
      <c r="P827" s="31"/>
      <c r="Q827" s="31"/>
      <c r="R827" s="31"/>
      <c r="S827" s="31"/>
      <c r="T827" s="31"/>
      <c r="U827" s="31"/>
    </row>
    <row r="828" spans="16:21" x14ac:dyDescent="0.2">
      <c r="P828" s="31"/>
      <c r="Q828" s="31"/>
      <c r="R828" s="31"/>
      <c r="S828" s="31"/>
      <c r="T828" s="31"/>
      <c r="U828" s="31"/>
    </row>
    <row r="829" spans="16:21" x14ac:dyDescent="0.2">
      <c r="P829" s="31"/>
      <c r="Q829" s="31"/>
      <c r="R829" s="31"/>
      <c r="S829" s="31"/>
      <c r="T829" s="31"/>
      <c r="U829" s="31"/>
    </row>
    <row r="830" spans="16:21" x14ac:dyDescent="0.2">
      <c r="P830" s="31"/>
      <c r="Q830" s="31"/>
      <c r="R830" s="31"/>
      <c r="S830" s="31"/>
      <c r="T830" s="31"/>
      <c r="U830" s="31"/>
    </row>
    <row r="831" spans="16:21" x14ac:dyDescent="0.2">
      <c r="P831" s="31"/>
      <c r="Q831" s="31"/>
      <c r="R831" s="31"/>
      <c r="S831" s="31"/>
      <c r="T831" s="31"/>
      <c r="U831" s="31"/>
    </row>
    <row r="832" spans="16:21" x14ac:dyDescent="0.2">
      <c r="P832" s="31"/>
      <c r="Q832" s="31"/>
      <c r="R832" s="31"/>
      <c r="S832" s="31"/>
      <c r="T832" s="31"/>
      <c r="U832" s="31"/>
    </row>
    <row r="833" spans="16:21" x14ac:dyDescent="0.2">
      <c r="P833" s="31"/>
      <c r="Q833" s="31"/>
      <c r="R833" s="31"/>
      <c r="S833" s="31"/>
      <c r="T833" s="31"/>
      <c r="U833" s="31"/>
    </row>
    <row r="834" spans="16:21" x14ac:dyDescent="0.2">
      <c r="P834" s="31"/>
      <c r="Q834" s="31"/>
      <c r="R834" s="31"/>
      <c r="S834" s="31"/>
      <c r="T834" s="31"/>
      <c r="U834" s="31"/>
    </row>
    <row r="835" spans="16:21" x14ac:dyDescent="0.2">
      <c r="P835" s="31"/>
      <c r="Q835" s="31"/>
      <c r="R835" s="31"/>
      <c r="S835" s="31"/>
      <c r="T835" s="31"/>
      <c r="U835" s="31"/>
    </row>
    <row r="836" spans="16:21" x14ac:dyDescent="0.2">
      <c r="P836" s="31"/>
      <c r="Q836" s="31"/>
      <c r="R836" s="31"/>
      <c r="S836" s="31"/>
      <c r="T836" s="31"/>
      <c r="U836" s="31"/>
    </row>
    <row r="837" spans="16:21" x14ac:dyDescent="0.2">
      <c r="P837" s="31"/>
      <c r="Q837" s="31"/>
      <c r="R837" s="31"/>
      <c r="S837" s="31"/>
      <c r="T837" s="31"/>
      <c r="U837" s="31"/>
    </row>
    <row r="838" spans="16:21" x14ac:dyDescent="0.2">
      <c r="P838" s="31"/>
      <c r="Q838" s="31"/>
      <c r="R838" s="31"/>
      <c r="S838" s="31"/>
      <c r="T838" s="31"/>
      <c r="U838" s="31"/>
    </row>
    <row r="839" spans="16:21" x14ac:dyDescent="0.2">
      <c r="P839" s="31"/>
      <c r="Q839" s="31"/>
      <c r="R839" s="31"/>
      <c r="S839" s="31"/>
      <c r="T839" s="31"/>
      <c r="U839" s="31"/>
    </row>
    <row r="840" spans="16:21" x14ac:dyDescent="0.2">
      <c r="P840" s="31"/>
      <c r="Q840" s="31"/>
      <c r="R840" s="31"/>
      <c r="S840" s="31"/>
      <c r="T840" s="31"/>
      <c r="U840" s="31"/>
    </row>
    <row r="841" spans="16:21" x14ac:dyDescent="0.2">
      <c r="P841" s="31"/>
      <c r="Q841" s="31"/>
      <c r="R841" s="31"/>
      <c r="S841" s="31"/>
      <c r="T841" s="31"/>
      <c r="U841" s="31"/>
    </row>
    <row r="842" spans="16:21" x14ac:dyDescent="0.2">
      <c r="P842" s="31"/>
      <c r="Q842" s="31"/>
      <c r="R842" s="31"/>
      <c r="S842" s="31"/>
      <c r="T842" s="31"/>
      <c r="U842" s="31"/>
    </row>
    <row r="843" spans="16:21" x14ac:dyDescent="0.2">
      <c r="P843" s="31"/>
      <c r="Q843" s="31"/>
      <c r="R843" s="31"/>
      <c r="S843" s="31"/>
      <c r="T843" s="31"/>
      <c r="U843" s="31"/>
    </row>
    <row r="844" spans="16:21" x14ac:dyDescent="0.2">
      <c r="P844" s="31"/>
      <c r="Q844" s="31"/>
      <c r="R844" s="31"/>
      <c r="S844" s="31"/>
      <c r="T844" s="31"/>
      <c r="U844" s="31"/>
    </row>
    <row r="845" spans="16:21" x14ac:dyDescent="0.2">
      <c r="P845" s="31"/>
      <c r="Q845" s="31"/>
      <c r="R845" s="31"/>
      <c r="S845" s="31"/>
      <c r="T845" s="31"/>
      <c r="U845" s="31"/>
    </row>
    <row r="846" spans="16:21" x14ac:dyDescent="0.2">
      <c r="P846" s="31"/>
      <c r="Q846" s="31"/>
      <c r="R846" s="31"/>
      <c r="S846" s="31"/>
      <c r="T846" s="31"/>
      <c r="U846" s="31"/>
    </row>
    <row r="847" spans="16:21" x14ac:dyDescent="0.2">
      <c r="P847" s="31"/>
      <c r="Q847" s="31"/>
      <c r="R847" s="31"/>
      <c r="S847" s="31"/>
      <c r="T847" s="31"/>
      <c r="U847" s="31"/>
    </row>
    <row r="848" spans="16:21" x14ac:dyDescent="0.2">
      <c r="P848" s="31"/>
      <c r="Q848" s="31"/>
      <c r="R848" s="31"/>
      <c r="S848" s="31"/>
      <c r="T848" s="31"/>
      <c r="U848" s="31"/>
    </row>
    <row r="849" spans="16:21" x14ac:dyDescent="0.2">
      <c r="P849" s="31"/>
      <c r="Q849" s="31"/>
      <c r="R849" s="31"/>
      <c r="S849" s="31"/>
      <c r="T849" s="31"/>
      <c r="U849" s="31"/>
    </row>
    <row r="850" spans="16:21" x14ac:dyDescent="0.2">
      <c r="P850" s="31"/>
      <c r="Q850" s="31"/>
      <c r="R850" s="31"/>
      <c r="S850" s="31"/>
      <c r="T850" s="31"/>
      <c r="U850" s="31"/>
    </row>
    <row r="851" spans="16:21" x14ac:dyDescent="0.2">
      <c r="P851" s="31"/>
      <c r="Q851" s="31"/>
      <c r="R851" s="31"/>
      <c r="S851" s="31"/>
      <c r="T851" s="31"/>
      <c r="U851" s="31"/>
    </row>
    <row r="852" spans="16:21" x14ac:dyDescent="0.2">
      <c r="P852" s="31"/>
      <c r="Q852" s="31"/>
      <c r="R852" s="31"/>
      <c r="S852" s="31"/>
      <c r="T852" s="31"/>
      <c r="U852" s="31"/>
    </row>
    <row r="853" spans="16:21" x14ac:dyDescent="0.2">
      <c r="P853" s="31"/>
      <c r="Q853" s="31"/>
      <c r="R853" s="31"/>
      <c r="S853" s="31"/>
      <c r="T853" s="31"/>
      <c r="U853" s="31"/>
    </row>
    <row r="854" spans="16:21" x14ac:dyDescent="0.2">
      <c r="P854" s="31"/>
      <c r="Q854" s="31"/>
      <c r="R854" s="31"/>
      <c r="S854" s="31"/>
      <c r="T854" s="31"/>
      <c r="U854" s="31"/>
    </row>
    <row r="855" spans="16:21" x14ac:dyDescent="0.2">
      <c r="P855" s="31"/>
      <c r="Q855" s="31"/>
      <c r="R855" s="31"/>
      <c r="S855" s="31"/>
      <c r="T855" s="31"/>
      <c r="U855" s="31"/>
    </row>
    <row r="856" spans="16:21" x14ac:dyDescent="0.2">
      <c r="P856" s="31"/>
      <c r="Q856" s="31"/>
      <c r="R856" s="31"/>
      <c r="S856" s="31"/>
      <c r="T856" s="31"/>
      <c r="U856" s="31"/>
    </row>
    <row r="857" spans="16:21" x14ac:dyDescent="0.2">
      <c r="P857" s="31"/>
      <c r="Q857" s="31"/>
      <c r="R857" s="31"/>
      <c r="S857" s="31"/>
      <c r="T857" s="31"/>
      <c r="U857" s="31"/>
    </row>
    <row r="858" spans="16:21" x14ac:dyDescent="0.2">
      <c r="P858" s="31"/>
      <c r="Q858" s="31"/>
      <c r="R858" s="31"/>
      <c r="S858" s="31"/>
      <c r="T858" s="31"/>
      <c r="U858" s="31"/>
    </row>
    <row r="859" spans="16:21" x14ac:dyDescent="0.2">
      <c r="P859" s="31"/>
      <c r="Q859" s="31"/>
      <c r="R859" s="31"/>
      <c r="S859" s="31"/>
      <c r="T859" s="31"/>
      <c r="U859" s="31"/>
    </row>
    <row r="860" spans="16:21" x14ac:dyDescent="0.2">
      <c r="P860" s="31"/>
      <c r="Q860" s="31"/>
      <c r="R860" s="31"/>
      <c r="S860" s="31"/>
      <c r="T860" s="31"/>
      <c r="U860" s="31"/>
    </row>
    <row r="861" spans="16:21" x14ac:dyDescent="0.2">
      <c r="P861" s="31"/>
      <c r="Q861" s="31"/>
      <c r="R861" s="31"/>
      <c r="S861" s="31"/>
      <c r="T861" s="31"/>
      <c r="U861" s="31"/>
    </row>
    <row r="862" spans="16:21" x14ac:dyDescent="0.2">
      <c r="P862" s="31"/>
      <c r="Q862" s="31"/>
      <c r="R862" s="31"/>
      <c r="S862" s="31"/>
      <c r="T862" s="31"/>
      <c r="U862" s="31"/>
    </row>
    <row r="863" spans="16:21" x14ac:dyDescent="0.2">
      <c r="P863" s="31"/>
      <c r="Q863" s="31"/>
      <c r="R863" s="31"/>
      <c r="S863" s="31"/>
      <c r="T863" s="31"/>
      <c r="U863" s="31"/>
    </row>
    <row r="864" spans="16:21" x14ac:dyDescent="0.2">
      <c r="P864" s="31"/>
      <c r="Q864" s="31"/>
      <c r="R864" s="31"/>
      <c r="S864" s="31"/>
      <c r="T864" s="31"/>
      <c r="U864" s="31"/>
    </row>
    <row r="865" spans="16:21" x14ac:dyDescent="0.2">
      <c r="P865" s="31"/>
      <c r="Q865" s="31"/>
      <c r="R865" s="31"/>
      <c r="S865" s="31"/>
      <c r="T865" s="31"/>
      <c r="U865" s="31"/>
    </row>
    <row r="866" spans="16:21" x14ac:dyDescent="0.2">
      <c r="P866" s="31"/>
      <c r="Q866" s="31"/>
      <c r="R866" s="31"/>
      <c r="S866" s="31"/>
      <c r="T866" s="31"/>
      <c r="U866" s="31"/>
    </row>
    <row r="867" spans="16:21" x14ac:dyDescent="0.2">
      <c r="P867" s="31"/>
      <c r="Q867" s="31"/>
      <c r="R867" s="31"/>
      <c r="S867" s="31"/>
      <c r="T867" s="31"/>
      <c r="U867" s="31"/>
    </row>
    <row r="868" spans="16:21" x14ac:dyDescent="0.2">
      <c r="P868" s="31"/>
      <c r="Q868" s="31"/>
      <c r="R868" s="31"/>
      <c r="S868" s="31"/>
      <c r="T868" s="31"/>
      <c r="U868" s="31"/>
    </row>
    <row r="869" spans="16:21" x14ac:dyDescent="0.2">
      <c r="P869" s="31"/>
      <c r="Q869" s="31"/>
      <c r="R869" s="31"/>
      <c r="S869" s="31"/>
      <c r="T869" s="31"/>
      <c r="U869" s="31"/>
    </row>
    <row r="870" spans="16:21" x14ac:dyDescent="0.2">
      <c r="P870" s="31"/>
      <c r="Q870" s="31"/>
      <c r="R870" s="31"/>
      <c r="S870" s="31"/>
      <c r="T870" s="31"/>
      <c r="U870" s="31"/>
    </row>
    <row r="871" spans="16:21" x14ac:dyDescent="0.2">
      <c r="P871" s="31"/>
      <c r="Q871" s="31"/>
      <c r="R871" s="31"/>
      <c r="S871" s="31"/>
      <c r="T871" s="31"/>
      <c r="U871" s="31"/>
    </row>
    <row r="872" spans="16:21" x14ac:dyDescent="0.2">
      <c r="P872" s="31"/>
      <c r="Q872" s="31"/>
      <c r="R872" s="31"/>
      <c r="S872" s="31"/>
      <c r="T872" s="31"/>
      <c r="U872" s="31"/>
    </row>
    <row r="873" spans="16:21" x14ac:dyDescent="0.2">
      <c r="P873" s="31"/>
      <c r="Q873" s="31"/>
      <c r="R873" s="31"/>
      <c r="S873" s="31"/>
      <c r="T873" s="31"/>
      <c r="U873" s="31"/>
    </row>
    <row r="874" spans="16:21" x14ac:dyDescent="0.2">
      <c r="P874" s="31"/>
      <c r="Q874" s="31"/>
      <c r="R874" s="31"/>
      <c r="S874" s="31"/>
      <c r="T874" s="31"/>
      <c r="U874" s="31"/>
    </row>
    <row r="875" spans="16:21" x14ac:dyDescent="0.2">
      <c r="P875" s="31"/>
      <c r="Q875" s="31"/>
      <c r="R875" s="31"/>
      <c r="S875" s="31"/>
      <c r="T875" s="31"/>
      <c r="U875" s="31"/>
    </row>
    <row r="876" spans="16:21" x14ac:dyDescent="0.2">
      <c r="P876" s="31"/>
      <c r="Q876" s="31"/>
      <c r="R876" s="31"/>
      <c r="S876" s="31"/>
      <c r="T876" s="31"/>
      <c r="U876" s="31"/>
    </row>
    <row r="877" spans="16:21" x14ac:dyDescent="0.2">
      <c r="P877" s="31"/>
      <c r="Q877" s="31"/>
      <c r="R877" s="31"/>
      <c r="S877" s="31"/>
      <c r="T877" s="31"/>
      <c r="U877" s="31"/>
    </row>
    <row r="878" spans="16:21" x14ac:dyDescent="0.2">
      <c r="P878" s="31"/>
      <c r="Q878" s="31"/>
      <c r="R878" s="31"/>
      <c r="S878" s="31"/>
      <c r="T878" s="31"/>
      <c r="U878" s="31"/>
    </row>
    <row r="879" spans="16:21" x14ac:dyDescent="0.2">
      <c r="P879" s="31"/>
      <c r="Q879" s="31"/>
      <c r="R879" s="31"/>
      <c r="S879" s="31"/>
      <c r="T879" s="31"/>
      <c r="U879" s="31"/>
    </row>
    <row r="880" spans="16:21" x14ac:dyDescent="0.2">
      <c r="P880" s="31"/>
      <c r="Q880" s="31"/>
      <c r="R880" s="31"/>
      <c r="S880" s="31"/>
      <c r="T880" s="31"/>
      <c r="U880" s="31"/>
    </row>
    <row r="881" spans="16:21" x14ac:dyDescent="0.2">
      <c r="P881" s="31"/>
      <c r="Q881" s="31"/>
      <c r="R881" s="31"/>
      <c r="S881" s="31"/>
      <c r="T881" s="31"/>
      <c r="U881" s="31"/>
    </row>
    <row r="882" spans="16:21" x14ac:dyDescent="0.2">
      <c r="P882" s="31"/>
      <c r="Q882" s="31"/>
      <c r="R882" s="31"/>
      <c r="S882" s="31"/>
      <c r="T882" s="31"/>
      <c r="U882" s="31"/>
    </row>
    <row r="883" spans="16:21" x14ac:dyDescent="0.2">
      <c r="P883" s="31"/>
      <c r="Q883" s="31"/>
      <c r="R883" s="31"/>
      <c r="S883" s="31"/>
      <c r="T883" s="31"/>
      <c r="U883" s="31"/>
    </row>
    <row r="884" spans="16:21" x14ac:dyDescent="0.2">
      <c r="P884" s="31"/>
      <c r="Q884" s="31"/>
      <c r="R884" s="31"/>
      <c r="S884" s="31"/>
      <c r="T884" s="31"/>
      <c r="U884" s="31"/>
    </row>
    <row r="885" spans="16:21" x14ac:dyDescent="0.2">
      <c r="P885" s="31"/>
      <c r="Q885" s="31"/>
      <c r="R885" s="31"/>
      <c r="S885" s="31"/>
      <c r="T885" s="31"/>
      <c r="U885" s="31"/>
    </row>
    <row r="886" spans="16:21" x14ac:dyDescent="0.2">
      <c r="P886" s="31"/>
      <c r="Q886" s="31"/>
      <c r="R886" s="31"/>
      <c r="S886" s="31"/>
      <c r="T886" s="31"/>
      <c r="U886" s="31"/>
    </row>
    <row r="887" spans="16:21" x14ac:dyDescent="0.2">
      <c r="P887" s="31"/>
      <c r="Q887" s="31"/>
      <c r="R887" s="31"/>
      <c r="S887" s="31"/>
      <c r="T887" s="31"/>
      <c r="U887" s="31"/>
    </row>
    <row r="888" spans="16:21" x14ac:dyDescent="0.2">
      <c r="P888" s="31"/>
      <c r="Q888" s="31"/>
      <c r="R888" s="31"/>
      <c r="S888" s="31"/>
      <c r="T888" s="31"/>
      <c r="U888" s="31"/>
    </row>
    <row r="889" spans="16:21" x14ac:dyDescent="0.2">
      <c r="P889" s="31"/>
      <c r="Q889" s="31"/>
      <c r="R889" s="31"/>
      <c r="S889" s="31"/>
      <c r="T889" s="31"/>
      <c r="U889" s="31"/>
    </row>
    <row r="890" spans="16:21" x14ac:dyDescent="0.2">
      <c r="P890" s="31"/>
      <c r="Q890" s="31"/>
      <c r="R890" s="31"/>
      <c r="S890" s="31"/>
      <c r="T890" s="31"/>
      <c r="U890" s="31"/>
    </row>
    <row r="891" spans="16:21" x14ac:dyDescent="0.2">
      <c r="P891" s="31"/>
      <c r="Q891" s="31"/>
      <c r="R891" s="31"/>
      <c r="S891" s="31"/>
      <c r="T891" s="31"/>
      <c r="U891" s="31"/>
    </row>
    <row r="892" spans="16:21" x14ac:dyDescent="0.2">
      <c r="P892" s="31"/>
      <c r="Q892" s="31"/>
      <c r="R892" s="31"/>
      <c r="S892" s="31"/>
      <c r="T892" s="31"/>
      <c r="U892" s="31"/>
    </row>
    <row r="893" spans="16:21" x14ac:dyDescent="0.2">
      <c r="P893" s="31"/>
      <c r="Q893" s="31"/>
      <c r="R893" s="31"/>
      <c r="S893" s="31"/>
      <c r="T893" s="31"/>
      <c r="U893" s="31"/>
    </row>
    <row r="894" spans="16:21" x14ac:dyDescent="0.2">
      <c r="P894" s="31"/>
      <c r="Q894" s="31"/>
      <c r="R894" s="31"/>
      <c r="S894" s="31"/>
      <c r="T894" s="31"/>
      <c r="U894" s="31"/>
    </row>
    <row r="895" spans="16:21" x14ac:dyDescent="0.2">
      <c r="P895" s="31"/>
      <c r="Q895" s="31"/>
      <c r="R895" s="31"/>
      <c r="S895" s="31"/>
      <c r="T895" s="31"/>
      <c r="U895" s="31"/>
    </row>
    <row r="896" spans="16:21" x14ac:dyDescent="0.2">
      <c r="P896" s="31"/>
      <c r="Q896" s="31"/>
      <c r="R896" s="31"/>
      <c r="S896" s="31"/>
      <c r="T896" s="31"/>
      <c r="U896" s="31"/>
    </row>
    <row r="897" spans="16:21" x14ac:dyDescent="0.2">
      <c r="P897" s="31"/>
      <c r="Q897" s="31"/>
      <c r="R897" s="31"/>
      <c r="S897" s="31"/>
      <c r="T897" s="31"/>
      <c r="U897" s="31"/>
    </row>
    <row r="898" spans="16:21" x14ac:dyDescent="0.2">
      <c r="P898" s="31"/>
      <c r="Q898" s="31"/>
      <c r="R898" s="31"/>
      <c r="S898" s="31"/>
      <c r="T898" s="31"/>
      <c r="U898" s="31"/>
    </row>
    <row r="899" spans="16:21" x14ac:dyDescent="0.2">
      <c r="P899" s="31"/>
      <c r="Q899" s="31"/>
      <c r="R899" s="31"/>
      <c r="S899" s="31"/>
      <c r="T899" s="31"/>
      <c r="U899" s="31"/>
    </row>
    <row r="900" spans="16:21" x14ac:dyDescent="0.2">
      <c r="P900" s="31"/>
      <c r="Q900" s="31"/>
      <c r="R900" s="31"/>
      <c r="S900" s="31"/>
      <c r="T900" s="31"/>
      <c r="U900" s="31"/>
    </row>
    <row r="901" spans="16:21" x14ac:dyDescent="0.2">
      <c r="P901" s="31"/>
      <c r="Q901" s="31"/>
      <c r="R901" s="31"/>
      <c r="S901" s="31"/>
      <c r="T901" s="31"/>
      <c r="U901" s="31"/>
    </row>
    <row r="902" spans="16:21" x14ac:dyDescent="0.2">
      <c r="P902" s="31"/>
      <c r="Q902" s="31"/>
      <c r="R902" s="31"/>
      <c r="S902" s="31"/>
      <c r="T902" s="31"/>
      <c r="U902" s="31"/>
    </row>
    <row r="903" spans="16:21" x14ac:dyDescent="0.2">
      <c r="P903" s="31"/>
      <c r="Q903" s="31"/>
      <c r="R903" s="31"/>
      <c r="S903" s="31"/>
      <c r="T903" s="31"/>
      <c r="U903" s="31"/>
    </row>
    <row r="904" spans="16:21" x14ac:dyDescent="0.2">
      <c r="P904" s="31"/>
      <c r="Q904" s="31"/>
      <c r="R904" s="31"/>
      <c r="S904" s="31"/>
      <c r="T904" s="31"/>
      <c r="U904" s="31"/>
    </row>
    <row r="905" spans="16:21" x14ac:dyDescent="0.2">
      <c r="P905" s="31"/>
      <c r="Q905" s="31"/>
      <c r="R905" s="31"/>
      <c r="S905" s="31"/>
      <c r="T905" s="31"/>
      <c r="U905" s="31"/>
    </row>
    <row r="906" spans="16:21" x14ac:dyDescent="0.2">
      <c r="P906" s="31"/>
      <c r="Q906" s="31"/>
      <c r="R906" s="31"/>
      <c r="S906" s="31"/>
      <c r="T906" s="31"/>
      <c r="U906" s="31"/>
    </row>
    <row r="907" spans="16:21" x14ac:dyDescent="0.2">
      <c r="P907" s="31"/>
      <c r="Q907" s="31"/>
      <c r="R907" s="31"/>
      <c r="S907" s="31"/>
      <c r="T907" s="31"/>
      <c r="U907" s="31"/>
    </row>
    <row r="908" spans="16:21" x14ac:dyDescent="0.2">
      <c r="P908" s="31"/>
      <c r="Q908" s="31"/>
      <c r="R908" s="31"/>
      <c r="S908" s="31"/>
      <c r="T908" s="31"/>
      <c r="U908" s="31"/>
    </row>
    <row r="909" spans="16:21" x14ac:dyDescent="0.2">
      <c r="P909" s="31"/>
      <c r="Q909" s="31"/>
      <c r="R909" s="31"/>
      <c r="S909" s="31"/>
      <c r="T909" s="31"/>
      <c r="U909" s="31"/>
    </row>
    <row r="910" spans="16:21" x14ac:dyDescent="0.2">
      <c r="P910" s="31"/>
      <c r="Q910" s="31"/>
      <c r="R910" s="31"/>
      <c r="S910" s="31"/>
      <c r="T910" s="31"/>
      <c r="U910" s="31"/>
    </row>
    <row r="911" spans="16:21" x14ac:dyDescent="0.2">
      <c r="P911" s="31"/>
      <c r="Q911" s="31"/>
      <c r="R911" s="31"/>
      <c r="S911" s="31"/>
      <c r="T911" s="31"/>
      <c r="U911" s="31"/>
    </row>
    <row r="912" spans="16:21" x14ac:dyDescent="0.2">
      <c r="P912" s="31"/>
      <c r="Q912" s="31"/>
      <c r="R912" s="31"/>
      <c r="S912" s="31"/>
      <c r="T912" s="31"/>
      <c r="U912" s="31"/>
    </row>
    <row r="913" spans="16:21" x14ac:dyDescent="0.2">
      <c r="P913" s="31"/>
      <c r="Q913" s="31"/>
      <c r="R913" s="31"/>
      <c r="S913" s="31"/>
      <c r="T913" s="31"/>
      <c r="U913" s="31"/>
    </row>
    <row r="914" spans="16:21" x14ac:dyDescent="0.2">
      <c r="P914" s="31"/>
      <c r="Q914" s="31"/>
      <c r="R914" s="31"/>
      <c r="S914" s="31"/>
      <c r="T914" s="31"/>
      <c r="U914" s="31"/>
    </row>
    <row r="915" spans="16:21" x14ac:dyDescent="0.2">
      <c r="P915" s="31"/>
      <c r="Q915" s="31"/>
      <c r="R915" s="31"/>
      <c r="S915" s="31"/>
      <c r="T915" s="31"/>
      <c r="U915" s="31"/>
    </row>
    <row r="916" spans="16:21" x14ac:dyDescent="0.2">
      <c r="P916" s="31"/>
      <c r="Q916" s="31"/>
      <c r="R916" s="31"/>
      <c r="S916" s="31"/>
      <c r="T916" s="31"/>
      <c r="U916" s="31"/>
    </row>
    <row r="917" spans="16:21" x14ac:dyDescent="0.2">
      <c r="P917" s="31"/>
      <c r="Q917" s="31"/>
      <c r="R917" s="31"/>
      <c r="S917" s="31"/>
      <c r="T917" s="31"/>
      <c r="U917" s="31"/>
    </row>
    <row r="918" spans="16:21" x14ac:dyDescent="0.2">
      <c r="P918" s="31"/>
      <c r="Q918" s="31"/>
      <c r="R918" s="31"/>
      <c r="S918" s="31"/>
      <c r="T918" s="31"/>
      <c r="U918" s="31"/>
    </row>
    <row r="919" spans="16:21" x14ac:dyDescent="0.2">
      <c r="P919" s="31"/>
      <c r="Q919" s="31"/>
      <c r="R919" s="31"/>
      <c r="S919" s="31"/>
      <c r="T919" s="31"/>
      <c r="U919" s="31"/>
    </row>
    <row r="920" spans="16:21" x14ac:dyDescent="0.2">
      <c r="P920" s="31"/>
      <c r="Q920" s="31"/>
      <c r="R920" s="31"/>
      <c r="S920" s="31"/>
      <c r="T920" s="31"/>
      <c r="U920" s="31"/>
    </row>
    <row r="921" spans="16:21" x14ac:dyDescent="0.2">
      <c r="P921" s="31"/>
      <c r="Q921" s="31"/>
      <c r="R921" s="31"/>
      <c r="S921" s="31"/>
      <c r="T921" s="31"/>
      <c r="U921" s="31"/>
    </row>
    <row r="922" spans="16:21" x14ac:dyDescent="0.2">
      <c r="P922" s="31"/>
      <c r="Q922" s="31"/>
      <c r="R922" s="31"/>
      <c r="S922" s="31"/>
      <c r="T922" s="31"/>
      <c r="U922" s="31"/>
    </row>
    <row r="923" spans="16:21" x14ac:dyDescent="0.2">
      <c r="P923" s="31"/>
      <c r="Q923" s="31"/>
      <c r="R923" s="31"/>
      <c r="S923" s="31"/>
      <c r="T923" s="31"/>
      <c r="U923" s="31"/>
    </row>
    <row r="924" spans="16:21" x14ac:dyDescent="0.2">
      <c r="P924" s="31"/>
      <c r="Q924" s="31"/>
      <c r="R924" s="31"/>
      <c r="S924" s="31"/>
      <c r="T924" s="31"/>
      <c r="U924" s="31"/>
    </row>
    <row r="925" spans="16:21" x14ac:dyDescent="0.2">
      <c r="P925" s="31"/>
      <c r="Q925" s="31"/>
      <c r="R925" s="31"/>
      <c r="S925" s="31"/>
      <c r="T925" s="31"/>
      <c r="U925" s="31"/>
    </row>
    <row r="926" spans="16:21" x14ac:dyDescent="0.2">
      <c r="P926" s="31"/>
      <c r="Q926" s="31"/>
      <c r="R926" s="31"/>
      <c r="S926" s="31"/>
      <c r="T926" s="31"/>
      <c r="U926" s="31"/>
    </row>
    <row r="927" spans="16:21" x14ac:dyDescent="0.2">
      <c r="P927" s="31"/>
      <c r="Q927" s="31"/>
      <c r="R927" s="31"/>
      <c r="S927" s="31"/>
      <c r="T927" s="31"/>
      <c r="U927" s="31"/>
    </row>
    <row r="928" spans="16:21" x14ac:dyDescent="0.2">
      <c r="P928" s="31"/>
      <c r="Q928" s="31"/>
      <c r="R928" s="31"/>
      <c r="S928" s="31"/>
      <c r="T928" s="31"/>
      <c r="U928" s="31"/>
    </row>
    <row r="929" spans="16:21" x14ac:dyDescent="0.2">
      <c r="P929" s="31"/>
      <c r="Q929" s="31"/>
      <c r="R929" s="31"/>
      <c r="S929" s="31"/>
      <c r="T929" s="31"/>
      <c r="U929" s="31"/>
    </row>
    <row r="930" spans="16:21" x14ac:dyDescent="0.2">
      <c r="P930" s="31"/>
      <c r="Q930" s="31"/>
      <c r="R930" s="31"/>
      <c r="S930" s="31"/>
      <c r="T930" s="31"/>
      <c r="U930" s="31"/>
    </row>
    <row r="931" spans="16:21" x14ac:dyDescent="0.2">
      <c r="P931" s="31"/>
      <c r="Q931" s="31"/>
      <c r="R931" s="31"/>
      <c r="S931" s="31"/>
      <c r="T931" s="31"/>
      <c r="U931" s="31"/>
    </row>
    <row r="932" spans="16:21" x14ac:dyDescent="0.2">
      <c r="P932" s="31"/>
      <c r="Q932" s="31"/>
      <c r="R932" s="31"/>
      <c r="S932" s="31"/>
      <c r="T932" s="31"/>
      <c r="U932" s="31"/>
    </row>
    <row r="933" spans="16:21" x14ac:dyDescent="0.2">
      <c r="P933" s="31"/>
      <c r="Q933" s="31"/>
      <c r="R933" s="31"/>
      <c r="S933" s="31"/>
      <c r="T933" s="31"/>
      <c r="U933" s="31"/>
    </row>
    <row r="934" spans="16:21" x14ac:dyDescent="0.2">
      <c r="P934" s="31"/>
      <c r="Q934" s="31"/>
      <c r="R934" s="31"/>
      <c r="S934" s="31"/>
      <c r="T934" s="31"/>
      <c r="U934" s="31"/>
    </row>
    <row r="935" spans="16:21" x14ac:dyDescent="0.2">
      <c r="P935" s="31"/>
      <c r="Q935" s="31"/>
      <c r="R935" s="31"/>
      <c r="S935" s="31"/>
      <c r="T935" s="31"/>
      <c r="U935" s="31"/>
    </row>
    <row r="936" spans="16:21" x14ac:dyDescent="0.2">
      <c r="P936" s="31"/>
      <c r="Q936" s="31"/>
      <c r="R936" s="31"/>
      <c r="S936" s="31"/>
      <c r="T936" s="31"/>
      <c r="U936" s="31"/>
    </row>
    <row r="937" spans="16:21" x14ac:dyDescent="0.2">
      <c r="P937" s="31"/>
      <c r="Q937" s="31"/>
      <c r="R937" s="31"/>
      <c r="S937" s="31"/>
      <c r="T937" s="31"/>
      <c r="U937" s="31"/>
    </row>
    <row r="938" spans="16:21" x14ac:dyDescent="0.2">
      <c r="P938" s="31"/>
      <c r="Q938" s="31"/>
      <c r="R938" s="31"/>
      <c r="S938" s="31"/>
      <c r="T938" s="31"/>
      <c r="U938" s="31"/>
    </row>
    <row r="939" spans="16:21" x14ac:dyDescent="0.2">
      <c r="P939" s="31"/>
      <c r="Q939" s="31"/>
      <c r="R939" s="31"/>
      <c r="S939" s="31"/>
      <c r="T939" s="31"/>
      <c r="U939" s="31"/>
    </row>
    <row r="940" spans="16:21" x14ac:dyDescent="0.2">
      <c r="P940" s="31"/>
      <c r="Q940" s="31"/>
      <c r="R940" s="31"/>
      <c r="S940" s="31"/>
      <c r="T940" s="31"/>
      <c r="U940" s="31"/>
    </row>
    <row r="941" spans="16:21" x14ac:dyDescent="0.2">
      <c r="P941" s="31"/>
      <c r="Q941" s="31"/>
      <c r="R941" s="31"/>
      <c r="S941" s="31"/>
      <c r="T941" s="31"/>
      <c r="U941" s="31"/>
    </row>
    <row r="942" spans="16:21" x14ac:dyDescent="0.2">
      <c r="P942" s="31"/>
      <c r="Q942" s="31"/>
      <c r="R942" s="31"/>
      <c r="S942" s="31"/>
      <c r="T942" s="31"/>
      <c r="U942" s="31"/>
    </row>
    <row r="943" spans="16:21" x14ac:dyDescent="0.2">
      <c r="P943" s="31"/>
      <c r="Q943" s="31"/>
      <c r="R943" s="31"/>
      <c r="S943" s="31"/>
      <c r="T943" s="31"/>
      <c r="U943" s="31"/>
    </row>
    <row r="944" spans="16:21" x14ac:dyDescent="0.2">
      <c r="P944" s="31"/>
      <c r="Q944" s="31"/>
      <c r="R944" s="31"/>
      <c r="S944" s="31"/>
      <c r="T944" s="31"/>
      <c r="U944" s="31"/>
    </row>
    <row r="945" spans="16:21" x14ac:dyDescent="0.2">
      <c r="P945" s="31"/>
      <c r="Q945" s="31"/>
      <c r="R945" s="31"/>
      <c r="S945" s="31"/>
      <c r="T945" s="31"/>
      <c r="U945" s="31"/>
    </row>
    <row r="946" spans="16:21" x14ac:dyDescent="0.2">
      <c r="P946" s="31"/>
      <c r="Q946" s="31"/>
      <c r="R946" s="31"/>
      <c r="S946" s="31"/>
      <c r="T946" s="31"/>
      <c r="U946" s="31"/>
    </row>
    <row r="947" spans="16:21" x14ac:dyDescent="0.2">
      <c r="P947" s="31"/>
      <c r="Q947" s="31"/>
      <c r="R947" s="31"/>
      <c r="S947" s="31"/>
      <c r="T947" s="31"/>
      <c r="U947" s="31"/>
    </row>
    <row r="948" spans="16:21" x14ac:dyDescent="0.2">
      <c r="P948" s="31"/>
      <c r="Q948" s="31"/>
      <c r="R948" s="31"/>
      <c r="S948" s="31"/>
      <c r="T948" s="31"/>
      <c r="U948" s="31"/>
    </row>
    <row r="949" spans="16:21" x14ac:dyDescent="0.2">
      <c r="P949" s="31"/>
      <c r="Q949" s="31"/>
      <c r="R949" s="31"/>
      <c r="S949" s="31"/>
      <c r="T949" s="31"/>
      <c r="U949" s="31"/>
    </row>
    <row r="950" spans="16:21" x14ac:dyDescent="0.2">
      <c r="P950" s="31"/>
      <c r="Q950" s="31"/>
      <c r="R950" s="31"/>
      <c r="S950" s="31"/>
      <c r="T950" s="31"/>
      <c r="U950" s="31"/>
    </row>
    <row r="951" spans="16:21" x14ac:dyDescent="0.2">
      <c r="P951" s="31"/>
      <c r="Q951" s="31"/>
      <c r="R951" s="31"/>
      <c r="S951" s="31"/>
      <c r="T951" s="31"/>
      <c r="U951" s="31"/>
    </row>
    <row r="952" spans="16:21" x14ac:dyDescent="0.2">
      <c r="P952" s="31"/>
      <c r="Q952" s="31"/>
      <c r="R952" s="31"/>
      <c r="S952" s="31"/>
      <c r="T952" s="31"/>
      <c r="U952" s="31"/>
    </row>
    <row r="953" spans="16:21" x14ac:dyDescent="0.2">
      <c r="P953" s="31"/>
      <c r="Q953" s="31"/>
      <c r="R953" s="31"/>
      <c r="S953" s="31"/>
      <c r="T953" s="31"/>
      <c r="U953" s="31"/>
    </row>
    <row r="954" spans="16:21" x14ac:dyDescent="0.2">
      <c r="P954" s="31"/>
      <c r="Q954" s="31"/>
      <c r="R954" s="31"/>
      <c r="S954" s="31"/>
      <c r="T954" s="31"/>
      <c r="U954" s="31"/>
    </row>
    <row r="955" spans="16:21" x14ac:dyDescent="0.2">
      <c r="P955" s="31"/>
      <c r="Q955" s="31"/>
      <c r="R955" s="31"/>
      <c r="S955" s="31"/>
      <c r="T955" s="31"/>
      <c r="U955" s="31"/>
    </row>
    <row r="956" spans="16:21" x14ac:dyDescent="0.2">
      <c r="P956" s="31"/>
      <c r="Q956" s="31"/>
      <c r="R956" s="31"/>
      <c r="S956" s="31"/>
      <c r="T956" s="31"/>
      <c r="U956" s="31"/>
    </row>
    <row r="957" spans="16:21" x14ac:dyDescent="0.2">
      <c r="P957" s="31"/>
      <c r="Q957" s="31"/>
      <c r="R957" s="31"/>
      <c r="S957" s="31"/>
      <c r="T957" s="31"/>
      <c r="U957" s="31"/>
    </row>
    <row r="958" spans="16:21" x14ac:dyDescent="0.2">
      <c r="P958" s="31"/>
      <c r="Q958" s="31"/>
      <c r="R958" s="31"/>
      <c r="S958" s="31"/>
      <c r="T958" s="31"/>
      <c r="U958" s="31"/>
    </row>
    <row r="959" spans="16:21" x14ac:dyDescent="0.2">
      <c r="P959" s="31"/>
      <c r="Q959" s="31"/>
      <c r="R959" s="31"/>
      <c r="S959" s="31"/>
      <c r="T959" s="31"/>
      <c r="U959" s="31"/>
    </row>
    <row r="960" spans="16:21" x14ac:dyDescent="0.2">
      <c r="P960" s="31"/>
      <c r="Q960" s="31"/>
      <c r="R960" s="31"/>
      <c r="S960" s="31"/>
      <c r="T960" s="31"/>
      <c r="U960" s="31"/>
    </row>
    <row r="961" spans="16:21" x14ac:dyDescent="0.2">
      <c r="P961" s="31"/>
      <c r="Q961" s="31"/>
      <c r="R961" s="31"/>
      <c r="S961" s="31"/>
      <c r="T961" s="31"/>
      <c r="U961" s="31"/>
    </row>
    <row r="962" spans="16:21" x14ac:dyDescent="0.2">
      <c r="P962" s="31"/>
      <c r="Q962" s="31"/>
      <c r="R962" s="31"/>
      <c r="S962" s="31"/>
      <c r="T962" s="31"/>
      <c r="U962" s="31"/>
    </row>
    <row r="963" spans="16:21" x14ac:dyDescent="0.2">
      <c r="P963" s="31"/>
      <c r="Q963" s="31"/>
      <c r="R963" s="31"/>
      <c r="S963" s="31"/>
      <c r="T963" s="31"/>
      <c r="U963" s="31"/>
    </row>
    <row r="964" spans="16:21" x14ac:dyDescent="0.2">
      <c r="P964" s="31"/>
      <c r="Q964" s="31"/>
      <c r="R964" s="31"/>
      <c r="S964" s="31"/>
      <c r="T964" s="31"/>
      <c r="U964" s="31"/>
    </row>
    <row r="965" spans="16:21" x14ac:dyDescent="0.2">
      <c r="P965" s="31"/>
      <c r="Q965" s="31"/>
      <c r="R965" s="31"/>
      <c r="S965" s="31"/>
      <c r="T965" s="31"/>
      <c r="U965" s="31"/>
    </row>
    <row r="966" spans="16:21" x14ac:dyDescent="0.2">
      <c r="P966" s="31"/>
      <c r="Q966" s="31"/>
      <c r="R966" s="31"/>
      <c r="S966" s="31"/>
      <c r="T966" s="31"/>
      <c r="U966" s="31"/>
    </row>
    <row r="967" spans="16:21" x14ac:dyDescent="0.2">
      <c r="P967" s="31"/>
      <c r="Q967" s="31"/>
      <c r="R967" s="31"/>
      <c r="S967" s="31"/>
      <c r="T967" s="31"/>
      <c r="U967" s="31"/>
    </row>
    <row r="968" spans="16:21" x14ac:dyDescent="0.2">
      <c r="P968" s="31"/>
      <c r="Q968" s="31"/>
      <c r="R968" s="31"/>
      <c r="S968" s="31"/>
      <c r="T968" s="31"/>
      <c r="U968" s="31"/>
    </row>
    <row r="969" spans="16:21" x14ac:dyDescent="0.2">
      <c r="P969" s="31"/>
      <c r="Q969" s="31"/>
      <c r="R969" s="31"/>
      <c r="S969" s="31"/>
      <c r="T969" s="31"/>
      <c r="U969" s="31"/>
    </row>
    <row r="970" spans="16:21" x14ac:dyDescent="0.2">
      <c r="P970" s="31"/>
      <c r="Q970" s="31"/>
      <c r="R970" s="31"/>
      <c r="S970" s="31"/>
      <c r="T970" s="31"/>
      <c r="U970" s="31"/>
    </row>
    <row r="971" spans="16:21" x14ac:dyDescent="0.2">
      <c r="P971" s="31"/>
      <c r="Q971" s="31"/>
      <c r="R971" s="31"/>
      <c r="S971" s="31"/>
      <c r="T971" s="31"/>
      <c r="U971" s="31"/>
    </row>
    <row r="972" spans="16:21" x14ac:dyDescent="0.2">
      <c r="P972" s="31"/>
      <c r="Q972" s="31"/>
      <c r="R972" s="31"/>
      <c r="S972" s="31"/>
      <c r="T972" s="31"/>
      <c r="U972" s="31"/>
    </row>
    <row r="973" spans="16:21" x14ac:dyDescent="0.2">
      <c r="P973" s="31"/>
      <c r="Q973" s="31"/>
      <c r="R973" s="31"/>
      <c r="S973" s="31"/>
      <c r="T973" s="31"/>
      <c r="U973" s="31"/>
    </row>
    <row r="974" spans="16:21" x14ac:dyDescent="0.2">
      <c r="P974" s="31"/>
      <c r="Q974" s="31"/>
      <c r="R974" s="31"/>
      <c r="S974" s="31"/>
      <c r="T974" s="31"/>
      <c r="U974" s="31"/>
    </row>
    <row r="975" spans="16:21" x14ac:dyDescent="0.2">
      <c r="P975" s="31"/>
      <c r="Q975" s="31"/>
      <c r="R975" s="31"/>
      <c r="S975" s="31"/>
      <c r="T975" s="31"/>
      <c r="U975" s="31"/>
    </row>
    <row r="976" spans="16:21" x14ac:dyDescent="0.2">
      <c r="P976" s="31"/>
      <c r="Q976" s="31"/>
      <c r="R976" s="31"/>
      <c r="S976" s="31"/>
      <c r="T976" s="31"/>
      <c r="U976" s="31"/>
    </row>
    <row r="977" spans="16:21" x14ac:dyDescent="0.2">
      <c r="P977" s="31"/>
      <c r="Q977" s="31"/>
      <c r="R977" s="31"/>
      <c r="S977" s="31"/>
      <c r="T977" s="31"/>
      <c r="U977" s="31"/>
    </row>
    <row r="978" spans="16:21" x14ac:dyDescent="0.2">
      <c r="P978" s="31"/>
      <c r="Q978" s="31"/>
      <c r="R978" s="31"/>
      <c r="S978" s="31"/>
      <c r="T978" s="31"/>
      <c r="U978" s="31"/>
    </row>
    <row r="979" spans="16:21" x14ac:dyDescent="0.2">
      <c r="P979" s="31"/>
      <c r="Q979" s="31"/>
      <c r="R979" s="31"/>
      <c r="S979" s="31"/>
      <c r="T979" s="31"/>
      <c r="U979" s="31"/>
    </row>
    <row r="980" spans="16:21" x14ac:dyDescent="0.2">
      <c r="P980" s="31"/>
      <c r="Q980" s="31"/>
      <c r="R980" s="31"/>
      <c r="S980" s="31"/>
      <c r="T980" s="31"/>
      <c r="U980" s="31"/>
    </row>
    <row r="981" spans="16:21" x14ac:dyDescent="0.2">
      <c r="P981" s="31"/>
      <c r="Q981" s="31"/>
      <c r="R981" s="31"/>
      <c r="S981" s="31"/>
      <c r="T981" s="31"/>
      <c r="U981" s="31"/>
    </row>
    <row r="982" spans="16:21" x14ac:dyDescent="0.2">
      <c r="P982" s="31"/>
      <c r="Q982" s="31"/>
      <c r="R982" s="31"/>
      <c r="S982" s="31"/>
      <c r="T982" s="31"/>
      <c r="U982" s="31"/>
    </row>
    <row r="983" spans="16:21" x14ac:dyDescent="0.2">
      <c r="P983" s="31"/>
      <c r="Q983" s="31"/>
      <c r="R983" s="31"/>
      <c r="S983" s="31"/>
      <c r="T983" s="31"/>
      <c r="U983" s="31"/>
    </row>
    <row r="984" spans="16:21" x14ac:dyDescent="0.2">
      <c r="P984" s="31"/>
      <c r="Q984" s="31"/>
      <c r="R984" s="31"/>
      <c r="S984" s="31"/>
      <c r="T984" s="31"/>
      <c r="U984" s="31"/>
    </row>
    <row r="985" spans="16:21" x14ac:dyDescent="0.2">
      <c r="P985" s="31"/>
      <c r="Q985" s="31"/>
      <c r="R985" s="31"/>
      <c r="S985" s="31"/>
      <c r="T985" s="31"/>
      <c r="U985" s="31"/>
    </row>
    <row r="986" spans="16:21" x14ac:dyDescent="0.2">
      <c r="P986" s="31"/>
      <c r="Q986" s="31"/>
      <c r="R986" s="31"/>
      <c r="S986" s="31"/>
      <c r="T986" s="31"/>
      <c r="U986" s="31"/>
    </row>
    <row r="987" spans="16:21" x14ac:dyDescent="0.2">
      <c r="P987" s="31"/>
      <c r="Q987" s="31"/>
      <c r="R987" s="31"/>
      <c r="S987" s="31"/>
      <c r="T987" s="31"/>
      <c r="U987" s="31"/>
    </row>
    <row r="988" spans="16:21" x14ac:dyDescent="0.2">
      <c r="P988" s="31"/>
      <c r="Q988" s="31"/>
      <c r="R988" s="31"/>
      <c r="S988" s="31"/>
      <c r="T988" s="31"/>
      <c r="U988" s="31"/>
    </row>
    <row r="989" spans="16:21" x14ac:dyDescent="0.2">
      <c r="P989" s="31"/>
      <c r="Q989" s="31"/>
      <c r="R989" s="31"/>
      <c r="S989" s="31"/>
      <c r="T989" s="31"/>
      <c r="U989" s="31"/>
    </row>
    <row r="990" spans="16:21" x14ac:dyDescent="0.2">
      <c r="P990" s="31"/>
      <c r="Q990" s="31"/>
      <c r="R990" s="31"/>
      <c r="S990" s="31"/>
      <c r="T990" s="31"/>
      <c r="U990" s="31"/>
    </row>
    <row r="991" spans="16:21" x14ac:dyDescent="0.2">
      <c r="P991" s="31"/>
      <c r="Q991" s="31"/>
      <c r="R991" s="31"/>
      <c r="S991" s="31"/>
      <c r="T991" s="31"/>
      <c r="U991" s="31"/>
    </row>
    <row r="992" spans="16:21" x14ac:dyDescent="0.2">
      <c r="P992" s="31"/>
      <c r="Q992" s="31"/>
      <c r="R992" s="31"/>
      <c r="S992" s="31"/>
      <c r="T992" s="31"/>
      <c r="U992" s="31"/>
    </row>
    <row r="993" spans="16:21" x14ac:dyDescent="0.2">
      <c r="P993" s="31"/>
      <c r="Q993" s="31"/>
      <c r="R993" s="31"/>
      <c r="S993" s="31"/>
      <c r="T993" s="31"/>
      <c r="U993" s="31"/>
    </row>
    <row r="994" spans="16:21" x14ac:dyDescent="0.2">
      <c r="P994" s="31"/>
      <c r="Q994" s="31"/>
      <c r="R994" s="31"/>
      <c r="S994" s="31"/>
      <c r="T994" s="31"/>
      <c r="U994" s="31"/>
    </row>
    <row r="995" spans="16:21" x14ac:dyDescent="0.2">
      <c r="P995" s="31"/>
      <c r="Q995" s="31"/>
      <c r="R995" s="31"/>
      <c r="S995" s="31"/>
      <c r="T995" s="31"/>
      <c r="U995" s="31"/>
    </row>
    <row r="996" spans="16:21" x14ac:dyDescent="0.2">
      <c r="P996" s="31"/>
      <c r="Q996" s="31"/>
      <c r="R996" s="31"/>
      <c r="S996" s="31"/>
      <c r="T996" s="31"/>
      <c r="U996" s="31"/>
    </row>
    <row r="997" spans="16:21" x14ac:dyDescent="0.2">
      <c r="P997" s="31"/>
      <c r="Q997" s="31"/>
      <c r="R997" s="31"/>
      <c r="S997" s="31"/>
      <c r="T997" s="31"/>
      <c r="U997" s="31"/>
    </row>
    <row r="998" spans="16:21" x14ac:dyDescent="0.2">
      <c r="P998" s="31"/>
      <c r="Q998" s="31"/>
      <c r="R998" s="31"/>
      <c r="S998" s="31"/>
      <c r="T998" s="31"/>
      <c r="U998" s="31"/>
    </row>
    <row r="999" spans="16:21" x14ac:dyDescent="0.2">
      <c r="P999" s="31"/>
      <c r="Q999" s="31"/>
      <c r="R999" s="31"/>
      <c r="S999" s="31"/>
      <c r="T999" s="31"/>
      <c r="U999" s="31"/>
    </row>
    <row r="1000" spans="16:21" x14ac:dyDescent="0.2">
      <c r="P1000" s="31"/>
      <c r="Q1000" s="31"/>
      <c r="R1000" s="31"/>
      <c r="S1000" s="31"/>
      <c r="T1000" s="31"/>
      <c r="U1000" s="31"/>
    </row>
  </sheetData>
  <protectedRanges>
    <protectedRange algorithmName="SHA-512" hashValue="20tZejZtY/ZGRcGLZm0ZbWfCu51ejQGMqdRYwv0b9rb/5Q/ejFDHQOXySZDQbnMuPhvZC4Bfbq/BWdBxp9Ls4w==" saltValue="Q+V8rXhHsE4u/j5xUQJeAg==" spinCount="100000" sqref="B27:B73 B98:B144 B169:B215" name="Диапазон1_9_1_1_1_1_1"/>
  </protectedRanges>
  <mergeCells count="2">
    <mergeCell ref="S1:T1"/>
    <mergeCell ref="P1:R1"/>
  </mergeCells>
  <phoneticPr fontId="4" type="noConversion"/>
  <hyperlinks>
    <hyperlink ref="B6" r:id="rId1" xr:uid="{AFA05B23-56D4-814A-A51C-69D88AED4707}"/>
    <hyperlink ref="B5" r:id="rId2" xr:uid="{6334D855-204A-4547-9CA7-44412AD6363D}"/>
    <hyperlink ref="B4" r:id="rId3" display="https://drive.google.com/file/d/13pxE5U2tLBQJtVn3q7NJvkIa7_94tavU/view?usp=drive_link" xr:uid="{07C767AA-B7B5-5243-8B31-16EBCE2125E9}"/>
    <hyperlink ref="B3" r:id="rId4" display="https://drive.google.com/file/d/1X4MzPyLpohXkyO7bDyikOSc0IyE0zjUe/view?usp=share_link" xr:uid="{7DE952FC-A187-324E-A89E-7DB5A817F0A8}"/>
    <hyperlink ref="B10" r:id="rId5" xr:uid="{8013DA00-FCB1-134B-90ED-5871CDAC30D8}"/>
    <hyperlink ref="B7" r:id="rId6" xr:uid="{C0896E8C-3AF5-F847-AB6F-199B77F01AEB}"/>
    <hyperlink ref="B8" r:id="rId7" xr:uid="{453481DE-45BB-E446-8D92-D03DDB6FDA01}"/>
    <hyperlink ref="B9" r:id="rId8" display="https://drive.google.com/file/d/1D0XRYili1zXCVBsHk0HavnWrzGWSwcsH/view?usp=share_link" xr:uid="{A6E5045D-2528-3746-9C0B-3C7B7980852A}"/>
    <hyperlink ref="B11" r:id="rId9" xr:uid="{C51F4617-D2CE-DB4A-9C3C-6FC74337A467}"/>
    <hyperlink ref="B12" r:id="rId10" xr:uid="{AF25150C-0E14-B94B-9D9B-55743C114727}"/>
    <hyperlink ref="B13" r:id="rId11" xr:uid="{6AFB8277-9C67-9F45-87EA-54C247A01F0A}"/>
    <hyperlink ref="B14" r:id="rId12" xr:uid="{273490B0-26D5-704C-9D4D-26915503FDCF}"/>
    <hyperlink ref="B15" r:id="rId13" xr:uid="{CE047F9C-F728-AF47-BD3F-52296192DC2C}"/>
    <hyperlink ref="B17" r:id="rId14" xr:uid="{0A212D6C-36B2-9A4D-AE2E-AE521DEBE3FE}"/>
    <hyperlink ref="B16" r:id="rId15" xr:uid="{BB31264F-6E61-5647-B141-B8EF5AC07C66}"/>
    <hyperlink ref="B20" r:id="rId16" xr:uid="{F485AAC4-53EA-3346-B77F-A19C33C6916E}"/>
    <hyperlink ref="B19" r:id="rId17" xr:uid="{79CFA11B-C160-DE43-B97F-50F4A4694646}"/>
    <hyperlink ref="B18" r:id="rId18" xr:uid="{F23BBE3F-DD27-BC48-B629-0A82F5166F8E}"/>
    <hyperlink ref="B21" r:id="rId19" xr:uid="{EAD58932-D914-694E-A6A8-65E23B4FD35E}"/>
    <hyperlink ref="B22" r:id="rId20" display="https://drive.google.com/file/d/1VbEovqrLDsQ2dddK_3hKxvts7hCeWUg8/view?usp=share_link" xr:uid="{595E1700-7939-6048-8A9A-497E9C980717}"/>
    <hyperlink ref="B23" r:id="rId21" display="https://drive.google.com/file/d/1xmsCIvLjN2RMl6Pzt1uH0mogh96yQDUR/view?usp=drive_link" xr:uid="{20FFDB93-499D-2B4E-A0D0-BC25CD595044}"/>
    <hyperlink ref="B24" r:id="rId22" display="https://drive.google.com/file/d/1-_Pz5t6VNz6sIfEb7SIaiQtPCQFeNnSh/view?usp=share_link" xr:uid="{8EE06438-FF0E-8D48-9E99-1EE519093374}"/>
    <hyperlink ref="B25" r:id="rId23" display="https://drive.google.com/file/d/1XQMaKcaMiZagTd5meIVZtiw-yEiuXdRE/view?usp=share_link" xr:uid="{FEB064B0-CC48-FE4E-9D49-CA52C9909701}"/>
    <hyperlink ref="B26" r:id="rId24" display="https://drive.google.com/file/d/1WKU4ALcfGxWjE0Jei01HVHWipKw4pKWs/view?usp=share_link" xr:uid="{CA330A50-B468-374F-81FA-A0BF209CBE86}"/>
    <hyperlink ref="B27" r:id="rId25" display="https://drive.google.com/file/d/1hxEaZrQobTzYpc-MNOyj-gMtGOMltt7J/view?usp=sharing" xr:uid="{AEF98FAA-A987-024A-B582-4AB042543D3F}"/>
    <hyperlink ref="B28" r:id="rId26" display="https://drive.google.com/file/d/1jGc72dQgEBmA678zSfJKUGk5C4OoB53Q/view?usp=sharing" xr:uid="{271337FE-4498-524E-BE43-80AD48BDBD36}"/>
    <hyperlink ref="B29" r:id="rId27" display="https://drive.google.com/file/d/1FLlNBupcjSkQ3SH0f6Vsyvtj23fAG5-K/view?usp=sharing" xr:uid="{9C6BED36-CCB5-414E-B94B-7CA24F2A6B8D}"/>
    <hyperlink ref="B30" r:id="rId28" display="https://drive.google.com/file/d/1wNbKCTCkLv46KYIKxXck4xW0wruPSbJq/view?usp=sharing" xr:uid="{7D4D9B0C-40CF-FE4E-ABC0-6A46D9C51D4D}"/>
    <hyperlink ref="B31" r:id="rId29" display="https://drive.google.com/file/d/1pvc1ze9XaDa9zXqrR_L4HnuviO57fuh2/view?usp=sharing" xr:uid="{887740EF-6DCA-E94E-9F85-6B323FD5FFDF}"/>
    <hyperlink ref="B32" r:id="rId30" display="https://drive.google.com/file/d/1Ix2D3ZraAvY9TY6kxCjzkZzDsBV3UJCi/view?usp=sharing" xr:uid="{41D9D19C-7FA2-4849-B0E4-847505ABA53E}"/>
    <hyperlink ref="B33" r:id="rId31" display="https://drive.google.com/file/d/1MVN6-eZ7QEbfKrj06CNiepS2nYnd2rxS/view?usp=sharing" xr:uid="{2768C252-76BF-5F48-8F52-0AA5E40200DB}"/>
    <hyperlink ref="B34" r:id="rId32" display="https://drive.google.com/file/d/1Op8OmCxt0XlAMLRGGpST2gaNFR7gV4sL/view?usp=sharing" xr:uid="{99388554-1402-774B-B0ED-CF0B8E881CCB}"/>
    <hyperlink ref="B35" r:id="rId33" display="https://drive.google.com/file/d/1VUOJr_-pgS1AS3ugYs5_lKDD7zl0Npvd/view?usp=sharing" xr:uid="{F2B34B2F-36F9-8C44-B3E2-7BA4F825B709}"/>
    <hyperlink ref="B36" r:id="rId34" display="https://drive.google.com/file/d/1YSk_GvU6-OZEd87kx63F09Zp4hAXNjcb/view?usp=sharing" xr:uid="{6399956F-28F5-074D-BD12-2A69A642A635}"/>
    <hyperlink ref="B37" r:id="rId35" display="https://drive.google.com/file/d/1vMTm7KCKRC1kRx6Pe9J_15irWa8XE1ko/view?usp=sharing" xr:uid="{71E8EAB6-DC52-AA4F-B069-456C3728294E}"/>
    <hyperlink ref="B38" r:id="rId36" display="https://drive.google.com/file/d/1zapDlGMlZnuYYnJmjvBlHkMmcPNMVKZZ/view?usp=sharing" xr:uid="{337A1411-77F3-154E-992C-F0A4356D4EA2}"/>
    <hyperlink ref="B39" r:id="rId37" xr:uid="{61F2C349-8747-F54C-891A-174E917FA298}"/>
    <hyperlink ref="B40" r:id="rId38" xr:uid="{6C6AB861-3AAB-AF47-B40F-834E4E53BF1B}"/>
    <hyperlink ref="B41" r:id="rId39" xr:uid="{B48FC40B-3026-E244-9367-429EFEEA4D5C}"/>
    <hyperlink ref="B42" r:id="rId40" xr:uid="{C3556F19-A4E9-EB4B-B286-871FA5CD4E07}"/>
    <hyperlink ref="B43" r:id="rId41" xr:uid="{E28F5BBF-A88F-6146-ACC0-9A4DB3C7E140}"/>
    <hyperlink ref="B44" r:id="rId42" xr:uid="{8DD2B005-3E6F-B04D-938B-A6C1F8E1E70B}"/>
    <hyperlink ref="B45" r:id="rId43" display="https://drive.google.com/file/d/1DzmTd2W0fVYnUbawAvP7q80z4yuWFkJg/view?usp=sharing" xr:uid="{C5D4354E-6403-0540-8B4E-9607C13E0014}"/>
    <hyperlink ref="B46" r:id="rId44" display="https://drive.google.com/file/d/1xywnr82eM7e4EtwnAtz-8v4Pr33bkskc/view?usp=sharing" xr:uid="{ED9D67FB-4F3D-6642-9565-1BAA8C8C2C46}"/>
    <hyperlink ref="B47" r:id="rId45" display="https://drive.google.com/file/d/1C6go8NsQQmGjifEQe0XfPuNIt4ntS_TM/view?usp=sharing" xr:uid="{DEA0B2E5-5482-AC49-9E88-D9E599C67C78}"/>
    <hyperlink ref="B48" r:id="rId46" display="https://drive.google.com/file/d/1jAQjK1cnGnFZ5mMp058TvesLjmkHmCOy/view?usp=sharing" xr:uid="{F4939E69-0F05-A54D-9E5C-683BF47ED550}"/>
    <hyperlink ref="B49" r:id="rId47" display="https://drive.google.com/file/d/1nFtI7bu--IhW_c_po6oCbgrFnxYkMZmv/view?usp=sharing" xr:uid="{AD459759-A55E-5D4B-9D99-4FD53C1FD684}"/>
    <hyperlink ref="B50" r:id="rId48" display="https://drive.google.com/file/d/1oxvFJUj1-TFWvuQRG7Do9ZXo7pyqmaGW/view?usp=sharing" xr:uid="{328B1633-EDE2-C040-89F5-EAF85F6BE83C}"/>
    <hyperlink ref="B51" r:id="rId49" display="https://drive.google.com/file/d/1ZlxZf69d2DqnPnL1VXsl3mX7lxRpISVw/view?usp=sharing" xr:uid="{91D7F561-0534-AB4A-9D2D-34BCC9F336D9}"/>
    <hyperlink ref="B52" r:id="rId50" display="https://drive.google.com/file/d/1Xecmfx_3-AtGUmoSSbhxzHXisRm8AXj9/view?usp=sharing" xr:uid="{8C4C5544-159A-B643-BA78-66B9EA7C4D64}"/>
    <hyperlink ref="B53" r:id="rId51" display="https://drive.google.com/file/d/1gFeF3mKWvJL1NB6P2SL-hF-P1EDYiR2w/view?usp=sharing" xr:uid="{9FF3223C-E74F-044A-8C3D-1C5124ADFC0D}"/>
    <hyperlink ref="B54" r:id="rId52" display="https://drive.google.com/file/d/1UvFPM6EDdysoq-Z_-GkNml3yvw3Ox8GD/view?usp=sharing" xr:uid="{78B41893-6B35-F546-BB04-BDBD75AD11E8}"/>
    <hyperlink ref="B55" r:id="rId53" display="https://drive.google.com/file/d/1v2WhAr4OpRkuLQP6uJqdqsLh-x5BE4u6/view?usp=sharing" xr:uid="{68586C5C-F96F-724A-BA6A-5065645792D8}"/>
    <hyperlink ref="B56" r:id="rId54" display="https://drive.google.com/file/d/1ATryWPmNiU4mmgQlXrfIoT0p0xV_N1Z9/view?usp=sharing" xr:uid="{D28B233B-1CEC-8C40-9834-1B6023302A33}"/>
    <hyperlink ref="B57" r:id="rId55" display="https://drive.google.com/file/d/1qAvd3STawtYNJtqG4y5BVfv0CAfK5ej2/view?usp=sharing" xr:uid="{B8CA72B2-583D-4644-B18A-53B7D2EC636F}"/>
    <hyperlink ref="B58" r:id="rId56" display="https://drive.google.com/file/d/1A4aL67utV2K8YzQpmGLGIrVFl-G59uQr/view?usp=sharing" xr:uid="{15737E20-ED3C-3D4D-9CC2-62ABE0B2BC0D}"/>
    <hyperlink ref="B59" r:id="rId57" display="https://drive.google.com/file/d/1S-pSPNhksNs0eTmdsl6UjgTcrgqYHqx-/view?usp=sharing" xr:uid="{05FF6911-780E-2941-B76E-C2619C3DE934}"/>
    <hyperlink ref="B60" r:id="rId58" display="https://drive.google.com/file/d/1lRWwko0U8qwBpMx1wJhFIi11G6DoWm4H/view?usp=sharing" xr:uid="{2A204FE0-43D9-7A40-953C-0C948F14D829}"/>
    <hyperlink ref="B61" r:id="rId59" display="https://drive.google.com/file/d/1KLFW2CfPFzED_qn56V4TZhhxNesAl01g/view?usp=sharing" xr:uid="{984A822F-AFB9-2D4A-9BAC-798F1EE1F28E}"/>
    <hyperlink ref="B62" r:id="rId60" display="https://drive.google.com/file/d/1B7HyiBCH1WA26VNLLscTZPfdrU54FM0W/view?usp=sharing" xr:uid="{D29C27DA-43CB-634E-B5E0-E7C663332A3C}"/>
    <hyperlink ref="B63" r:id="rId61" display="https://drive.google.com/file/d/19KWhq7ff9uHpLUqt9rh4Xh6gr8UMmFq3/view?usp=sharing" xr:uid="{618404B9-79DB-DD41-9AFE-2AB86ABC64BE}"/>
    <hyperlink ref="B64" r:id="rId62" display="https://drive.google.com/file/d/16DOWyaHfPapR_E09Yq9ZNgz6I5L9uaoR/view?usp=sharing" xr:uid="{8FA998A7-10E4-D649-A273-2667D8E7FB76}"/>
    <hyperlink ref="B65" r:id="rId63" display="https://drive.google.com/file/d/1TZ6wUxG5eRajjfI5WOIcbwXftjOz8b3X/view?usp=sharing" xr:uid="{3835D649-A0AF-3943-A295-B33348729667}"/>
    <hyperlink ref="B66" r:id="rId64" display="https://drive.google.com/file/d/11jvvpVYYUhpXZVLmFWh724o0GGCkQdCg/view?usp=sharing" xr:uid="{BB05BB39-6494-754E-A7E7-E68351CC73BD}"/>
    <hyperlink ref="B67" r:id="rId65" display="https://drive.google.com/file/d/1hU7dDX2bWAq4p314buatHA4tfDFA1Pq5/view?usp=sharing" xr:uid="{5AD8A351-87AE-7142-921B-634D70832C1D}"/>
    <hyperlink ref="B68" r:id="rId66" display="https://drive.google.com/file/d/1H5FJc-JJq73SFyfUDdXNELZf0UpKye9s/view?usp=sharing" xr:uid="{39CE7058-2216-2744-9BC1-D13A4DE07B93}"/>
    <hyperlink ref="B69" r:id="rId67" display="https://drive.google.com/file/d/1sGAcbYyq5Djc2A4LoHDYRpdh-Uby-tBz/view?usp=sharing" xr:uid="{D3427A82-A673-0340-B94F-F5A76FA396F7}"/>
    <hyperlink ref="B70" r:id="rId68" display="https://drive.google.com/file/d/18Pz95CwQFPcePbnoUt8o6417avP4Sskz/view?usp=sharing" xr:uid="{DFAA5E5C-9BA9-D842-894B-AEA69A05F87C}"/>
    <hyperlink ref="B71" r:id="rId69" display="https://drive.google.com/file/d/1Xn1B4Ty5XJYFP_EDbatJkn47fCFG-aOJ/view?usp=sharing" xr:uid="{80F45377-C83B-E94E-8E94-380B584CED68}"/>
    <hyperlink ref="B72" r:id="rId70" display="https://drive.google.com/file/d/16g3SKig4mD9yNk86XXOIHJeLnPwjcfpH/view?usp=sharing" xr:uid="{5DBD49D9-149D-344D-A523-B998FACD9610}"/>
    <hyperlink ref="B73" r:id="rId71" display="https://drive.google.com/file/d/18gNOJv0-bePabF7QmFtYmHS0qiI3yl1G/view?usp=sharing" xr:uid="{D54BF6F4-2C33-974F-BDB1-B5A05EB16D40}"/>
    <hyperlink ref="B77" r:id="rId72" xr:uid="{5FF0F3B8-947B-6C4F-A6F0-6FB7D2DCD5AD}"/>
    <hyperlink ref="B76" r:id="rId73" xr:uid="{01559B14-D7A8-8B46-B4E1-971C32901ABE}"/>
    <hyperlink ref="B75" r:id="rId74" display="https://drive.google.com/file/d/13pxE5U2tLBQJtVn3q7NJvkIa7_94tavU/view?usp=drive_link" xr:uid="{A89B93BD-F430-AD40-B511-9CCAF2728E3B}"/>
    <hyperlink ref="B74" r:id="rId75" display="https://drive.google.com/file/d/1X4MzPyLpohXkyO7bDyikOSc0IyE0zjUe/view?usp=share_link" xr:uid="{DD4B050C-DC0F-FE41-A0C7-344C8EB51036}"/>
    <hyperlink ref="B81" r:id="rId76" xr:uid="{F1D8A2C8-72BF-3945-A6F1-FDD5C3B7020D}"/>
    <hyperlink ref="B78" r:id="rId77" xr:uid="{89CC450F-CA9A-0942-A8F8-E372A9E66F42}"/>
    <hyperlink ref="B79" r:id="rId78" xr:uid="{31EDC3F4-F63B-B64C-B054-D55880BB102A}"/>
    <hyperlink ref="B80" r:id="rId79" display="https://drive.google.com/file/d/1D0XRYili1zXCVBsHk0HavnWrzGWSwcsH/view?usp=share_link" xr:uid="{0740B7C1-36B1-164E-8AB6-38C7E46FD45D}"/>
    <hyperlink ref="B82" r:id="rId80" xr:uid="{E0450236-A181-3946-B674-6A6082FFBDA3}"/>
    <hyperlink ref="B83" r:id="rId81" xr:uid="{29A31E08-1E97-074B-AD71-D0A37EC6413C}"/>
    <hyperlink ref="B84" r:id="rId82" xr:uid="{79309E6A-59C1-6941-8550-CF90D422A42E}"/>
    <hyperlink ref="B85" r:id="rId83" xr:uid="{C233A552-BC22-7244-BEAB-EFB55D1A1D1A}"/>
    <hyperlink ref="B86" r:id="rId84" xr:uid="{BD0D867F-00D7-444A-A71F-0C1A6019F4A9}"/>
    <hyperlink ref="B88" r:id="rId85" xr:uid="{8A3C058C-B9AE-7F4A-8568-F96DFC42693D}"/>
    <hyperlink ref="B87" r:id="rId86" xr:uid="{C2DDF497-923A-0249-B1C8-D1CC08490708}"/>
    <hyperlink ref="B91" r:id="rId87" xr:uid="{BC770996-6ABE-B749-896B-192E045DFE9C}"/>
    <hyperlink ref="B90" r:id="rId88" xr:uid="{83E2DB80-9237-9840-9C0E-35C60B150399}"/>
    <hyperlink ref="B89" r:id="rId89" xr:uid="{8501D1A5-DD41-9749-BB54-236F0603CDB1}"/>
    <hyperlink ref="B92" r:id="rId90" xr:uid="{31782CBB-1EEA-D340-AE90-0313700204BF}"/>
    <hyperlink ref="B93" r:id="rId91" display="https://drive.google.com/file/d/1VbEovqrLDsQ2dddK_3hKxvts7hCeWUg8/view?usp=share_link" xr:uid="{89EDB2EA-FD46-A440-8A04-4BE86FE9E2F0}"/>
    <hyperlink ref="B94" r:id="rId92" display="https://drive.google.com/file/d/1xmsCIvLjN2RMl6Pzt1uH0mogh96yQDUR/view?usp=drive_link" xr:uid="{965D004B-6F14-8443-B3AA-E1DE0BB1625A}"/>
    <hyperlink ref="B95" r:id="rId93" display="https://drive.google.com/file/d/1-_Pz5t6VNz6sIfEb7SIaiQtPCQFeNnSh/view?usp=share_link" xr:uid="{2463391A-5F6A-6A4F-A5AB-60A9435F53C9}"/>
    <hyperlink ref="B96" r:id="rId94" display="https://drive.google.com/file/d/1XQMaKcaMiZagTd5meIVZtiw-yEiuXdRE/view?usp=share_link" xr:uid="{85427AE5-7A3B-9341-934F-0867B7A49E80}"/>
    <hyperlink ref="B97" r:id="rId95" display="https://drive.google.com/file/d/1WKU4ALcfGxWjE0Jei01HVHWipKw4pKWs/view?usp=share_link" xr:uid="{C79571CE-1E78-1241-83D2-9ACE57E462ED}"/>
    <hyperlink ref="B98" r:id="rId96" display="https://drive.google.com/file/d/1hxEaZrQobTzYpc-MNOyj-gMtGOMltt7J/view?usp=sharing" xr:uid="{E151D842-7BAD-E44D-BC17-1D4626936B5E}"/>
    <hyperlink ref="B99" r:id="rId97" display="https://drive.google.com/file/d/1jGc72dQgEBmA678zSfJKUGk5C4OoB53Q/view?usp=sharing" xr:uid="{02218ADC-4074-C644-B36E-C40373EB7730}"/>
    <hyperlink ref="B100" r:id="rId98" display="https://drive.google.com/file/d/1FLlNBupcjSkQ3SH0f6Vsyvtj23fAG5-K/view?usp=sharing" xr:uid="{BEB6BE3C-50CD-F04D-AD74-EB61918DFE0F}"/>
    <hyperlink ref="B101" r:id="rId99" display="https://drive.google.com/file/d/1wNbKCTCkLv46KYIKxXck4xW0wruPSbJq/view?usp=sharing" xr:uid="{6F6F32A5-CB95-DE4E-B929-D580C252F9EC}"/>
    <hyperlink ref="B102" r:id="rId100" display="https://drive.google.com/file/d/1pvc1ze9XaDa9zXqrR_L4HnuviO57fuh2/view?usp=sharing" xr:uid="{A16E62C0-5E13-D04E-A4AB-AAEC51DF1B4D}"/>
    <hyperlink ref="B103" r:id="rId101" display="https://drive.google.com/file/d/1Ix2D3ZraAvY9TY6kxCjzkZzDsBV3UJCi/view?usp=sharing" xr:uid="{A1D4C469-D50F-0243-B573-0D6633953547}"/>
    <hyperlink ref="B104" r:id="rId102" display="https://drive.google.com/file/d/1MVN6-eZ7QEbfKrj06CNiepS2nYnd2rxS/view?usp=sharing" xr:uid="{7CCC605F-72B8-C142-BB75-C052BCA97F00}"/>
    <hyperlink ref="B105" r:id="rId103" display="https://drive.google.com/file/d/1Op8OmCxt0XlAMLRGGpST2gaNFR7gV4sL/view?usp=sharing" xr:uid="{53CCD520-4416-854D-92AA-D57539CC47D0}"/>
    <hyperlink ref="B106" r:id="rId104" display="https://drive.google.com/file/d/1VUOJr_-pgS1AS3ugYs5_lKDD7zl0Npvd/view?usp=sharing" xr:uid="{2DCBB5DF-FB84-614B-9104-2912B60ECFBE}"/>
    <hyperlink ref="B107" r:id="rId105" display="https://drive.google.com/file/d/1YSk_GvU6-OZEd87kx63F09Zp4hAXNjcb/view?usp=sharing" xr:uid="{CF9E67B4-2598-4540-9845-378DE816F415}"/>
    <hyperlink ref="B108" r:id="rId106" display="https://drive.google.com/file/d/1vMTm7KCKRC1kRx6Pe9J_15irWa8XE1ko/view?usp=sharing" xr:uid="{9AC164C7-FA8E-4D41-9ABC-0EAD11F6F854}"/>
    <hyperlink ref="B109" r:id="rId107" display="https://drive.google.com/file/d/1zapDlGMlZnuYYnJmjvBlHkMmcPNMVKZZ/view?usp=sharing" xr:uid="{F710026E-1693-144B-A6DA-2659CFB46C3C}"/>
    <hyperlink ref="B110" r:id="rId108" xr:uid="{6BC5EE82-3E7D-8E4A-A44D-5D7FE5BB5604}"/>
    <hyperlink ref="B111" r:id="rId109" xr:uid="{66F86F50-FE37-444A-B7DF-1726F093857A}"/>
    <hyperlink ref="B112" r:id="rId110" xr:uid="{ED153AA6-78AC-B444-8279-2F7517CD2635}"/>
    <hyperlink ref="B113" r:id="rId111" xr:uid="{B409C16D-F487-2440-A42B-8A5CA6FCD62F}"/>
    <hyperlink ref="B114" r:id="rId112" xr:uid="{81E8799A-BE5D-B549-BB6B-A4E99E69B05D}"/>
    <hyperlink ref="B115" r:id="rId113" xr:uid="{88B201FD-E1AA-C646-A0B3-4A8A2E3E9237}"/>
    <hyperlink ref="B116" r:id="rId114" display="https://drive.google.com/file/d/1DzmTd2W0fVYnUbawAvP7q80z4yuWFkJg/view?usp=sharing" xr:uid="{C88DD140-D02D-9544-BE1C-A70285C0FD7B}"/>
    <hyperlink ref="B117" r:id="rId115" display="https://drive.google.com/file/d/1xywnr82eM7e4EtwnAtz-8v4Pr33bkskc/view?usp=sharing" xr:uid="{C0AD67AA-7F32-7E43-B953-4BDD0308611A}"/>
    <hyperlink ref="B118" r:id="rId116" display="https://drive.google.com/file/d/1C6go8NsQQmGjifEQe0XfPuNIt4ntS_TM/view?usp=sharing" xr:uid="{072D1F92-FF27-CC41-B3F2-A8C0FE9B1A96}"/>
    <hyperlink ref="B119" r:id="rId117" display="https://drive.google.com/file/d/1jAQjK1cnGnFZ5mMp058TvesLjmkHmCOy/view?usp=sharing" xr:uid="{F2B02646-5B04-534D-9807-F6AF8ECBC832}"/>
    <hyperlink ref="B120" r:id="rId118" display="https://drive.google.com/file/d/1nFtI7bu--IhW_c_po6oCbgrFnxYkMZmv/view?usp=sharing" xr:uid="{EED19A03-8707-9B45-A12D-EA6CF0C50902}"/>
    <hyperlink ref="B121" r:id="rId119" display="https://drive.google.com/file/d/1oxvFJUj1-TFWvuQRG7Do9ZXo7pyqmaGW/view?usp=sharing" xr:uid="{E7FC7B35-3831-6D48-945D-C7DF65D20E37}"/>
    <hyperlink ref="B122" r:id="rId120" display="https://drive.google.com/file/d/1ZlxZf69d2DqnPnL1VXsl3mX7lxRpISVw/view?usp=sharing" xr:uid="{6325B8AB-6EF9-DC46-B86E-84FC279DB30A}"/>
    <hyperlink ref="B123" r:id="rId121" display="https://drive.google.com/file/d/1Xecmfx_3-AtGUmoSSbhxzHXisRm8AXj9/view?usp=sharing" xr:uid="{D7A904E3-494B-464F-874C-3E187DC5E5BF}"/>
    <hyperlink ref="B124" r:id="rId122" display="https://drive.google.com/file/d/1gFeF3mKWvJL1NB6P2SL-hF-P1EDYiR2w/view?usp=sharing" xr:uid="{4A76F4E5-9389-AD49-9B53-4270082D37FC}"/>
    <hyperlink ref="B125" r:id="rId123" display="https://drive.google.com/file/d/1UvFPM6EDdysoq-Z_-GkNml3yvw3Ox8GD/view?usp=sharing" xr:uid="{CDD7F8EC-0FB0-8E43-B47C-5702C20B5E24}"/>
    <hyperlink ref="B126" r:id="rId124" display="https://drive.google.com/file/d/1v2WhAr4OpRkuLQP6uJqdqsLh-x5BE4u6/view?usp=sharing" xr:uid="{92722155-63E1-7249-B388-103A56CABA32}"/>
    <hyperlink ref="B127" r:id="rId125" display="https://drive.google.com/file/d/1ATryWPmNiU4mmgQlXrfIoT0p0xV_N1Z9/view?usp=sharing" xr:uid="{025AB504-5B6B-8C41-B16D-72C24CA68E67}"/>
    <hyperlink ref="B128" r:id="rId126" display="https://drive.google.com/file/d/1qAvd3STawtYNJtqG4y5BVfv0CAfK5ej2/view?usp=sharing" xr:uid="{BCA52C4B-CED2-6046-916F-FE33F3B51945}"/>
    <hyperlink ref="B129" r:id="rId127" display="https://drive.google.com/file/d/1A4aL67utV2K8YzQpmGLGIrVFl-G59uQr/view?usp=sharing" xr:uid="{22915226-0604-454F-8CDD-0A6264994CA0}"/>
    <hyperlink ref="B130" r:id="rId128" display="https://drive.google.com/file/d/1S-pSPNhksNs0eTmdsl6UjgTcrgqYHqx-/view?usp=sharing" xr:uid="{F9DFCFAB-33D3-EB43-B1B7-968F8D0EBA2D}"/>
    <hyperlink ref="B131" r:id="rId129" display="https://drive.google.com/file/d/1lRWwko0U8qwBpMx1wJhFIi11G6DoWm4H/view?usp=sharing" xr:uid="{E48F872C-3B4E-E447-AAAF-E7D9AA415E21}"/>
    <hyperlink ref="B132" r:id="rId130" display="https://drive.google.com/file/d/1KLFW2CfPFzED_qn56V4TZhhxNesAl01g/view?usp=sharing" xr:uid="{1C7455F6-D4B1-5348-A838-95677E27AA99}"/>
    <hyperlink ref="B133" r:id="rId131" display="https://drive.google.com/file/d/1B7HyiBCH1WA26VNLLscTZPfdrU54FM0W/view?usp=sharing" xr:uid="{85789115-F6F7-154A-BEC8-43FA27B6B77B}"/>
    <hyperlink ref="B134" r:id="rId132" display="https://drive.google.com/file/d/19KWhq7ff9uHpLUqt9rh4Xh6gr8UMmFq3/view?usp=sharing" xr:uid="{A23D3F48-247F-744E-B921-CE4EA4CE79BF}"/>
    <hyperlink ref="B135" r:id="rId133" display="https://drive.google.com/file/d/16DOWyaHfPapR_E09Yq9ZNgz6I5L9uaoR/view?usp=sharing" xr:uid="{0EACB36C-1BD9-3841-8076-FB42F59DC7AC}"/>
    <hyperlink ref="B136" r:id="rId134" display="https://drive.google.com/file/d/1TZ6wUxG5eRajjfI5WOIcbwXftjOz8b3X/view?usp=sharing" xr:uid="{45AF4B80-D7C9-5B40-9193-7F2F167A87CE}"/>
    <hyperlink ref="B137" r:id="rId135" display="https://drive.google.com/file/d/11jvvpVYYUhpXZVLmFWh724o0GGCkQdCg/view?usp=sharing" xr:uid="{10562291-09B3-CC4E-A134-86D6756A9BC4}"/>
    <hyperlink ref="B138" r:id="rId136" display="https://drive.google.com/file/d/1hU7dDX2bWAq4p314buatHA4tfDFA1Pq5/view?usp=sharing" xr:uid="{45240CF2-8950-944B-977D-88F7EA9DAD31}"/>
    <hyperlink ref="B139" r:id="rId137" display="https://drive.google.com/file/d/1H5FJc-JJq73SFyfUDdXNELZf0UpKye9s/view?usp=sharing" xr:uid="{5ABFF557-C066-8545-9513-386B62C525C0}"/>
    <hyperlink ref="B140" r:id="rId138" display="https://drive.google.com/file/d/1sGAcbYyq5Djc2A4LoHDYRpdh-Uby-tBz/view?usp=sharing" xr:uid="{E0C3DA5B-2010-FF4B-B2D6-0B5D87B58728}"/>
    <hyperlink ref="B141" r:id="rId139" display="https://drive.google.com/file/d/18Pz95CwQFPcePbnoUt8o6417avP4Sskz/view?usp=sharing" xr:uid="{2071F17A-1B5B-BC4A-8E5C-64004E66B280}"/>
    <hyperlink ref="B142" r:id="rId140" display="https://drive.google.com/file/d/1Xn1B4Ty5XJYFP_EDbatJkn47fCFG-aOJ/view?usp=sharing" xr:uid="{FCCE8486-25F8-4F42-B4DD-56E7A2A71004}"/>
    <hyperlink ref="B143" r:id="rId141" display="https://drive.google.com/file/d/16g3SKig4mD9yNk86XXOIHJeLnPwjcfpH/view?usp=sharing" xr:uid="{344FE4E6-C960-FC48-9E59-79D404E0209F}"/>
    <hyperlink ref="B144" r:id="rId142" display="https://drive.google.com/file/d/18gNOJv0-bePabF7QmFtYmHS0qiI3yl1G/view?usp=sharing" xr:uid="{0DADA971-D131-344B-AEB5-51CD939BBFCD}"/>
    <hyperlink ref="B148" r:id="rId143" xr:uid="{7818A10C-A852-A141-9CF9-4BADF00BBB50}"/>
    <hyperlink ref="B147" r:id="rId144" xr:uid="{904EDDDE-2D46-694E-9427-B9C8817B1C04}"/>
    <hyperlink ref="B146" r:id="rId145" display="https://drive.google.com/file/d/13pxE5U2tLBQJtVn3q7NJvkIa7_94tavU/view?usp=drive_link" xr:uid="{633CE929-7802-AB4F-A888-9B4630E8B4AF}"/>
    <hyperlink ref="B145" r:id="rId146" display="https://drive.google.com/file/d/1X4MzPyLpohXkyO7bDyikOSc0IyE0zjUe/view?usp=share_link" xr:uid="{2E1383D6-113B-B74B-9E61-9A564F6CC9D7}"/>
    <hyperlink ref="B152" r:id="rId147" xr:uid="{7516C654-9B2C-3F48-BF2F-D9D1145DB808}"/>
    <hyperlink ref="B149" r:id="rId148" xr:uid="{C7AE6428-E3F4-334E-9855-36FADD3E9521}"/>
    <hyperlink ref="B150" r:id="rId149" xr:uid="{80AC1357-7777-6C4E-8554-81034DD81112}"/>
    <hyperlink ref="B151" r:id="rId150" display="https://drive.google.com/file/d/1D0XRYili1zXCVBsHk0HavnWrzGWSwcsH/view?usp=share_link" xr:uid="{CB9D4103-215C-D34B-8DF7-1A8CA076A939}"/>
    <hyperlink ref="B153" r:id="rId151" xr:uid="{5D4C2C0A-0C4E-7E4F-988C-437C4ED2FADF}"/>
    <hyperlink ref="B154" r:id="rId152" xr:uid="{604F2D03-F7ED-794D-8481-EE8337A04245}"/>
    <hyperlink ref="B155" r:id="rId153" xr:uid="{CD84947E-0A0F-2842-8F1F-388D323A1891}"/>
    <hyperlink ref="B156" r:id="rId154" xr:uid="{060B1443-B8A2-F24C-9818-38C07BC1931A}"/>
    <hyperlink ref="B157" r:id="rId155" xr:uid="{F7AF856B-A1FA-204B-93A8-77918EC08513}"/>
    <hyperlink ref="B159" r:id="rId156" xr:uid="{51DFAA01-F6BE-BE41-AF14-9E650AF723DB}"/>
    <hyperlink ref="B158" r:id="rId157" xr:uid="{92D4A6C8-59F5-7848-9170-FFF788F837B9}"/>
    <hyperlink ref="B162" r:id="rId158" xr:uid="{855F4D53-62B8-5346-90F8-3C2A1B965983}"/>
    <hyperlink ref="B161" r:id="rId159" xr:uid="{7666F8A7-3460-D545-B7AB-434238087535}"/>
    <hyperlink ref="B160" r:id="rId160" xr:uid="{B82ED5EC-D980-DC45-9F3A-C929E722C6B4}"/>
    <hyperlink ref="B163" r:id="rId161" xr:uid="{3E685031-879F-8545-907B-699AE4A954DC}"/>
    <hyperlink ref="B164" r:id="rId162" display="https://drive.google.com/file/d/1VbEovqrLDsQ2dddK_3hKxvts7hCeWUg8/view?usp=share_link" xr:uid="{10C20267-50BC-4745-A588-2BF26C79E226}"/>
    <hyperlink ref="B165" r:id="rId163" display="https://drive.google.com/file/d/1xmsCIvLjN2RMl6Pzt1uH0mogh96yQDUR/view?usp=drive_link" xr:uid="{78385911-0E1A-104A-B5C0-3D63F795E3F8}"/>
    <hyperlink ref="B166" r:id="rId164" display="https://drive.google.com/file/d/1-_Pz5t6VNz6sIfEb7SIaiQtPCQFeNnSh/view?usp=share_link" xr:uid="{F99B39CD-F52B-634A-8ED2-F96BE0720DF9}"/>
    <hyperlink ref="B167" r:id="rId165" display="https://drive.google.com/file/d/1XQMaKcaMiZagTd5meIVZtiw-yEiuXdRE/view?usp=share_link" xr:uid="{04DF7B2F-C719-2847-A541-8A01EFEA9265}"/>
    <hyperlink ref="B168" r:id="rId166" display="https://drive.google.com/file/d/1WKU4ALcfGxWjE0Jei01HVHWipKw4pKWs/view?usp=share_link" xr:uid="{FF57E8F5-4407-874F-8EFD-0474C80BA607}"/>
    <hyperlink ref="B169" r:id="rId167" display="https://drive.google.com/file/d/1hxEaZrQobTzYpc-MNOyj-gMtGOMltt7J/view?usp=sharing" xr:uid="{1628BCFE-2D29-3A41-9878-1CD92BA2623B}"/>
    <hyperlink ref="B170" r:id="rId168" display="https://drive.google.com/file/d/1jGc72dQgEBmA678zSfJKUGk5C4OoB53Q/view?usp=sharing" xr:uid="{BE1BAB00-922D-1B47-A1AA-2D6EB1AB35DD}"/>
    <hyperlink ref="B171" r:id="rId169" display="https://drive.google.com/file/d/1FLlNBupcjSkQ3SH0f6Vsyvtj23fAG5-K/view?usp=sharing" xr:uid="{16CCE6B8-57F8-A745-A6DE-DCFF76EA9E39}"/>
    <hyperlink ref="B172" r:id="rId170" display="https://drive.google.com/file/d/1wNbKCTCkLv46KYIKxXck4xW0wruPSbJq/view?usp=sharing" xr:uid="{58DFE4C5-AF13-FB41-BBD5-B9E858DCF939}"/>
    <hyperlink ref="B173" r:id="rId171" display="https://drive.google.com/file/d/1pvc1ze9XaDa9zXqrR_L4HnuviO57fuh2/view?usp=sharing" xr:uid="{8C639C27-0734-CE45-920B-3C3D38358188}"/>
    <hyperlink ref="B174" r:id="rId172" display="https://drive.google.com/file/d/1Ix2D3ZraAvY9TY6kxCjzkZzDsBV3UJCi/view?usp=sharing" xr:uid="{34EDFC84-4DEC-0D48-B1B7-AC56E235D9DE}"/>
    <hyperlink ref="B175" r:id="rId173" display="https://drive.google.com/file/d/1MVN6-eZ7QEbfKrj06CNiepS2nYnd2rxS/view?usp=sharing" xr:uid="{C994EBE4-EEA4-7146-83D5-3864329678CA}"/>
    <hyperlink ref="B176" r:id="rId174" display="https://drive.google.com/file/d/1Op8OmCxt0XlAMLRGGpST2gaNFR7gV4sL/view?usp=sharing" xr:uid="{7B4A0E74-58FA-4C4A-AFAF-5F29348107C3}"/>
    <hyperlink ref="B177" r:id="rId175" display="https://drive.google.com/file/d/1VUOJr_-pgS1AS3ugYs5_lKDD7zl0Npvd/view?usp=sharing" xr:uid="{7593C80D-7BB1-974C-8886-CAB1FA94F907}"/>
    <hyperlink ref="B178" r:id="rId176" display="https://drive.google.com/file/d/1YSk_GvU6-OZEd87kx63F09Zp4hAXNjcb/view?usp=sharing" xr:uid="{64E65EAD-E1C8-C346-811C-7D1003E91354}"/>
    <hyperlink ref="B179" r:id="rId177" display="https://drive.google.com/file/d/1vMTm7KCKRC1kRx6Pe9J_15irWa8XE1ko/view?usp=sharing" xr:uid="{C227BA16-A14C-7341-9126-53D03F942BDE}"/>
    <hyperlink ref="B180" r:id="rId178" display="https://drive.google.com/file/d/1zapDlGMlZnuYYnJmjvBlHkMmcPNMVKZZ/view?usp=sharing" xr:uid="{A4F6C502-F5A0-CC47-9C27-E38F87DAB88D}"/>
    <hyperlink ref="B181" r:id="rId179" xr:uid="{3EACDE8B-AB40-2343-BFA0-A7FA108B3206}"/>
    <hyperlink ref="B182" r:id="rId180" xr:uid="{42FC3503-052B-A044-8C91-297D3540995D}"/>
    <hyperlink ref="B183" r:id="rId181" xr:uid="{2B569E35-DE0A-164B-B716-00EF3E4853AA}"/>
    <hyperlink ref="B184" r:id="rId182" xr:uid="{93C7FD35-D3FF-9F4F-8219-56CAB177F52C}"/>
    <hyperlink ref="B185" r:id="rId183" xr:uid="{F3435EA3-CC22-3842-A95F-08C62CB69252}"/>
    <hyperlink ref="B186" r:id="rId184" xr:uid="{B0BF9B87-0FE2-4A46-BDE3-53F8BD651B2E}"/>
    <hyperlink ref="B187" r:id="rId185" display="https://drive.google.com/file/d/1DzmTd2W0fVYnUbawAvP7q80z4yuWFkJg/view?usp=sharing" xr:uid="{50C4425A-01A7-194D-8ED7-518DF5EC530B}"/>
    <hyperlink ref="B188" r:id="rId186" display="https://drive.google.com/file/d/1xywnr82eM7e4EtwnAtz-8v4Pr33bkskc/view?usp=sharing" xr:uid="{3F5689E0-64D7-0241-9D85-FAE827F557B9}"/>
    <hyperlink ref="B189" r:id="rId187" display="https://drive.google.com/file/d/1C6go8NsQQmGjifEQe0XfPuNIt4ntS_TM/view?usp=sharing" xr:uid="{B2D96E8B-B635-DD46-88FC-900FFB017B3A}"/>
    <hyperlink ref="B190" r:id="rId188" display="https://drive.google.com/file/d/1jAQjK1cnGnFZ5mMp058TvesLjmkHmCOy/view?usp=sharing" xr:uid="{E2CA06F6-F2C9-8046-8E47-9E2E3DF7C203}"/>
    <hyperlink ref="B191" r:id="rId189" display="https://drive.google.com/file/d/1nFtI7bu--IhW_c_po6oCbgrFnxYkMZmv/view?usp=sharing" xr:uid="{0F19AC25-98DD-5D4D-802D-B10BA64779F8}"/>
    <hyperlink ref="B192" r:id="rId190" display="https://drive.google.com/file/d/1oxvFJUj1-TFWvuQRG7Do9ZXo7pyqmaGW/view?usp=sharing" xr:uid="{4BD382F4-F0E5-0840-A302-EEE52B26F871}"/>
    <hyperlink ref="B193" r:id="rId191" display="https://drive.google.com/file/d/1ZlxZf69d2DqnPnL1VXsl3mX7lxRpISVw/view?usp=sharing" xr:uid="{D165CFA1-1D82-E846-AEB8-BCB196CAD20C}"/>
    <hyperlink ref="B194" r:id="rId192" display="https://drive.google.com/file/d/1Xecmfx_3-AtGUmoSSbhxzHXisRm8AXj9/view?usp=sharing" xr:uid="{CD04F498-9B7A-7641-B8D7-0980FA239146}"/>
    <hyperlink ref="B195" r:id="rId193" display="https://drive.google.com/file/d/1gFeF3mKWvJL1NB6P2SL-hF-P1EDYiR2w/view?usp=sharing" xr:uid="{3FC88754-8FB7-D245-9304-AE0E8878BC64}"/>
    <hyperlink ref="B196" r:id="rId194" display="https://drive.google.com/file/d/1UvFPM6EDdysoq-Z_-GkNml3yvw3Ox8GD/view?usp=sharing" xr:uid="{2EC5939C-D6C6-CC4F-BD92-43A7D37FF3A2}"/>
    <hyperlink ref="B197" r:id="rId195" display="https://drive.google.com/file/d/1v2WhAr4OpRkuLQP6uJqdqsLh-x5BE4u6/view?usp=sharing" xr:uid="{042D87A5-1D5C-DD47-BDFB-796C2C9E1394}"/>
    <hyperlink ref="B198" r:id="rId196" display="https://drive.google.com/file/d/1ATryWPmNiU4mmgQlXrfIoT0p0xV_N1Z9/view?usp=sharing" xr:uid="{FE86DE33-09BC-7242-AF12-3BF81B435447}"/>
    <hyperlink ref="B199" r:id="rId197" display="https://drive.google.com/file/d/1qAvd3STawtYNJtqG4y5BVfv0CAfK5ej2/view?usp=sharing" xr:uid="{BFB531D7-9318-1A42-B1B5-F880C367E97B}"/>
    <hyperlink ref="B200" r:id="rId198" display="https://drive.google.com/file/d/1A4aL67utV2K8YzQpmGLGIrVFl-G59uQr/view?usp=sharing" xr:uid="{86F98734-65A5-974C-9BFB-B31E086AE45A}"/>
    <hyperlink ref="B201" r:id="rId199" display="https://drive.google.com/file/d/1S-pSPNhksNs0eTmdsl6UjgTcrgqYHqx-/view?usp=sharing" xr:uid="{B73E47B4-6DE0-334D-8684-677E33AA9FD0}"/>
    <hyperlink ref="B202" r:id="rId200" display="https://drive.google.com/file/d/1lRWwko0U8qwBpMx1wJhFIi11G6DoWm4H/view?usp=sharing" xr:uid="{8D1DAAF4-D380-BA4F-8F15-34A770EDAA4C}"/>
    <hyperlink ref="B203" r:id="rId201" display="https://drive.google.com/file/d/1KLFW2CfPFzED_qn56V4TZhhxNesAl01g/view?usp=sharing" xr:uid="{5859329B-DDEC-9446-AD47-AB741955A5C8}"/>
    <hyperlink ref="B204" r:id="rId202" display="https://drive.google.com/file/d/1B7HyiBCH1WA26VNLLscTZPfdrU54FM0W/view?usp=sharing" xr:uid="{4CB9E530-292C-9F4A-B919-01B1B4BBB301}"/>
    <hyperlink ref="B205" r:id="rId203" display="https://drive.google.com/file/d/19KWhq7ff9uHpLUqt9rh4Xh6gr8UMmFq3/view?usp=sharing" xr:uid="{E121422B-75CA-2042-BA1F-F040E0BAFF8F}"/>
    <hyperlink ref="B206" r:id="rId204" display="https://drive.google.com/file/d/16DOWyaHfPapR_E09Yq9ZNgz6I5L9uaoR/view?usp=sharing" xr:uid="{BD3838A6-E888-2041-969C-3DB02E4B30C4}"/>
    <hyperlink ref="B207" r:id="rId205" display="https://drive.google.com/file/d/1TZ6wUxG5eRajjfI5WOIcbwXftjOz8b3X/view?usp=sharing" xr:uid="{AADAED4A-E8C4-9C48-9D61-234941FAC9CC}"/>
    <hyperlink ref="B208" r:id="rId206" display="https://drive.google.com/file/d/11jvvpVYYUhpXZVLmFWh724o0GGCkQdCg/view?usp=sharing" xr:uid="{CBCD79E6-A6C2-3E48-875E-ACA2867E6F37}"/>
    <hyperlink ref="B209" r:id="rId207" display="https://drive.google.com/file/d/1hU7dDX2bWAq4p314buatHA4tfDFA1Pq5/view?usp=sharing" xr:uid="{4C74DD9E-DB22-0649-A5FF-E15F2763FE49}"/>
    <hyperlink ref="B210" r:id="rId208" display="https://drive.google.com/file/d/1H5FJc-JJq73SFyfUDdXNELZf0UpKye9s/view?usp=sharing" xr:uid="{0053F76A-137E-2B42-88ED-1B3B317D3557}"/>
    <hyperlink ref="B211" r:id="rId209" display="https://drive.google.com/file/d/1sGAcbYyq5Djc2A4LoHDYRpdh-Uby-tBz/view?usp=sharing" xr:uid="{804F7521-567B-354A-88BF-2541D082E925}"/>
    <hyperlink ref="B212" r:id="rId210" display="https://drive.google.com/file/d/18Pz95CwQFPcePbnoUt8o6417avP4Sskz/view?usp=sharing" xr:uid="{4CAD545E-5A3F-FC40-ABDA-3D8CE42F9CB6}"/>
    <hyperlink ref="B213" r:id="rId211" display="https://drive.google.com/file/d/1Xn1B4Ty5XJYFP_EDbatJkn47fCFG-aOJ/view?usp=sharing" xr:uid="{5DC057F6-B573-804E-A760-166775253B43}"/>
    <hyperlink ref="B214" r:id="rId212" display="https://drive.google.com/file/d/16g3SKig4mD9yNk86XXOIHJeLnPwjcfpH/view?usp=sharing" xr:uid="{00BC5E62-F5CD-384E-9D9B-E14F8930B353}"/>
    <hyperlink ref="B215" r:id="rId213" display="https://drive.google.com/file/d/18gNOJv0-bePabF7QmFtYmHS0qiI3yl1G/view?usp=sharing" xr:uid="{8B82A493-F8B3-6A48-83A6-1267F02069AF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Медиаплан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2026-04-17T10:22:38Z</dcterms:created>
  <dcterms:modified xsi:type="dcterms:W3CDTF">2026-04-20T12:39:17Z</dcterms:modified>
  <cp:category/>
</cp:coreProperties>
</file>